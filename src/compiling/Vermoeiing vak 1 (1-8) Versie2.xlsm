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0.xml" ContentType="application/vnd.openxmlformats-officedocument.drawing+xml"/>
  <Override PartName="/xl/comments9.xml" ContentType="application/vnd.openxmlformats-officedocument.spreadsheetml.comment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11.xml" ContentType="application/vnd.openxmlformats-officedocument.drawing+xml"/>
  <Override PartName="/xl/comments10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12.xml" ContentType="application/vnd.openxmlformats-officedocument.drawing+xml"/>
  <Override PartName="/xl/comments11.xml" ContentType="application/vnd.openxmlformats-officedocument.spreadsheetml.comment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564CA151-5A5B-428A-3C10-775976492406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https://inframbv-my.sharepoint.com/personal/inge_brijker_infram-hydren_nl/Documents/Scripts/POVWadden/Vermoeiings proeven/"/>
    </mc:Choice>
  </mc:AlternateContent>
  <xr:revisionPtr revIDLastSave="0" documentId="8_{5942271D-C757-445C-B712-3C513C132AF9}" xr6:coauthVersionLast="47" xr6:coauthVersionMax="47" xr10:uidLastSave="{00000000-0000-0000-0000-000000000000}"/>
  <bookViews>
    <workbookView xWindow="2652" yWindow="2652" windowWidth="17280" windowHeight="8964" tabRatio="882" activeTab="2" xr2:uid="{8E161C15-9981-4407-B11D-1C52D6A018D8}"/>
  </bookViews>
  <sheets>
    <sheet name="Invoer" sheetId="62" r:id="rId1"/>
    <sheet name="Vermoeiingslijn" sheetId="42" r:id="rId2"/>
    <sheet name="Resultaat" sheetId="41" r:id="rId3"/>
    <sheet name="Org" sheetId="304" r:id="rId4"/>
    <sheet name="5V" sheetId="883" r:id="rId5"/>
    <sheet name="6V" sheetId="884" r:id="rId6"/>
    <sheet name="1V" sheetId="885" r:id="rId7"/>
    <sheet name="3V" sheetId="886" r:id="rId8"/>
    <sheet name="7V" sheetId="887" r:id="rId9"/>
    <sheet name="4V" sheetId="888" r:id="rId10"/>
    <sheet name="8V" sheetId="889" r:id="rId11"/>
    <sheet name="2V" sheetId="890" r:id="rId12"/>
  </sheets>
  <calcPr calcId="191029"/>
</workbook>
</file>

<file path=xl/calcChain.xml><?xml version="1.0" encoding="utf-8"?>
<calcChain xmlns="http://schemas.openxmlformats.org/spreadsheetml/2006/main">
  <c r="L9" i="41" l="1"/>
  <c r="K9" i="41"/>
  <c r="Q203" i="890"/>
  <c r="P203" i="890"/>
  <c r="O203" i="890"/>
  <c r="N203" i="890"/>
  <c r="M203" i="890"/>
  <c r="L203" i="890"/>
  <c r="J203" i="890"/>
  <c r="H203" i="890"/>
  <c r="I203" i="890"/>
  <c r="G203" i="890"/>
  <c r="F203" i="890"/>
  <c r="Q202" i="890"/>
  <c r="P202" i="890"/>
  <c r="O202" i="890"/>
  <c r="N202" i="890"/>
  <c r="M202" i="890"/>
  <c r="L202" i="890"/>
  <c r="J202" i="890"/>
  <c r="H202" i="890"/>
  <c r="I202" i="890"/>
  <c r="G202" i="890"/>
  <c r="F202" i="890"/>
  <c r="Q201" i="890"/>
  <c r="P201" i="890"/>
  <c r="O201" i="890"/>
  <c r="N201" i="890"/>
  <c r="M201" i="890"/>
  <c r="L201" i="890"/>
  <c r="J201" i="890"/>
  <c r="H201" i="890"/>
  <c r="I201" i="890"/>
  <c r="G201" i="890"/>
  <c r="F201" i="890"/>
  <c r="Q200" i="890"/>
  <c r="P200" i="890"/>
  <c r="O200" i="890"/>
  <c r="N200" i="890"/>
  <c r="M200" i="890"/>
  <c r="L200" i="890"/>
  <c r="J200" i="890"/>
  <c r="H200" i="890"/>
  <c r="I200" i="890"/>
  <c r="G200" i="890"/>
  <c r="F200" i="890"/>
  <c r="Q199" i="890"/>
  <c r="P199" i="890"/>
  <c r="O199" i="890"/>
  <c r="N199" i="890"/>
  <c r="M199" i="890"/>
  <c r="L199" i="890"/>
  <c r="J199" i="890"/>
  <c r="H199" i="890"/>
  <c r="I199" i="890"/>
  <c r="G199" i="890"/>
  <c r="F199" i="890"/>
  <c r="Q198" i="890"/>
  <c r="P198" i="890"/>
  <c r="O198" i="890"/>
  <c r="N198" i="890"/>
  <c r="M198" i="890"/>
  <c r="L198" i="890"/>
  <c r="J198" i="890"/>
  <c r="H198" i="890"/>
  <c r="I198" i="890"/>
  <c r="G198" i="890"/>
  <c r="F198" i="890"/>
  <c r="Q197" i="890"/>
  <c r="P197" i="890"/>
  <c r="O197" i="890"/>
  <c r="N197" i="890"/>
  <c r="M197" i="890"/>
  <c r="L197" i="890"/>
  <c r="J197" i="890"/>
  <c r="H197" i="890"/>
  <c r="I197" i="890"/>
  <c r="G197" i="890"/>
  <c r="F197" i="890"/>
  <c r="Q196" i="890"/>
  <c r="P196" i="890"/>
  <c r="O196" i="890"/>
  <c r="N196" i="890"/>
  <c r="M196" i="890"/>
  <c r="L196" i="890"/>
  <c r="J196" i="890"/>
  <c r="H196" i="890"/>
  <c r="I196" i="890"/>
  <c r="G196" i="890"/>
  <c r="F196" i="890"/>
  <c r="Q195" i="890"/>
  <c r="P195" i="890"/>
  <c r="O195" i="890"/>
  <c r="N195" i="890"/>
  <c r="M195" i="890"/>
  <c r="L195" i="890"/>
  <c r="J195" i="890"/>
  <c r="H195" i="890"/>
  <c r="I195" i="890"/>
  <c r="G195" i="890"/>
  <c r="F195" i="890"/>
  <c r="Q194" i="890"/>
  <c r="P194" i="890"/>
  <c r="O194" i="890"/>
  <c r="N194" i="890"/>
  <c r="M194" i="890"/>
  <c r="L194" i="890"/>
  <c r="J194" i="890"/>
  <c r="H194" i="890"/>
  <c r="I194" i="890"/>
  <c r="G194" i="890"/>
  <c r="F194" i="890"/>
  <c r="Q193" i="890"/>
  <c r="P193" i="890"/>
  <c r="O193" i="890"/>
  <c r="N193" i="890"/>
  <c r="M193" i="890"/>
  <c r="L193" i="890"/>
  <c r="J193" i="890"/>
  <c r="H193" i="890"/>
  <c r="I193" i="890"/>
  <c r="G193" i="890"/>
  <c r="F193" i="890"/>
  <c r="Q192" i="890"/>
  <c r="P192" i="890"/>
  <c r="O192" i="890"/>
  <c r="N192" i="890"/>
  <c r="M192" i="890"/>
  <c r="L192" i="890"/>
  <c r="J192" i="890"/>
  <c r="H192" i="890"/>
  <c r="I192" i="890"/>
  <c r="G192" i="890"/>
  <c r="F192" i="890"/>
  <c r="Q191" i="890"/>
  <c r="P191" i="890"/>
  <c r="O191" i="890"/>
  <c r="N191" i="890"/>
  <c r="M191" i="890"/>
  <c r="L191" i="890"/>
  <c r="J191" i="890"/>
  <c r="H191" i="890"/>
  <c r="I191" i="890"/>
  <c r="G191" i="890"/>
  <c r="F191" i="890"/>
  <c r="Q190" i="890"/>
  <c r="P190" i="890"/>
  <c r="O190" i="890"/>
  <c r="N190" i="890"/>
  <c r="M190" i="890"/>
  <c r="L190" i="890"/>
  <c r="J190" i="890"/>
  <c r="H190" i="890"/>
  <c r="I190" i="890"/>
  <c r="G190" i="890"/>
  <c r="F190" i="890"/>
  <c r="Q189" i="890"/>
  <c r="P189" i="890"/>
  <c r="O189" i="890"/>
  <c r="N189" i="890"/>
  <c r="M189" i="890"/>
  <c r="L189" i="890"/>
  <c r="J189" i="890"/>
  <c r="H189" i="890"/>
  <c r="I189" i="890"/>
  <c r="G189" i="890"/>
  <c r="F189" i="890"/>
  <c r="Q188" i="890"/>
  <c r="P188" i="890"/>
  <c r="O188" i="890"/>
  <c r="N188" i="890"/>
  <c r="M188" i="890"/>
  <c r="L188" i="890"/>
  <c r="J188" i="890"/>
  <c r="H188" i="890"/>
  <c r="I188" i="890"/>
  <c r="G188" i="890"/>
  <c r="F188" i="890"/>
  <c r="Q187" i="890"/>
  <c r="P187" i="890"/>
  <c r="O187" i="890"/>
  <c r="N187" i="890"/>
  <c r="M187" i="890"/>
  <c r="L187" i="890"/>
  <c r="J187" i="890"/>
  <c r="H187" i="890"/>
  <c r="I187" i="890"/>
  <c r="G187" i="890"/>
  <c r="F187" i="890"/>
  <c r="Q186" i="890"/>
  <c r="P186" i="890"/>
  <c r="O186" i="890"/>
  <c r="N186" i="890"/>
  <c r="M186" i="890"/>
  <c r="L186" i="890"/>
  <c r="J186" i="890"/>
  <c r="H186" i="890"/>
  <c r="I186" i="890"/>
  <c r="G186" i="890"/>
  <c r="F186" i="890"/>
  <c r="Q185" i="890"/>
  <c r="P185" i="890"/>
  <c r="O185" i="890"/>
  <c r="N185" i="890"/>
  <c r="M185" i="890"/>
  <c r="L185" i="890"/>
  <c r="J185" i="890"/>
  <c r="H185" i="890"/>
  <c r="I185" i="890"/>
  <c r="G185" i="890"/>
  <c r="F185" i="890"/>
  <c r="Q184" i="890"/>
  <c r="P184" i="890"/>
  <c r="O184" i="890"/>
  <c r="N184" i="890"/>
  <c r="M184" i="890"/>
  <c r="L184" i="890"/>
  <c r="J184" i="890"/>
  <c r="H184" i="890"/>
  <c r="I184" i="890"/>
  <c r="G184" i="890"/>
  <c r="F184" i="890"/>
  <c r="Q183" i="890"/>
  <c r="P183" i="890"/>
  <c r="O183" i="890"/>
  <c r="N183" i="890"/>
  <c r="M183" i="890"/>
  <c r="L183" i="890"/>
  <c r="J183" i="890"/>
  <c r="H183" i="890"/>
  <c r="I183" i="890"/>
  <c r="G183" i="890"/>
  <c r="F183" i="890"/>
  <c r="Q182" i="890"/>
  <c r="P182" i="890"/>
  <c r="O182" i="890"/>
  <c r="N182" i="890"/>
  <c r="M182" i="890"/>
  <c r="L182" i="890"/>
  <c r="J182" i="890"/>
  <c r="H182" i="890"/>
  <c r="I182" i="890"/>
  <c r="G182" i="890"/>
  <c r="F182" i="890"/>
  <c r="Q181" i="890"/>
  <c r="P181" i="890"/>
  <c r="O181" i="890"/>
  <c r="N181" i="890"/>
  <c r="M181" i="890"/>
  <c r="L181" i="890"/>
  <c r="Q180" i="890"/>
  <c r="P180" i="890"/>
  <c r="O180" i="890"/>
  <c r="N180" i="890"/>
  <c r="M180" i="890"/>
  <c r="L180" i="890"/>
  <c r="H180" i="890"/>
  <c r="I180" i="890"/>
  <c r="G180" i="890"/>
  <c r="F180" i="890"/>
  <c r="Q179" i="890"/>
  <c r="P179" i="890"/>
  <c r="O179" i="890"/>
  <c r="N179" i="890"/>
  <c r="M179" i="890"/>
  <c r="L179" i="890"/>
  <c r="F179" i="890"/>
  <c r="Q178" i="890"/>
  <c r="P178" i="890"/>
  <c r="O178" i="890"/>
  <c r="N178" i="890"/>
  <c r="M178" i="890"/>
  <c r="L178" i="890"/>
  <c r="H178" i="890"/>
  <c r="I178" i="890"/>
  <c r="G178" i="890"/>
  <c r="F178" i="890"/>
  <c r="Q177" i="890"/>
  <c r="P177" i="890"/>
  <c r="O177" i="890"/>
  <c r="N177" i="890"/>
  <c r="M177" i="890"/>
  <c r="L177" i="890"/>
  <c r="F177" i="890"/>
  <c r="Q176" i="890"/>
  <c r="P176" i="890"/>
  <c r="O176" i="890"/>
  <c r="N176" i="890"/>
  <c r="M176" i="890"/>
  <c r="L176" i="890"/>
  <c r="H176" i="890"/>
  <c r="I176" i="890"/>
  <c r="G176" i="890"/>
  <c r="F176" i="890"/>
  <c r="Q175" i="890"/>
  <c r="P175" i="890"/>
  <c r="O175" i="890"/>
  <c r="N175" i="890"/>
  <c r="M175" i="890"/>
  <c r="L175" i="890"/>
  <c r="F175" i="890"/>
  <c r="Q174" i="890"/>
  <c r="P174" i="890"/>
  <c r="O174" i="890"/>
  <c r="N174" i="890"/>
  <c r="M174" i="890"/>
  <c r="L174" i="890"/>
  <c r="H174" i="890"/>
  <c r="I174" i="890"/>
  <c r="G174" i="890"/>
  <c r="F174" i="890"/>
  <c r="Q173" i="890"/>
  <c r="P173" i="890"/>
  <c r="O173" i="890"/>
  <c r="N173" i="890"/>
  <c r="M173" i="890"/>
  <c r="L173" i="890"/>
  <c r="Q172" i="890"/>
  <c r="P172" i="890"/>
  <c r="O172" i="890"/>
  <c r="N172" i="890"/>
  <c r="M172" i="890"/>
  <c r="L172" i="890"/>
  <c r="H172" i="890"/>
  <c r="I172" i="890"/>
  <c r="G172" i="890"/>
  <c r="F172" i="890"/>
  <c r="Q171" i="890"/>
  <c r="P171" i="890"/>
  <c r="O171" i="890"/>
  <c r="N171" i="890"/>
  <c r="M171" i="890"/>
  <c r="L171" i="890"/>
  <c r="F171" i="890"/>
  <c r="Q170" i="890"/>
  <c r="P170" i="890"/>
  <c r="O170" i="890"/>
  <c r="N170" i="890"/>
  <c r="M170" i="890"/>
  <c r="L170" i="890"/>
  <c r="H170" i="890"/>
  <c r="I170" i="890"/>
  <c r="G170" i="890"/>
  <c r="F170" i="890"/>
  <c r="Q169" i="890"/>
  <c r="P169" i="890"/>
  <c r="O169" i="890"/>
  <c r="N169" i="890"/>
  <c r="M169" i="890"/>
  <c r="L169" i="890"/>
  <c r="F169" i="890"/>
  <c r="Q168" i="890"/>
  <c r="P168" i="890"/>
  <c r="O168" i="890"/>
  <c r="N168" i="890"/>
  <c r="M168" i="890"/>
  <c r="L168" i="890"/>
  <c r="H168" i="890"/>
  <c r="I168" i="890"/>
  <c r="G168" i="890"/>
  <c r="F168" i="890"/>
  <c r="Q167" i="890"/>
  <c r="P167" i="890"/>
  <c r="O167" i="890"/>
  <c r="N167" i="890"/>
  <c r="M167" i="890"/>
  <c r="L167" i="890"/>
  <c r="F167" i="890"/>
  <c r="Q166" i="890"/>
  <c r="P166" i="890"/>
  <c r="O166" i="890"/>
  <c r="N166" i="890"/>
  <c r="M166" i="890"/>
  <c r="L166" i="890"/>
  <c r="H166" i="890"/>
  <c r="I166" i="890"/>
  <c r="G166" i="890"/>
  <c r="F166" i="890"/>
  <c r="Q165" i="890"/>
  <c r="P165" i="890"/>
  <c r="O165" i="890"/>
  <c r="N165" i="890"/>
  <c r="M165" i="890"/>
  <c r="L165" i="890"/>
  <c r="Q164" i="890"/>
  <c r="P164" i="890"/>
  <c r="O164" i="890"/>
  <c r="N164" i="890"/>
  <c r="M164" i="890"/>
  <c r="L164" i="890"/>
  <c r="H164" i="890"/>
  <c r="I164" i="890"/>
  <c r="G164" i="890"/>
  <c r="F164" i="890"/>
  <c r="Q163" i="890"/>
  <c r="P163" i="890"/>
  <c r="O163" i="890"/>
  <c r="N163" i="890"/>
  <c r="M163" i="890"/>
  <c r="L163" i="890"/>
  <c r="F163" i="890"/>
  <c r="Q162" i="890"/>
  <c r="P162" i="890"/>
  <c r="O162" i="890"/>
  <c r="N162" i="890"/>
  <c r="M162" i="890"/>
  <c r="L162" i="890"/>
  <c r="H162" i="890"/>
  <c r="I162" i="890"/>
  <c r="G162" i="890"/>
  <c r="F162" i="890"/>
  <c r="Q161" i="890"/>
  <c r="P161" i="890"/>
  <c r="O161" i="890"/>
  <c r="N161" i="890"/>
  <c r="M161" i="890"/>
  <c r="L161" i="890"/>
  <c r="G161" i="890"/>
  <c r="Q160" i="890"/>
  <c r="P160" i="890"/>
  <c r="O160" i="890"/>
  <c r="N160" i="890"/>
  <c r="M160" i="890"/>
  <c r="L160" i="890"/>
  <c r="G160" i="890"/>
  <c r="Q159" i="890"/>
  <c r="P159" i="890"/>
  <c r="O159" i="890"/>
  <c r="N159" i="890"/>
  <c r="M159" i="890"/>
  <c r="L159" i="890"/>
  <c r="Q158" i="890"/>
  <c r="P158" i="890"/>
  <c r="O158" i="890"/>
  <c r="N158" i="890"/>
  <c r="M158" i="890"/>
  <c r="L158" i="890"/>
  <c r="G158" i="890"/>
  <c r="Q157" i="890"/>
  <c r="P157" i="890"/>
  <c r="O157" i="890"/>
  <c r="N157" i="890"/>
  <c r="M157" i="890"/>
  <c r="L157" i="890"/>
  <c r="G157" i="890"/>
  <c r="Q156" i="890"/>
  <c r="P156" i="890"/>
  <c r="O156" i="890"/>
  <c r="N156" i="890"/>
  <c r="M156" i="890"/>
  <c r="L156" i="890"/>
  <c r="G156" i="890"/>
  <c r="Q155" i="890"/>
  <c r="P155" i="890"/>
  <c r="O155" i="890"/>
  <c r="N155" i="890"/>
  <c r="M155" i="890"/>
  <c r="L155" i="890"/>
  <c r="Q154" i="890"/>
  <c r="P154" i="890"/>
  <c r="O154" i="890"/>
  <c r="N154" i="890"/>
  <c r="M154" i="890"/>
  <c r="L154" i="890"/>
  <c r="G154" i="890"/>
  <c r="Q153" i="890"/>
  <c r="P153" i="890"/>
  <c r="O153" i="890"/>
  <c r="N153" i="890"/>
  <c r="M153" i="890"/>
  <c r="L153" i="890"/>
  <c r="G153" i="890"/>
  <c r="Q152" i="890"/>
  <c r="P152" i="890"/>
  <c r="O152" i="890"/>
  <c r="N152" i="890"/>
  <c r="M152" i="890"/>
  <c r="L152" i="890"/>
  <c r="G152" i="890"/>
  <c r="Q151" i="890"/>
  <c r="P151" i="890"/>
  <c r="O151" i="890"/>
  <c r="N151" i="890"/>
  <c r="M151" i="890"/>
  <c r="L151" i="890"/>
  <c r="Q150" i="890"/>
  <c r="P150" i="890"/>
  <c r="O150" i="890"/>
  <c r="N150" i="890"/>
  <c r="M150" i="890"/>
  <c r="L150" i="890"/>
  <c r="G150" i="890"/>
  <c r="Q149" i="890"/>
  <c r="P149" i="890"/>
  <c r="O149" i="890"/>
  <c r="N149" i="890"/>
  <c r="M149" i="890"/>
  <c r="L149" i="890"/>
  <c r="G149" i="890"/>
  <c r="Q148" i="890"/>
  <c r="P148" i="890"/>
  <c r="O148" i="890"/>
  <c r="N148" i="890"/>
  <c r="M148" i="890"/>
  <c r="L148" i="890"/>
  <c r="G148" i="890"/>
  <c r="Q147" i="890"/>
  <c r="P147" i="890"/>
  <c r="O147" i="890"/>
  <c r="N147" i="890"/>
  <c r="M147" i="890"/>
  <c r="L147" i="890"/>
  <c r="Q146" i="890"/>
  <c r="P146" i="890"/>
  <c r="O146" i="890"/>
  <c r="N146" i="890"/>
  <c r="M146" i="890"/>
  <c r="L146" i="890"/>
  <c r="F146" i="890"/>
  <c r="Q145" i="890"/>
  <c r="P145" i="890"/>
  <c r="O145" i="890"/>
  <c r="N145" i="890"/>
  <c r="M145" i="890"/>
  <c r="L145" i="890"/>
  <c r="H145" i="890"/>
  <c r="Q144" i="890"/>
  <c r="P144" i="890"/>
  <c r="O144" i="890"/>
  <c r="N144" i="890"/>
  <c r="M144" i="890"/>
  <c r="L144" i="890"/>
  <c r="Q143" i="890"/>
  <c r="P143" i="890"/>
  <c r="O143" i="890"/>
  <c r="N143" i="890"/>
  <c r="M143" i="890"/>
  <c r="L143" i="890"/>
  <c r="I143" i="890"/>
  <c r="F143" i="890"/>
  <c r="Q142" i="890"/>
  <c r="P142" i="890"/>
  <c r="O142" i="890"/>
  <c r="N142" i="890"/>
  <c r="M142" i="890"/>
  <c r="L142" i="890"/>
  <c r="H142" i="890"/>
  <c r="G142" i="890"/>
  <c r="F142" i="890"/>
  <c r="Q141" i="890"/>
  <c r="P141" i="890"/>
  <c r="O141" i="890"/>
  <c r="N141" i="890"/>
  <c r="M141" i="890"/>
  <c r="L141" i="890"/>
  <c r="H141" i="890"/>
  <c r="Q140" i="890"/>
  <c r="P140" i="890"/>
  <c r="O140" i="890"/>
  <c r="N140" i="890"/>
  <c r="M140" i="890"/>
  <c r="L140" i="890"/>
  <c r="Q139" i="890"/>
  <c r="P139" i="890"/>
  <c r="O139" i="890"/>
  <c r="N139" i="890"/>
  <c r="M139" i="890"/>
  <c r="L139" i="890"/>
  <c r="Q138" i="890"/>
  <c r="P138" i="890"/>
  <c r="O138" i="890"/>
  <c r="N138" i="890"/>
  <c r="M138" i="890"/>
  <c r="L138" i="890"/>
  <c r="Q137" i="890"/>
  <c r="P137" i="890"/>
  <c r="O137" i="890"/>
  <c r="N137" i="890"/>
  <c r="M137" i="890"/>
  <c r="L137" i="890"/>
  <c r="H137" i="890"/>
  <c r="F137" i="890"/>
  <c r="Q136" i="890"/>
  <c r="P136" i="890"/>
  <c r="O136" i="890"/>
  <c r="N136" i="890"/>
  <c r="M136" i="890"/>
  <c r="L136" i="890"/>
  <c r="H136" i="890"/>
  <c r="F136" i="890"/>
  <c r="Q135" i="890"/>
  <c r="P135" i="890"/>
  <c r="O135" i="890"/>
  <c r="N135" i="890"/>
  <c r="M135" i="890"/>
  <c r="L135" i="890"/>
  <c r="H135" i="890"/>
  <c r="J135" i="890"/>
  <c r="I135" i="890"/>
  <c r="F135" i="890"/>
  <c r="Q134" i="890"/>
  <c r="P134" i="890"/>
  <c r="O134" i="890"/>
  <c r="N134" i="890"/>
  <c r="M134" i="890"/>
  <c r="L134" i="890"/>
  <c r="I134" i="890"/>
  <c r="G134" i="890"/>
  <c r="Q133" i="890"/>
  <c r="P133" i="890"/>
  <c r="O133" i="890"/>
  <c r="N133" i="890"/>
  <c r="M133" i="890"/>
  <c r="L133" i="890"/>
  <c r="G133" i="890"/>
  <c r="F133" i="890"/>
  <c r="Q132" i="890"/>
  <c r="P132" i="890"/>
  <c r="O132" i="890"/>
  <c r="N132" i="890"/>
  <c r="M132" i="890"/>
  <c r="L132" i="890"/>
  <c r="H132" i="890"/>
  <c r="F132" i="890"/>
  <c r="Q131" i="890"/>
  <c r="P131" i="890"/>
  <c r="O131" i="890"/>
  <c r="N131" i="890"/>
  <c r="M131" i="890"/>
  <c r="L131" i="890"/>
  <c r="H131" i="890"/>
  <c r="J131" i="890"/>
  <c r="I131" i="890"/>
  <c r="F131" i="890"/>
  <c r="E131" i="890"/>
  <c r="Q130" i="890"/>
  <c r="P130" i="890"/>
  <c r="O130" i="890"/>
  <c r="N130" i="890"/>
  <c r="M130" i="890"/>
  <c r="L130" i="890"/>
  <c r="H130" i="890"/>
  <c r="J130" i="890"/>
  <c r="I130" i="890"/>
  <c r="G130" i="890"/>
  <c r="E130" i="890"/>
  <c r="Q129" i="890"/>
  <c r="P129" i="890"/>
  <c r="O129" i="890"/>
  <c r="N129" i="890"/>
  <c r="M129" i="890"/>
  <c r="L129" i="890"/>
  <c r="H129" i="890"/>
  <c r="I129" i="890"/>
  <c r="G129" i="890"/>
  <c r="F129" i="890"/>
  <c r="Q128" i="890"/>
  <c r="P128" i="890"/>
  <c r="O128" i="890"/>
  <c r="N128" i="890"/>
  <c r="M128" i="890"/>
  <c r="L128" i="890"/>
  <c r="F128" i="890"/>
  <c r="H128" i="890"/>
  <c r="Q127" i="890"/>
  <c r="P127" i="890"/>
  <c r="O127" i="890"/>
  <c r="N127" i="890"/>
  <c r="M127" i="890"/>
  <c r="L127" i="890"/>
  <c r="H127" i="890"/>
  <c r="E127" i="890"/>
  <c r="Q126" i="890"/>
  <c r="P126" i="890"/>
  <c r="O126" i="890"/>
  <c r="N126" i="890"/>
  <c r="M126" i="890"/>
  <c r="L126" i="890"/>
  <c r="H126" i="890"/>
  <c r="J126" i="890"/>
  <c r="I126" i="890"/>
  <c r="G126" i="890"/>
  <c r="E126" i="890"/>
  <c r="Q125" i="890"/>
  <c r="P125" i="890"/>
  <c r="O125" i="890"/>
  <c r="N125" i="890"/>
  <c r="M125" i="890"/>
  <c r="L125" i="890"/>
  <c r="H125" i="890"/>
  <c r="I125" i="890"/>
  <c r="G125" i="890"/>
  <c r="F125" i="890"/>
  <c r="Q124" i="890"/>
  <c r="P124" i="890"/>
  <c r="O124" i="890"/>
  <c r="N124" i="890"/>
  <c r="M124" i="890"/>
  <c r="L124" i="890"/>
  <c r="F124" i="890"/>
  <c r="Q123" i="890"/>
  <c r="P123" i="890"/>
  <c r="O123" i="890"/>
  <c r="N123" i="890"/>
  <c r="M123" i="890"/>
  <c r="L123" i="890"/>
  <c r="E123" i="890"/>
  <c r="Q122" i="890"/>
  <c r="P122" i="890"/>
  <c r="O122" i="890"/>
  <c r="N122" i="890"/>
  <c r="M122" i="890"/>
  <c r="L122" i="890"/>
  <c r="J122" i="890"/>
  <c r="I122" i="890"/>
  <c r="G122" i="890"/>
  <c r="E122" i="890"/>
  <c r="Q121" i="890"/>
  <c r="P121" i="890"/>
  <c r="O121" i="890"/>
  <c r="N121" i="890"/>
  <c r="M121" i="890"/>
  <c r="L121" i="890"/>
  <c r="I121" i="890"/>
  <c r="Q120" i="890"/>
  <c r="P120" i="890"/>
  <c r="O120" i="890"/>
  <c r="N120" i="890"/>
  <c r="M120" i="890"/>
  <c r="L120" i="890"/>
  <c r="Q119" i="890"/>
  <c r="P119" i="890"/>
  <c r="O119" i="890"/>
  <c r="N119" i="890"/>
  <c r="M119" i="890"/>
  <c r="L119" i="890"/>
  <c r="E119" i="890"/>
  <c r="Q118" i="890"/>
  <c r="P118" i="890"/>
  <c r="O118" i="890"/>
  <c r="N118" i="890"/>
  <c r="M118" i="890"/>
  <c r="L118" i="890"/>
  <c r="I118" i="890"/>
  <c r="H118" i="890"/>
  <c r="G118" i="890"/>
  <c r="E118" i="890"/>
  <c r="Q117" i="890"/>
  <c r="P117" i="890"/>
  <c r="O117" i="890"/>
  <c r="N117" i="890"/>
  <c r="M117" i="890"/>
  <c r="L117" i="890"/>
  <c r="I117" i="890"/>
  <c r="Q116" i="890"/>
  <c r="P116" i="890"/>
  <c r="O116" i="890"/>
  <c r="N116" i="890"/>
  <c r="M116" i="890"/>
  <c r="L116" i="890"/>
  <c r="I116" i="890"/>
  <c r="H116" i="890"/>
  <c r="G116" i="890"/>
  <c r="E116" i="890"/>
  <c r="Q115" i="890"/>
  <c r="P115" i="890"/>
  <c r="O115" i="890"/>
  <c r="N115" i="890"/>
  <c r="M115" i="890"/>
  <c r="L115" i="890"/>
  <c r="Q114" i="890"/>
  <c r="P114" i="890"/>
  <c r="O114" i="890"/>
  <c r="N114" i="890"/>
  <c r="M114" i="890"/>
  <c r="L114" i="890"/>
  <c r="I114" i="890"/>
  <c r="H114" i="890"/>
  <c r="G114" i="890"/>
  <c r="E114" i="890"/>
  <c r="Q113" i="890"/>
  <c r="P113" i="890"/>
  <c r="O113" i="890"/>
  <c r="N113" i="890"/>
  <c r="M113" i="890"/>
  <c r="L113" i="890"/>
  <c r="I113" i="890"/>
  <c r="E113" i="890"/>
  <c r="Q112" i="890"/>
  <c r="P112" i="890"/>
  <c r="O112" i="890"/>
  <c r="N112" i="890"/>
  <c r="M112" i="890"/>
  <c r="L112" i="890"/>
  <c r="I112" i="890"/>
  <c r="H112" i="890"/>
  <c r="G112" i="890"/>
  <c r="E112" i="890"/>
  <c r="Q111" i="890"/>
  <c r="P111" i="890"/>
  <c r="O111" i="890"/>
  <c r="N111" i="890"/>
  <c r="M111" i="890"/>
  <c r="L111" i="890"/>
  <c r="J111" i="890"/>
  <c r="G111" i="890"/>
  <c r="F111" i="890"/>
  <c r="Q110" i="890"/>
  <c r="P110" i="890"/>
  <c r="O110" i="890"/>
  <c r="N110" i="890"/>
  <c r="M110" i="890"/>
  <c r="L110" i="890"/>
  <c r="J110" i="890"/>
  <c r="Q109" i="890"/>
  <c r="P109" i="890"/>
  <c r="O109" i="890"/>
  <c r="N109" i="890"/>
  <c r="M109" i="890"/>
  <c r="L109" i="890"/>
  <c r="Q108" i="890"/>
  <c r="P108" i="890"/>
  <c r="O108" i="890"/>
  <c r="N108" i="890"/>
  <c r="M108" i="890"/>
  <c r="L108" i="890"/>
  <c r="J108" i="890"/>
  <c r="G108" i="890"/>
  <c r="F108" i="890"/>
  <c r="Q107" i="890"/>
  <c r="P107" i="890"/>
  <c r="O107" i="890"/>
  <c r="N107" i="890"/>
  <c r="M107" i="890"/>
  <c r="L107" i="890"/>
  <c r="J107" i="890"/>
  <c r="G107" i="890"/>
  <c r="F107" i="890"/>
  <c r="Q106" i="890"/>
  <c r="P106" i="890"/>
  <c r="O106" i="890"/>
  <c r="N106" i="890"/>
  <c r="M106" i="890"/>
  <c r="L106" i="890"/>
  <c r="J106" i="890"/>
  <c r="Q105" i="890"/>
  <c r="P105" i="890"/>
  <c r="O105" i="890"/>
  <c r="N105" i="890"/>
  <c r="M105" i="890"/>
  <c r="L105" i="890"/>
  <c r="Q104" i="890"/>
  <c r="P104" i="890"/>
  <c r="O104" i="890"/>
  <c r="N104" i="890"/>
  <c r="M104" i="890"/>
  <c r="L104" i="890"/>
  <c r="J104" i="890"/>
  <c r="G104" i="890"/>
  <c r="F104" i="890"/>
  <c r="Q103" i="890"/>
  <c r="P103" i="890"/>
  <c r="O103" i="890"/>
  <c r="N103" i="890"/>
  <c r="M103" i="890"/>
  <c r="L103" i="890"/>
  <c r="J103" i="890"/>
  <c r="G103" i="890"/>
  <c r="F103" i="890"/>
  <c r="Q102" i="890"/>
  <c r="P102" i="890"/>
  <c r="O102" i="890"/>
  <c r="N102" i="890"/>
  <c r="M102" i="890"/>
  <c r="L102" i="890"/>
  <c r="J102" i="890"/>
  <c r="Q101" i="890"/>
  <c r="P101" i="890"/>
  <c r="O101" i="890"/>
  <c r="N101" i="890"/>
  <c r="M101" i="890"/>
  <c r="L101" i="890"/>
  <c r="Q100" i="890"/>
  <c r="P100" i="890"/>
  <c r="O100" i="890"/>
  <c r="N100" i="890"/>
  <c r="M100" i="890"/>
  <c r="L100" i="890"/>
  <c r="J100" i="890"/>
  <c r="G100" i="890"/>
  <c r="F100" i="890"/>
  <c r="Q99" i="890"/>
  <c r="P99" i="890"/>
  <c r="O99" i="890"/>
  <c r="N99" i="890"/>
  <c r="M99" i="890"/>
  <c r="L99" i="890"/>
  <c r="J99" i="890"/>
  <c r="G99" i="890"/>
  <c r="F99" i="890"/>
  <c r="Q98" i="890"/>
  <c r="P98" i="890"/>
  <c r="O98" i="890"/>
  <c r="N98" i="890"/>
  <c r="M98" i="890"/>
  <c r="L98" i="890"/>
  <c r="J98" i="890"/>
  <c r="Q97" i="890"/>
  <c r="P97" i="890"/>
  <c r="O97" i="890"/>
  <c r="N97" i="890"/>
  <c r="M97" i="890"/>
  <c r="L97" i="890"/>
  <c r="Q96" i="890"/>
  <c r="P96" i="890"/>
  <c r="O96" i="890"/>
  <c r="N96" i="890"/>
  <c r="M96" i="890"/>
  <c r="L96" i="890"/>
  <c r="J96" i="890"/>
  <c r="G96" i="890"/>
  <c r="F96" i="890"/>
  <c r="Q95" i="890"/>
  <c r="P95" i="890"/>
  <c r="O95" i="890"/>
  <c r="N95" i="890"/>
  <c r="M95" i="890"/>
  <c r="L95" i="890"/>
  <c r="J95" i="890"/>
  <c r="G95" i="890"/>
  <c r="F95" i="890"/>
  <c r="Q94" i="890"/>
  <c r="P94" i="890"/>
  <c r="O94" i="890"/>
  <c r="N94" i="890"/>
  <c r="M94" i="890"/>
  <c r="L94" i="890"/>
  <c r="J94" i="890"/>
  <c r="Q93" i="890"/>
  <c r="P93" i="890"/>
  <c r="O93" i="890"/>
  <c r="N93" i="890"/>
  <c r="M93" i="890"/>
  <c r="L93" i="890"/>
  <c r="Q92" i="890"/>
  <c r="P92" i="890"/>
  <c r="O92" i="890"/>
  <c r="N92" i="890"/>
  <c r="M92" i="890"/>
  <c r="L92" i="890"/>
  <c r="J92" i="890"/>
  <c r="G92" i="890"/>
  <c r="F92" i="890"/>
  <c r="Q91" i="890"/>
  <c r="P91" i="890"/>
  <c r="O91" i="890"/>
  <c r="N91" i="890"/>
  <c r="M91" i="890"/>
  <c r="L91" i="890"/>
  <c r="J91" i="890"/>
  <c r="G91" i="890"/>
  <c r="F91" i="890"/>
  <c r="Q90" i="890"/>
  <c r="P90" i="890"/>
  <c r="O90" i="890"/>
  <c r="N90" i="890"/>
  <c r="M90" i="890"/>
  <c r="L90" i="890"/>
  <c r="J90" i="890"/>
  <c r="Q89" i="890"/>
  <c r="P89" i="890"/>
  <c r="O89" i="890"/>
  <c r="N89" i="890"/>
  <c r="M89" i="890"/>
  <c r="L89" i="890"/>
  <c r="Q88" i="890"/>
  <c r="P88" i="890"/>
  <c r="O88" i="890"/>
  <c r="N88" i="890"/>
  <c r="M88" i="890"/>
  <c r="L88" i="890"/>
  <c r="J88" i="890"/>
  <c r="G88" i="890"/>
  <c r="F88" i="890"/>
  <c r="Q87" i="890"/>
  <c r="P87" i="890"/>
  <c r="O87" i="890"/>
  <c r="N87" i="890"/>
  <c r="M87" i="890"/>
  <c r="L87" i="890"/>
  <c r="J87" i="890"/>
  <c r="G87" i="890"/>
  <c r="F87" i="890"/>
  <c r="Q86" i="890"/>
  <c r="P86" i="890"/>
  <c r="O86" i="890"/>
  <c r="N86" i="890"/>
  <c r="M86" i="890"/>
  <c r="L86" i="890"/>
  <c r="J86" i="890"/>
  <c r="Q85" i="890"/>
  <c r="P85" i="890"/>
  <c r="O85" i="890"/>
  <c r="N85" i="890"/>
  <c r="M85" i="890"/>
  <c r="L85" i="890"/>
  <c r="Q84" i="890"/>
  <c r="P84" i="890"/>
  <c r="O84" i="890"/>
  <c r="N84" i="890"/>
  <c r="M84" i="890"/>
  <c r="L84" i="890"/>
  <c r="J84" i="890"/>
  <c r="G84" i="890"/>
  <c r="F84" i="890"/>
  <c r="Q83" i="890"/>
  <c r="P83" i="890"/>
  <c r="O83" i="890"/>
  <c r="N83" i="890"/>
  <c r="M83" i="890"/>
  <c r="L83" i="890"/>
  <c r="J83" i="890"/>
  <c r="G83" i="890"/>
  <c r="F83" i="890"/>
  <c r="Q82" i="890"/>
  <c r="P82" i="890"/>
  <c r="O82" i="890"/>
  <c r="N82" i="890"/>
  <c r="M82" i="890"/>
  <c r="L82" i="890"/>
  <c r="J82" i="890"/>
  <c r="Q81" i="890"/>
  <c r="P81" i="890"/>
  <c r="O81" i="890"/>
  <c r="N81" i="890"/>
  <c r="M81" i="890"/>
  <c r="L81" i="890"/>
  <c r="Q80" i="890"/>
  <c r="P80" i="890"/>
  <c r="O80" i="890"/>
  <c r="N80" i="890"/>
  <c r="M80" i="890"/>
  <c r="L80" i="890"/>
  <c r="J80" i="890"/>
  <c r="G80" i="890"/>
  <c r="F80" i="890"/>
  <c r="Q79" i="890"/>
  <c r="P79" i="890"/>
  <c r="O79" i="890"/>
  <c r="N79" i="890"/>
  <c r="M79" i="890"/>
  <c r="L79" i="890"/>
  <c r="J79" i="890"/>
  <c r="G79" i="890"/>
  <c r="F79" i="890"/>
  <c r="Q78" i="890"/>
  <c r="P78" i="890"/>
  <c r="O78" i="890"/>
  <c r="N78" i="890"/>
  <c r="M78" i="890"/>
  <c r="L78" i="890"/>
  <c r="J78" i="890"/>
  <c r="Q77" i="890"/>
  <c r="P77" i="890"/>
  <c r="O77" i="890"/>
  <c r="N77" i="890"/>
  <c r="M77" i="890"/>
  <c r="L77" i="890"/>
  <c r="Q76" i="890"/>
  <c r="P76" i="890"/>
  <c r="O76" i="890"/>
  <c r="N76" i="890"/>
  <c r="M76" i="890"/>
  <c r="L76" i="890"/>
  <c r="J76" i="890"/>
  <c r="G76" i="890"/>
  <c r="F76" i="890"/>
  <c r="Q75" i="890"/>
  <c r="P75" i="890"/>
  <c r="O75" i="890"/>
  <c r="N75" i="890"/>
  <c r="M75" i="890"/>
  <c r="L75" i="890"/>
  <c r="J75" i="890"/>
  <c r="G75" i="890"/>
  <c r="F75" i="890"/>
  <c r="Q74" i="890"/>
  <c r="P74" i="890"/>
  <c r="O74" i="890"/>
  <c r="N74" i="890"/>
  <c r="M74" i="890"/>
  <c r="L74" i="890"/>
  <c r="J74" i="890"/>
  <c r="Q73" i="890"/>
  <c r="P73" i="890"/>
  <c r="O73" i="890"/>
  <c r="N73" i="890"/>
  <c r="M73" i="890"/>
  <c r="L73" i="890"/>
  <c r="Q72" i="890"/>
  <c r="P72" i="890"/>
  <c r="O72" i="890"/>
  <c r="N72" i="890"/>
  <c r="M72" i="890"/>
  <c r="L72" i="890"/>
  <c r="J72" i="890"/>
  <c r="G72" i="890"/>
  <c r="F72" i="890"/>
  <c r="Q71" i="890"/>
  <c r="P71" i="890"/>
  <c r="O71" i="890"/>
  <c r="N71" i="890"/>
  <c r="M71" i="890"/>
  <c r="L71" i="890"/>
  <c r="J71" i="890"/>
  <c r="G71" i="890"/>
  <c r="F71" i="890"/>
  <c r="Q70" i="890"/>
  <c r="P70" i="890"/>
  <c r="O70" i="890"/>
  <c r="N70" i="890"/>
  <c r="M70" i="890"/>
  <c r="L70" i="890"/>
  <c r="J70" i="890"/>
  <c r="Q69" i="890"/>
  <c r="P69" i="890"/>
  <c r="O69" i="890"/>
  <c r="N69" i="890"/>
  <c r="M69" i="890"/>
  <c r="L69" i="890"/>
  <c r="Q68" i="890"/>
  <c r="P68" i="890"/>
  <c r="O68" i="890"/>
  <c r="N68" i="890"/>
  <c r="M68" i="890"/>
  <c r="L68" i="890"/>
  <c r="J68" i="890"/>
  <c r="G68" i="890"/>
  <c r="F68" i="890"/>
  <c r="Q67" i="890"/>
  <c r="P67" i="890"/>
  <c r="O67" i="890"/>
  <c r="N67" i="890"/>
  <c r="M67" i="890"/>
  <c r="L67" i="890"/>
  <c r="J67" i="890"/>
  <c r="G67" i="890"/>
  <c r="F67" i="890"/>
  <c r="Q66" i="890"/>
  <c r="P66" i="890"/>
  <c r="O66" i="890"/>
  <c r="N66" i="890"/>
  <c r="M66" i="890"/>
  <c r="L66" i="890"/>
  <c r="J66" i="890"/>
  <c r="Q65" i="890"/>
  <c r="P65" i="890"/>
  <c r="O65" i="890"/>
  <c r="N65" i="890"/>
  <c r="M65" i="890"/>
  <c r="L65" i="890"/>
  <c r="Q64" i="890"/>
  <c r="P64" i="890"/>
  <c r="O64" i="890"/>
  <c r="N64" i="890"/>
  <c r="M64" i="890"/>
  <c r="L64" i="890"/>
  <c r="J64" i="890"/>
  <c r="G64" i="890"/>
  <c r="F64" i="890"/>
  <c r="Q63" i="890"/>
  <c r="P63" i="890"/>
  <c r="O63" i="890"/>
  <c r="N63" i="890"/>
  <c r="M63" i="890"/>
  <c r="L63" i="890"/>
  <c r="J63" i="890"/>
  <c r="G63" i="890"/>
  <c r="F63" i="890"/>
  <c r="Q62" i="890"/>
  <c r="P62" i="890"/>
  <c r="O62" i="890"/>
  <c r="N62" i="890"/>
  <c r="M62" i="890"/>
  <c r="L62" i="890"/>
  <c r="J62" i="890"/>
  <c r="Q61" i="890"/>
  <c r="P61" i="890"/>
  <c r="O61" i="890"/>
  <c r="N61" i="890"/>
  <c r="M61" i="890"/>
  <c r="L61" i="890"/>
  <c r="Q60" i="890"/>
  <c r="P60" i="890"/>
  <c r="O60" i="890"/>
  <c r="N60" i="890"/>
  <c r="M60" i="890"/>
  <c r="L60" i="890"/>
  <c r="J60" i="890"/>
  <c r="G60" i="890"/>
  <c r="F60" i="890"/>
  <c r="Q59" i="890"/>
  <c r="P59" i="890"/>
  <c r="O59" i="890"/>
  <c r="N59" i="890"/>
  <c r="M59" i="890"/>
  <c r="L59" i="890"/>
  <c r="J59" i="890"/>
  <c r="G59" i="890"/>
  <c r="F59" i="890"/>
  <c r="Q58" i="890"/>
  <c r="P58" i="890"/>
  <c r="O58" i="890"/>
  <c r="N58" i="890"/>
  <c r="M58" i="890"/>
  <c r="L58" i="890"/>
  <c r="J58" i="890"/>
  <c r="Q57" i="890"/>
  <c r="P57" i="890"/>
  <c r="O57" i="890"/>
  <c r="N57" i="890"/>
  <c r="M57" i="890"/>
  <c r="L57" i="890"/>
  <c r="Q56" i="890"/>
  <c r="P56" i="890"/>
  <c r="O56" i="890"/>
  <c r="N56" i="890"/>
  <c r="M56" i="890"/>
  <c r="L56" i="890"/>
  <c r="J56" i="890"/>
  <c r="G56" i="890"/>
  <c r="F56" i="890"/>
  <c r="Q55" i="890"/>
  <c r="P55" i="890"/>
  <c r="O55" i="890"/>
  <c r="N55" i="890"/>
  <c r="M55" i="890"/>
  <c r="L55" i="890"/>
  <c r="J55" i="890"/>
  <c r="G55" i="890"/>
  <c r="F55" i="890"/>
  <c r="Q54" i="890"/>
  <c r="P54" i="890"/>
  <c r="O54" i="890"/>
  <c r="N54" i="890"/>
  <c r="M54" i="890"/>
  <c r="L54" i="890"/>
  <c r="J54" i="890"/>
  <c r="Q53" i="890"/>
  <c r="P53" i="890"/>
  <c r="O53" i="890"/>
  <c r="N53" i="890"/>
  <c r="M53" i="890"/>
  <c r="L53" i="890"/>
  <c r="Q52" i="890"/>
  <c r="P52" i="890"/>
  <c r="O52" i="890"/>
  <c r="N52" i="890"/>
  <c r="M52" i="890"/>
  <c r="L52" i="890"/>
  <c r="J52" i="890"/>
  <c r="G52" i="890"/>
  <c r="F52" i="890"/>
  <c r="Q51" i="890"/>
  <c r="P51" i="890"/>
  <c r="O51" i="890"/>
  <c r="N51" i="890"/>
  <c r="M51" i="890"/>
  <c r="L51" i="890"/>
  <c r="J51" i="890"/>
  <c r="G51" i="890"/>
  <c r="F51" i="890"/>
  <c r="Q50" i="890"/>
  <c r="P50" i="890"/>
  <c r="O50" i="890"/>
  <c r="N50" i="890"/>
  <c r="M50" i="890"/>
  <c r="L50" i="890"/>
  <c r="J50" i="890"/>
  <c r="Q49" i="890"/>
  <c r="P49" i="890"/>
  <c r="O49" i="890"/>
  <c r="N49" i="890"/>
  <c r="M49" i="890"/>
  <c r="L49" i="890"/>
  <c r="Q48" i="890"/>
  <c r="P48" i="890"/>
  <c r="O48" i="890"/>
  <c r="N48" i="890"/>
  <c r="M48" i="890"/>
  <c r="L48" i="890"/>
  <c r="J48" i="890"/>
  <c r="G48" i="890"/>
  <c r="F48" i="890"/>
  <c r="Q47" i="890"/>
  <c r="P47" i="890"/>
  <c r="O47" i="890"/>
  <c r="N47" i="890"/>
  <c r="M47" i="890"/>
  <c r="L47" i="890"/>
  <c r="J47" i="890"/>
  <c r="G47" i="890"/>
  <c r="F47" i="890"/>
  <c r="Q46" i="890"/>
  <c r="P46" i="890"/>
  <c r="O46" i="890"/>
  <c r="N46" i="890"/>
  <c r="M46" i="890"/>
  <c r="L46" i="890"/>
  <c r="J46" i="890"/>
  <c r="Q45" i="890"/>
  <c r="P45" i="890"/>
  <c r="O45" i="890"/>
  <c r="N45" i="890"/>
  <c r="M45" i="890"/>
  <c r="L45" i="890"/>
  <c r="F45" i="890"/>
  <c r="Q44" i="890"/>
  <c r="P44" i="890"/>
  <c r="O44" i="890"/>
  <c r="N44" i="890"/>
  <c r="M44" i="890"/>
  <c r="L44" i="890"/>
  <c r="J44" i="890"/>
  <c r="H44" i="890"/>
  <c r="G44" i="890"/>
  <c r="F44" i="890"/>
  <c r="Q43" i="890"/>
  <c r="P43" i="890"/>
  <c r="O43" i="890"/>
  <c r="N43" i="890"/>
  <c r="M43" i="890"/>
  <c r="L43" i="890"/>
  <c r="F43" i="890"/>
  <c r="Q42" i="890"/>
  <c r="P42" i="890"/>
  <c r="O42" i="890"/>
  <c r="N42" i="890"/>
  <c r="M42" i="890"/>
  <c r="L42" i="890"/>
  <c r="Q41" i="890"/>
  <c r="J41" i="890"/>
  <c r="P41" i="890"/>
  <c r="O41" i="890"/>
  <c r="N41" i="890"/>
  <c r="G41" i="890"/>
  <c r="M41" i="890"/>
  <c r="L41" i="890"/>
  <c r="H41" i="890"/>
  <c r="E41" i="890"/>
  <c r="Q40" i="890"/>
  <c r="P40" i="890"/>
  <c r="O40" i="890"/>
  <c r="N40" i="890"/>
  <c r="M40" i="890"/>
  <c r="L40" i="890"/>
  <c r="E40" i="890"/>
  <c r="Q39" i="890"/>
  <c r="J39" i="890"/>
  <c r="P39" i="890"/>
  <c r="O39" i="890"/>
  <c r="N39" i="890"/>
  <c r="M39" i="890"/>
  <c r="L39" i="890"/>
  <c r="E39" i="890"/>
  <c r="Q38" i="890"/>
  <c r="J38" i="890"/>
  <c r="P38" i="890"/>
  <c r="O38" i="890"/>
  <c r="N38" i="890"/>
  <c r="G38" i="890"/>
  <c r="M38" i="890"/>
  <c r="L38" i="890"/>
  <c r="E38" i="890"/>
  <c r="Q37" i="890"/>
  <c r="P37" i="890"/>
  <c r="J37" i="890"/>
  <c r="O37" i="890"/>
  <c r="N37" i="890"/>
  <c r="M37" i="890"/>
  <c r="F37" i="890"/>
  <c r="L37" i="890"/>
  <c r="E37" i="890"/>
  <c r="Q36" i="890"/>
  <c r="P36" i="890"/>
  <c r="O36" i="890"/>
  <c r="N36" i="890"/>
  <c r="M36" i="890"/>
  <c r="L36" i="890"/>
  <c r="E36" i="890"/>
  <c r="Q35" i="890"/>
  <c r="P35" i="890"/>
  <c r="O35" i="890"/>
  <c r="N35" i="890"/>
  <c r="M35" i="890"/>
  <c r="L35" i="890"/>
  <c r="Q34" i="890"/>
  <c r="P34" i="890"/>
  <c r="J34" i="890"/>
  <c r="O34" i="890"/>
  <c r="N34" i="890"/>
  <c r="G34" i="890"/>
  <c r="M34" i="890"/>
  <c r="L34" i="890"/>
  <c r="F34" i="890"/>
  <c r="H34" i="890"/>
  <c r="E34" i="890"/>
  <c r="Q33" i="890"/>
  <c r="P33" i="890"/>
  <c r="J33" i="890"/>
  <c r="O33" i="890"/>
  <c r="N33" i="890"/>
  <c r="M33" i="890"/>
  <c r="F33" i="890"/>
  <c r="L33" i="890"/>
  <c r="E33" i="890"/>
  <c r="Q32" i="890"/>
  <c r="P32" i="890"/>
  <c r="O32" i="890"/>
  <c r="N32" i="890"/>
  <c r="M32" i="890"/>
  <c r="L32" i="890"/>
  <c r="Q31" i="890"/>
  <c r="P31" i="890"/>
  <c r="O31" i="890"/>
  <c r="N31" i="890"/>
  <c r="M31" i="890"/>
  <c r="L31" i="890"/>
  <c r="Q30" i="890"/>
  <c r="P30" i="890"/>
  <c r="J30" i="890"/>
  <c r="O30" i="890"/>
  <c r="N30" i="890"/>
  <c r="G30" i="890"/>
  <c r="M30" i="890"/>
  <c r="L30" i="890"/>
  <c r="H30" i="890"/>
  <c r="E30" i="890"/>
  <c r="Q29" i="890"/>
  <c r="P29" i="890"/>
  <c r="J29" i="890"/>
  <c r="O29" i="890"/>
  <c r="N29" i="890"/>
  <c r="M29" i="890"/>
  <c r="F29" i="890"/>
  <c r="L29" i="890"/>
  <c r="E29" i="890"/>
  <c r="Q28" i="890"/>
  <c r="P28" i="890"/>
  <c r="O28" i="890"/>
  <c r="N28" i="890"/>
  <c r="M28" i="890"/>
  <c r="L28" i="890"/>
  <c r="E28" i="890"/>
  <c r="Q27" i="890"/>
  <c r="P27" i="890"/>
  <c r="O27" i="890"/>
  <c r="N27" i="890"/>
  <c r="M27" i="890"/>
  <c r="L27" i="890"/>
  <c r="Q26" i="890"/>
  <c r="P26" i="890"/>
  <c r="J26" i="890"/>
  <c r="O26" i="890"/>
  <c r="N26" i="890"/>
  <c r="G26" i="890"/>
  <c r="M26" i="890"/>
  <c r="L26" i="890"/>
  <c r="H26" i="890"/>
  <c r="E26" i="890"/>
  <c r="Q25" i="890"/>
  <c r="P25" i="890"/>
  <c r="J25" i="890"/>
  <c r="O25" i="890"/>
  <c r="N25" i="890"/>
  <c r="M25" i="890"/>
  <c r="F25" i="890"/>
  <c r="L25" i="890"/>
  <c r="E25" i="890"/>
  <c r="Q24" i="890"/>
  <c r="P24" i="890"/>
  <c r="O24" i="890"/>
  <c r="N24" i="890"/>
  <c r="M24" i="890"/>
  <c r="F24" i="890"/>
  <c r="L24" i="890"/>
  <c r="E24" i="890"/>
  <c r="Q23" i="890"/>
  <c r="J23" i="890"/>
  <c r="P23" i="890"/>
  <c r="O23" i="890"/>
  <c r="N23" i="890"/>
  <c r="G23" i="890"/>
  <c r="M23" i="890"/>
  <c r="L23" i="890"/>
  <c r="H23" i="890"/>
  <c r="Q22" i="890"/>
  <c r="P22" i="890"/>
  <c r="O22" i="890"/>
  <c r="N22" i="890"/>
  <c r="M22" i="890"/>
  <c r="L22" i="890"/>
  <c r="Q21" i="890"/>
  <c r="J21" i="890"/>
  <c r="P21" i="890"/>
  <c r="O21" i="890"/>
  <c r="N21" i="890"/>
  <c r="G21" i="890"/>
  <c r="M21" i="890"/>
  <c r="F21" i="890"/>
  <c r="L21" i="890"/>
  <c r="H21" i="890"/>
  <c r="E21" i="890"/>
  <c r="Q20" i="890"/>
  <c r="P20" i="890"/>
  <c r="O20" i="890"/>
  <c r="N20" i="890"/>
  <c r="M20" i="890"/>
  <c r="L20" i="890"/>
  <c r="Q19" i="890"/>
  <c r="J19" i="890"/>
  <c r="P19" i="890"/>
  <c r="O19" i="890"/>
  <c r="N19" i="890"/>
  <c r="G19" i="890"/>
  <c r="M19" i="890"/>
  <c r="L19" i="890"/>
  <c r="E19" i="890"/>
  <c r="H19" i="890"/>
  <c r="Q18" i="890"/>
  <c r="P18" i="890"/>
  <c r="O18" i="890"/>
  <c r="N18" i="890"/>
  <c r="H18" i="890"/>
  <c r="M18" i="890"/>
  <c r="L18" i="890"/>
  <c r="Q17" i="890"/>
  <c r="P17" i="890"/>
  <c r="J17" i="890"/>
  <c r="O17" i="890"/>
  <c r="N17" i="890"/>
  <c r="G17" i="890"/>
  <c r="M17" i="890"/>
  <c r="F17" i="890"/>
  <c r="L17" i="890"/>
  <c r="H17" i="890"/>
  <c r="E17" i="890"/>
  <c r="Q16" i="890"/>
  <c r="P16" i="890"/>
  <c r="O16" i="890"/>
  <c r="N16" i="890"/>
  <c r="M16" i="890"/>
  <c r="L16" i="890"/>
  <c r="E16" i="890"/>
  <c r="Q15" i="890"/>
  <c r="P15" i="890"/>
  <c r="J15" i="890"/>
  <c r="O15" i="890"/>
  <c r="N15" i="890"/>
  <c r="G15" i="890"/>
  <c r="M15" i="890"/>
  <c r="F15" i="890"/>
  <c r="L15" i="890"/>
  <c r="H15" i="890"/>
  <c r="E15" i="890"/>
  <c r="Q14" i="890"/>
  <c r="P14" i="890"/>
  <c r="O14" i="890"/>
  <c r="N14" i="890"/>
  <c r="M14" i="890"/>
  <c r="F39" i="890"/>
  <c r="L14" i="890"/>
  <c r="C9" i="890"/>
  <c r="M7" i="890"/>
  <c r="V5" i="890"/>
  <c r="V4" i="890"/>
  <c r="S1" i="890"/>
  <c r="Q203" i="889"/>
  <c r="P203" i="889"/>
  <c r="O203" i="889"/>
  <c r="N203" i="889"/>
  <c r="M203" i="889"/>
  <c r="L203" i="889"/>
  <c r="H203" i="889"/>
  <c r="J203" i="889"/>
  <c r="G203" i="889"/>
  <c r="F203" i="889"/>
  <c r="Q202" i="889"/>
  <c r="P202" i="889"/>
  <c r="O202" i="889"/>
  <c r="N202" i="889"/>
  <c r="M202" i="889"/>
  <c r="L202" i="889"/>
  <c r="J202" i="889"/>
  <c r="H202" i="889"/>
  <c r="G202" i="889"/>
  <c r="F202" i="889"/>
  <c r="Q201" i="889"/>
  <c r="P201" i="889"/>
  <c r="O201" i="889"/>
  <c r="N201" i="889"/>
  <c r="M201" i="889"/>
  <c r="L201" i="889"/>
  <c r="H201" i="889"/>
  <c r="J201" i="889"/>
  <c r="G201" i="889"/>
  <c r="F201" i="889"/>
  <c r="Q200" i="889"/>
  <c r="P200" i="889"/>
  <c r="O200" i="889"/>
  <c r="N200" i="889"/>
  <c r="M200" i="889"/>
  <c r="L200" i="889"/>
  <c r="F200" i="889"/>
  <c r="Q199" i="889"/>
  <c r="P199" i="889"/>
  <c r="O199" i="889"/>
  <c r="N199" i="889"/>
  <c r="M199" i="889"/>
  <c r="L199" i="889"/>
  <c r="H199" i="889"/>
  <c r="J199" i="889"/>
  <c r="G199" i="889"/>
  <c r="F199" i="889"/>
  <c r="Q198" i="889"/>
  <c r="P198" i="889"/>
  <c r="O198" i="889"/>
  <c r="N198" i="889"/>
  <c r="M198" i="889"/>
  <c r="L198" i="889"/>
  <c r="H198" i="889"/>
  <c r="Q197" i="889"/>
  <c r="P197" i="889"/>
  <c r="O197" i="889"/>
  <c r="N197" i="889"/>
  <c r="M197" i="889"/>
  <c r="L197" i="889"/>
  <c r="H197" i="889"/>
  <c r="J197" i="889"/>
  <c r="G197" i="889"/>
  <c r="F197" i="889"/>
  <c r="Q196" i="889"/>
  <c r="P196" i="889"/>
  <c r="O196" i="889"/>
  <c r="N196" i="889"/>
  <c r="M196" i="889"/>
  <c r="L196" i="889"/>
  <c r="J196" i="889"/>
  <c r="H196" i="889"/>
  <c r="G196" i="889"/>
  <c r="Q195" i="889"/>
  <c r="P195" i="889"/>
  <c r="O195" i="889"/>
  <c r="N195" i="889"/>
  <c r="M195" i="889"/>
  <c r="L195" i="889"/>
  <c r="H195" i="889"/>
  <c r="J195" i="889"/>
  <c r="G195" i="889"/>
  <c r="F195" i="889"/>
  <c r="Q194" i="889"/>
  <c r="P194" i="889"/>
  <c r="O194" i="889"/>
  <c r="N194" i="889"/>
  <c r="M194" i="889"/>
  <c r="L194" i="889"/>
  <c r="J194" i="889"/>
  <c r="H194" i="889"/>
  <c r="G194" i="889"/>
  <c r="F194" i="889"/>
  <c r="Q193" i="889"/>
  <c r="P193" i="889"/>
  <c r="O193" i="889"/>
  <c r="N193" i="889"/>
  <c r="M193" i="889"/>
  <c r="L193" i="889"/>
  <c r="H193" i="889"/>
  <c r="J193" i="889"/>
  <c r="G193" i="889"/>
  <c r="F193" i="889"/>
  <c r="Q192" i="889"/>
  <c r="P192" i="889"/>
  <c r="O192" i="889"/>
  <c r="N192" i="889"/>
  <c r="M192" i="889"/>
  <c r="L192" i="889"/>
  <c r="Q191" i="889"/>
  <c r="P191" i="889"/>
  <c r="O191" i="889"/>
  <c r="N191" i="889"/>
  <c r="M191" i="889"/>
  <c r="L191" i="889"/>
  <c r="H191" i="889"/>
  <c r="J191" i="889"/>
  <c r="G191" i="889"/>
  <c r="F191" i="889"/>
  <c r="Q190" i="889"/>
  <c r="P190" i="889"/>
  <c r="O190" i="889"/>
  <c r="N190" i="889"/>
  <c r="M190" i="889"/>
  <c r="L190" i="889"/>
  <c r="H190" i="889"/>
  <c r="Q189" i="889"/>
  <c r="P189" i="889"/>
  <c r="O189" i="889"/>
  <c r="N189" i="889"/>
  <c r="M189" i="889"/>
  <c r="L189" i="889"/>
  <c r="H189" i="889"/>
  <c r="J189" i="889"/>
  <c r="G189" i="889"/>
  <c r="F189" i="889"/>
  <c r="Q188" i="889"/>
  <c r="P188" i="889"/>
  <c r="O188" i="889"/>
  <c r="N188" i="889"/>
  <c r="M188" i="889"/>
  <c r="L188" i="889"/>
  <c r="J188" i="889"/>
  <c r="H188" i="889"/>
  <c r="G188" i="889"/>
  <c r="Q187" i="889"/>
  <c r="P187" i="889"/>
  <c r="O187" i="889"/>
  <c r="N187" i="889"/>
  <c r="M187" i="889"/>
  <c r="L187" i="889"/>
  <c r="H187" i="889"/>
  <c r="J187" i="889"/>
  <c r="G187" i="889"/>
  <c r="F187" i="889"/>
  <c r="Q186" i="889"/>
  <c r="P186" i="889"/>
  <c r="O186" i="889"/>
  <c r="N186" i="889"/>
  <c r="M186" i="889"/>
  <c r="L186" i="889"/>
  <c r="J186" i="889"/>
  <c r="H186" i="889"/>
  <c r="G186" i="889"/>
  <c r="F186" i="889"/>
  <c r="Q185" i="889"/>
  <c r="P185" i="889"/>
  <c r="O185" i="889"/>
  <c r="N185" i="889"/>
  <c r="M185" i="889"/>
  <c r="L185" i="889"/>
  <c r="H185" i="889"/>
  <c r="J185" i="889"/>
  <c r="G185" i="889"/>
  <c r="F185" i="889"/>
  <c r="Q184" i="889"/>
  <c r="P184" i="889"/>
  <c r="O184" i="889"/>
  <c r="N184" i="889"/>
  <c r="M184" i="889"/>
  <c r="L184" i="889"/>
  <c r="F184" i="889"/>
  <c r="Q183" i="889"/>
  <c r="P183" i="889"/>
  <c r="O183" i="889"/>
  <c r="N183" i="889"/>
  <c r="M183" i="889"/>
  <c r="L183" i="889"/>
  <c r="H183" i="889"/>
  <c r="J183" i="889"/>
  <c r="G183" i="889"/>
  <c r="F183" i="889"/>
  <c r="Q182" i="889"/>
  <c r="P182" i="889"/>
  <c r="O182" i="889"/>
  <c r="N182" i="889"/>
  <c r="M182" i="889"/>
  <c r="L182" i="889"/>
  <c r="Q181" i="889"/>
  <c r="P181" i="889"/>
  <c r="O181" i="889"/>
  <c r="N181" i="889"/>
  <c r="M181" i="889"/>
  <c r="L181" i="889"/>
  <c r="F181" i="889"/>
  <c r="Q180" i="889"/>
  <c r="P180" i="889"/>
  <c r="O180" i="889"/>
  <c r="N180" i="889"/>
  <c r="M180" i="889"/>
  <c r="L180" i="889"/>
  <c r="G180" i="889"/>
  <c r="Q179" i="889"/>
  <c r="P179" i="889"/>
  <c r="O179" i="889"/>
  <c r="N179" i="889"/>
  <c r="M179" i="889"/>
  <c r="L179" i="889"/>
  <c r="J179" i="889"/>
  <c r="G179" i="889"/>
  <c r="Q178" i="889"/>
  <c r="P178" i="889"/>
  <c r="O178" i="889"/>
  <c r="N178" i="889"/>
  <c r="M178" i="889"/>
  <c r="L178" i="889"/>
  <c r="J178" i="889"/>
  <c r="Q177" i="889"/>
  <c r="P177" i="889"/>
  <c r="O177" i="889"/>
  <c r="N177" i="889"/>
  <c r="M177" i="889"/>
  <c r="L177" i="889"/>
  <c r="F177" i="889"/>
  <c r="Q176" i="889"/>
  <c r="P176" i="889"/>
  <c r="O176" i="889"/>
  <c r="N176" i="889"/>
  <c r="M176" i="889"/>
  <c r="L176" i="889"/>
  <c r="Q175" i="889"/>
  <c r="P175" i="889"/>
  <c r="O175" i="889"/>
  <c r="N175" i="889"/>
  <c r="M175" i="889"/>
  <c r="L175" i="889"/>
  <c r="Q174" i="889"/>
  <c r="P174" i="889"/>
  <c r="O174" i="889"/>
  <c r="N174" i="889"/>
  <c r="M174" i="889"/>
  <c r="L174" i="889"/>
  <c r="J174" i="889"/>
  <c r="Q173" i="889"/>
  <c r="P173" i="889"/>
  <c r="O173" i="889"/>
  <c r="N173" i="889"/>
  <c r="M173" i="889"/>
  <c r="L173" i="889"/>
  <c r="F173" i="889"/>
  <c r="Q172" i="889"/>
  <c r="P172" i="889"/>
  <c r="O172" i="889"/>
  <c r="N172" i="889"/>
  <c r="M172" i="889"/>
  <c r="L172" i="889"/>
  <c r="Q171" i="889"/>
  <c r="P171" i="889"/>
  <c r="O171" i="889"/>
  <c r="N171" i="889"/>
  <c r="M171" i="889"/>
  <c r="L171" i="889"/>
  <c r="Q170" i="889"/>
  <c r="P170" i="889"/>
  <c r="O170" i="889"/>
  <c r="N170" i="889"/>
  <c r="M170" i="889"/>
  <c r="L170" i="889"/>
  <c r="Q169" i="889"/>
  <c r="P169" i="889"/>
  <c r="O169" i="889"/>
  <c r="N169" i="889"/>
  <c r="M169" i="889"/>
  <c r="L169" i="889"/>
  <c r="H169" i="889"/>
  <c r="Q168" i="889"/>
  <c r="P168" i="889"/>
  <c r="O168" i="889"/>
  <c r="N168" i="889"/>
  <c r="M168" i="889"/>
  <c r="L168" i="889"/>
  <c r="G168" i="889"/>
  <c r="F168" i="889"/>
  <c r="Q167" i="889"/>
  <c r="P167" i="889"/>
  <c r="O167" i="889"/>
  <c r="N167" i="889"/>
  <c r="M167" i="889"/>
  <c r="L167" i="889"/>
  <c r="J167" i="889"/>
  <c r="H167" i="889"/>
  <c r="F167" i="889"/>
  <c r="Q166" i="889"/>
  <c r="P166" i="889"/>
  <c r="O166" i="889"/>
  <c r="N166" i="889"/>
  <c r="M166" i="889"/>
  <c r="L166" i="889"/>
  <c r="Q165" i="889"/>
  <c r="P165" i="889"/>
  <c r="O165" i="889"/>
  <c r="N165" i="889"/>
  <c r="M165" i="889"/>
  <c r="L165" i="889"/>
  <c r="Q164" i="889"/>
  <c r="P164" i="889"/>
  <c r="O164" i="889"/>
  <c r="N164" i="889"/>
  <c r="M164" i="889"/>
  <c r="L164" i="889"/>
  <c r="Q163" i="889"/>
  <c r="P163" i="889"/>
  <c r="O163" i="889"/>
  <c r="N163" i="889"/>
  <c r="M163" i="889"/>
  <c r="L163" i="889"/>
  <c r="J163" i="889"/>
  <c r="Q162" i="889"/>
  <c r="P162" i="889"/>
  <c r="O162" i="889"/>
  <c r="N162" i="889"/>
  <c r="M162" i="889"/>
  <c r="L162" i="889"/>
  <c r="G162" i="889"/>
  <c r="F162" i="889"/>
  <c r="Q161" i="889"/>
  <c r="P161" i="889"/>
  <c r="O161" i="889"/>
  <c r="N161" i="889"/>
  <c r="M161" i="889"/>
  <c r="L161" i="889"/>
  <c r="J161" i="889"/>
  <c r="H161" i="889"/>
  <c r="Q160" i="889"/>
  <c r="P160" i="889"/>
  <c r="O160" i="889"/>
  <c r="N160" i="889"/>
  <c r="M160" i="889"/>
  <c r="L160" i="889"/>
  <c r="J160" i="889"/>
  <c r="F160" i="889"/>
  <c r="Q159" i="889"/>
  <c r="P159" i="889"/>
  <c r="O159" i="889"/>
  <c r="N159" i="889"/>
  <c r="M159" i="889"/>
  <c r="L159" i="889"/>
  <c r="J159" i="889"/>
  <c r="H159" i="889"/>
  <c r="G159" i="889"/>
  <c r="F159" i="889"/>
  <c r="Q158" i="889"/>
  <c r="P158" i="889"/>
  <c r="O158" i="889"/>
  <c r="N158" i="889"/>
  <c r="M158" i="889"/>
  <c r="L158" i="889"/>
  <c r="J158" i="889"/>
  <c r="Q157" i="889"/>
  <c r="P157" i="889"/>
  <c r="O157" i="889"/>
  <c r="N157" i="889"/>
  <c r="M157" i="889"/>
  <c r="L157" i="889"/>
  <c r="J157" i="889"/>
  <c r="H157" i="889"/>
  <c r="G157" i="889"/>
  <c r="F157" i="889"/>
  <c r="Q156" i="889"/>
  <c r="P156" i="889"/>
  <c r="O156" i="889"/>
  <c r="N156" i="889"/>
  <c r="M156" i="889"/>
  <c r="L156" i="889"/>
  <c r="J156" i="889"/>
  <c r="F156" i="889"/>
  <c r="Q155" i="889"/>
  <c r="P155" i="889"/>
  <c r="O155" i="889"/>
  <c r="N155" i="889"/>
  <c r="M155" i="889"/>
  <c r="L155" i="889"/>
  <c r="J155" i="889"/>
  <c r="H155" i="889"/>
  <c r="G155" i="889"/>
  <c r="F155" i="889"/>
  <c r="Q154" i="889"/>
  <c r="P154" i="889"/>
  <c r="O154" i="889"/>
  <c r="N154" i="889"/>
  <c r="M154" i="889"/>
  <c r="L154" i="889"/>
  <c r="J154" i="889"/>
  <c r="Q153" i="889"/>
  <c r="P153" i="889"/>
  <c r="O153" i="889"/>
  <c r="N153" i="889"/>
  <c r="M153" i="889"/>
  <c r="L153" i="889"/>
  <c r="J153" i="889"/>
  <c r="H153" i="889"/>
  <c r="G153" i="889"/>
  <c r="F153" i="889"/>
  <c r="Q152" i="889"/>
  <c r="P152" i="889"/>
  <c r="O152" i="889"/>
  <c r="N152" i="889"/>
  <c r="M152" i="889"/>
  <c r="L152" i="889"/>
  <c r="J152" i="889"/>
  <c r="F152" i="889"/>
  <c r="Q151" i="889"/>
  <c r="P151" i="889"/>
  <c r="O151" i="889"/>
  <c r="N151" i="889"/>
  <c r="M151" i="889"/>
  <c r="L151" i="889"/>
  <c r="J151" i="889"/>
  <c r="H151" i="889"/>
  <c r="G151" i="889"/>
  <c r="F151" i="889"/>
  <c r="Q150" i="889"/>
  <c r="P150" i="889"/>
  <c r="O150" i="889"/>
  <c r="N150" i="889"/>
  <c r="M150" i="889"/>
  <c r="L150" i="889"/>
  <c r="J150" i="889"/>
  <c r="Q149" i="889"/>
  <c r="P149" i="889"/>
  <c r="O149" i="889"/>
  <c r="N149" i="889"/>
  <c r="M149" i="889"/>
  <c r="L149" i="889"/>
  <c r="J149" i="889"/>
  <c r="H149" i="889"/>
  <c r="G149" i="889"/>
  <c r="F149" i="889"/>
  <c r="Q148" i="889"/>
  <c r="P148" i="889"/>
  <c r="O148" i="889"/>
  <c r="N148" i="889"/>
  <c r="M148" i="889"/>
  <c r="L148" i="889"/>
  <c r="J148" i="889"/>
  <c r="F148" i="889"/>
  <c r="Q147" i="889"/>
  <c r="P147" i="889"/>
  <c r="O147" i="889"/>
  <c r="N147" i="889"/>
  <c r="M147" i="889"/>
  <c r="L147" i="889"/>
  <c r="J147" i="889"/>
  <c r="H147" i="889"/>
  <c r="G147" i="889"/>
  <c r="F147" i="889"/>
  <c r="Q146" i="889"/>
  <c r="P146" i="889"/>
  <c r="O146" i="889"/>
  <c r="N146" i="889"/>
  <c r="M146" i="889"/>
  <c r="L146" i="889"/>
  <c r="J146" i="889"/>
  <c r="Q145" i="889"/>
  <c r="P145" i="889"/>
  <c r="O145" i="889"/>
  <c r="N145" i="889"/>
  <c r="M145" i="889"/>
  <c r="L145" i="889"/>
  <c r="J145" i="889"/>
  <c r="H145" i="889"/>
  <c r="G145" i="889"/>
  <c r="F145" i="889"/>
  <c r="Q144" i="889"/>
  <c r="P144" i="889"/>
  <c r="O144" i="889"/>
  <c r="N144" i="889"/>
  <c r="M144" i="889"/>
  <c r="L144" i="889"/>
  <c r="J144" i="889"/>
  <c r="F144" i="889"/>
  <c r="Q143" i="889"/>
  <c r="P143" i="889"/>
  <c r="O143" i="889"/>
  <c r="N143" i="889"/>
  <c r="M143" i="889"/>
  <c r="L143" i="889"/>
  <c r="J143" i="889"/>
  <c r="H143" i="889"/>
  <c r="G143" i="889"/>
  <c r="F143" i="889"/>
  <c r="Q142" i="889"/>
  <c r="P142" i="889"/>
  <c r="O142" i="889"/>
  <c r="N142" i="889"/>
  <c r="M142" i="889"/>
  <c r="L142" i="889"/>
  <c r="J142" i="889"/>
  <c r="Q141" i="889"/>
  <c r="P141" i="889"/>
  <c r="O141" i="889"/>
  <c r="N141" i="889"/>
  <c r="M141" i="889"/>
  <c r="L141" i="889"/>
  <c r="J141" i="889"/>
  <c r="H141" i="889"/>
  <c r="G141" i="889"/>
  <c r="F141" i="889"/>
  <c r="Q140" i="889"/>
  <c r="P140" i="889"/>
  <c r="O140" i="889"/>
  <c r="N140" i="889"/>
  <c r="M140" i="889"/>
  <c r="L140" i="889"/>
  <c r="J140" i="889"/>
  <c r="F140" i="889"/>
  <c r="Q139" i="889"/>
  <c r="P139" i="889"/>
  <c r="O139" i="889"/>
  <c r="N139" i="889"/>
  <c r="M139" i="889"/>
  <c r="L139" i="889"/>
  <c r="J139" i="889"/>
  <c r="H139" i="889"/>
  <c r="G139" i="889"/>
  <c r="F139" i="889"/>
  <c r="Q138" i="889"/>
  <c r="P138" i="889"/>
  <c r="O138" i="889"/>
  <c r="N138" i="889"/>
  <c r="M138" i="889"/>
  <c r="L138" i="889"/>
  <c r="J138" i="889"/>
  <c r="Q137" i="889"/>
  <c r="P137" i="889"/>
  <c r="O137" i="889"/>
  <c r="N137" i="889"/>
  <c r="M137" i="889"/>
  <c r="L137" i="889"/>
  <c r="H137" i="889"/>
  <c r="J137" i="889"/>
  <c r="I137" i="889"/>
  <c r="G137" i="889"/>
  <c r="F137" i="889"/>
  <c r="E137" i="889"/>
  <c r="Q136" i="889"/>
  <c r="P136" i="889"/>
  <c r="O136" i="889"/>
  <c r="N136" i="889"/>
  <c r="M136" i="889"/>
  <c r="L136" i="889"/>
  <c r="H136" i="889"/>
  <c r="J136" i="889"/>
  <c r="I136" i="889"/>
  <c r="G136" i="889"/>
  <c r="F136" i="889"/>
  <c r="E136" i="889"/>
  <c r="Q135" i="889"/>
  <c r="P135" i="889"/>
  <c r="O135" i="889"/>
  <c r="N135" i="889"/>
  <c r="M135" i="889"/>
  <c r="L135" i="889"/>
  <c r="H135" i="889"/>
  <c r="J135" i="889"/>
  <c r="I135" i="889"/>
  <c r="G135" i="889"/>
  <c r="F135" i="889"/>
  <c r="E135" i="889"/>
  <c r="Q134" i="889"/>
  <c r="P134" i="889"/>
  <c r="O134" i="889"/>
  <c r="N134" i="889"/>
  <c r="M134" i="889"/>
  <c r="L134" i="889"/>
  <c r="H134" i="889"/>
  <c r="J134" i="889"/>
  <c r="I134" i="889"/>
  <c r="G134" i="889"/>
  <c r="F134" i="889"/>
  <c r="E134" i="889"/>
  <c r="Q133" i="889"/>
  <c r="P133" i="889"/>
  <c r="O133" i="889"/>
  <c r="N133" i="889"/>
  <c r="M133" i="889"/>
  <c r="L133" i="889"/>
  <c r="H133" i="889"/>
  <c r="J133" i="889"/>
  <c r="I133" i="889"/>
  <c r="G133" i="889"/>
  <c r="F133" i="889"/>
  <c r="E133" i="889"/>
  <c r="Q132" i="889"/>
  <c r="P132" i="889"/>
  <c r="O132" i="889"/>
  <c r="N132" i="889"/>
  <c r="M132" i="889"/>
  <c r="L132" i="889"/>
  <c r="H132" i="889"/>
  <c r="J132" i="889"/>
  <c r="I132" i="889"/>
  <c r="G132" i="889"/>
  <c r="F132" i="889"/>
  <c r="E132" i="889"/>
  <c r="Q131" i="889"/>
  <c r="P131" i="889"/>
  <c r="O131" i="889"/>
  <c r="N131" i="889"/>
  <c r="M131" i="889"/>
  <c r="L131" i="889"/>
  <c r="H131" i="889"/>
  <c r="J131" i="889"/>
  <c r="I131" i="889"/>
  <c r="G131" i="889"/>
  <c r="F131" i="889"/>
  <c r="E131" i="889"/>
  <c r="Q130" i="889"/>
  <c r="P130" i="889"/>
  <c r="O130" i="889"/>
  <c r="N130" i="889"/>
  <c r="M130" i="889"/>
  <c r="L130" i="889"/>
  <c r="H130" i="889"/>
  <c r="J130" i="889"/>
  <c r="I130" i="889"/>
  <c r="G130" i="889"/>
  <c r="F130" i="889"/>
  <c r="E130" i="889"/>
  <c r="Q129" i="889"/>
  <c r="P129" i="889"/>
  <c r="O129" i="889"/>
  <c r="N129" i="889"/>
  <c r="M129" i="889"/>
  <c r="L129" i="889"/>
  <c r="H129" i="889"/>
  <c r="J129" i="889"/>
  <c r="I129" i="889"/>
  <c r="G129" i="889"/>
  <c r="F129" i="889"/>
  <c r="E129" i="889"/>
  <c r="Q128" i="889"/>
  <c r="P128" i="889"/>
  <c r="O128" i="889"/>
  <c r="N128" i="889"/>
  <c r="M128" i="889"/>
  <c r="L128" i="889"/>
  <c r="H128" i="889"/>
  <c r="J128" i="889"/>
  <c r="I128" i="889"/>
  <c r="G128" i="889"/>
  <c r="F128" i="889"/>
  <c r="E128" i="889"/>
  <c r="Q127" i="889"/>
  <c r="P127" i="889"/>
  <c r="O127" i="889"/>
  <c r="N127" i="889"/>
  <c r="M127" i="889"/>
  <c r="L127" i="889"/>
  <c r="H127" i="889"/>
  <c r="J127" i="889"/>
  <c r="I127" i="889"/>
  <c r="G127" i="889"/>
  <c r="F127" i="889"/>
  <c r="E127" i="889"/>
  <c r="Q126" i="889"/>
  <c r="P126" i="889"/>
  <c r="O126" i="889"/>
  <c r="N126" i="889"/>
  <c r="M126" i="889"/>
  <c r="L126" i="889"/>
  <c r="H126" i="889"/>
  <c r="J126" i="889"/>
  <c r="I126" i="889"/>
  <c r="G126" i="889"/>
  <c r="F126" i="889"/>
  <c r="E126" i="889"/>
  <c r="Q125" i="889"/>
  <c r="P125" i="889"/>
  <c r="O125" i="889"/>
  <c r="N125" i="889"/>
  <c r="M125" i="889"/>
  <c r="L125" i="889"/>
  <c r="H125" i="889"/>
  <c r="J125" i="889"/>
  <c r="I125" i="889"/>
  <c r="G125" i="889"/>
  <c r="F125" i="889"/>
  <c r="E125" i="889"/>
  <c r="Q124" i="889"/>
  <c r="P124" i="889"/>
  <c r="O124" i="889"/>
  <c r="N124" i="889"/>
  <c r="M124" i="889"/>
  <c r="L124" i="889"/>
  <c r="H124" i="889"/>
  <c r="J124" i="889"/>
  <c r="I124" i="889"/>
  <c r="G124" i="889"/>
  <c r="F124" i="889"/>
  <c r="E124" i="889"/>
  <c r="Q123" i="889"/>
  <c r="P123" i="889"/>
  <c r="O123" i="889"/>
  <c r="N123" i="889"/>
  <c r="M123" i="889"/>
  <c r="L123" i="889"/>
  <c r="H123" i="889"/>
  <c r="J123" i="889"/>
  <c r="I123" i="889"/>
  <c r="G123" i="889"/>
  <c r="F123" i="889"/>
  <c r="E123" i="889"/>
  <c r="Q122" i="889"/>
  <c r="P122" i="889"/>
  <c r="O122" i="889"/>
  <c r="N122" i="889"/>
  <c r="M122" i="889"/>
  <c r="L122" i="889"/>
  <c r="H122" i="889"/>
  <c r="J122" i="889"/>
  <c r="I122" i="889"/>
  <c r="G122" i="889"/>
  <c r="F122" i="889"/>
  <c r="E122" i="889"/>
  <c r="Q121" i="889"/>
  <c r="P121" i="889"/>
  <c r="O121" i="889"/>
  <c r="N121" i="889"/>
  <c r="M121" i="889"/>
  <c r="L121" i="889"/>
  <c r="H121" i="889"/>
  <c r="J121" i="889"/>
  <c r="I121" i="889"/>
  <c r="G121" i="889"/>
  <c r="F121" i="889"/>
  <c r="E121" i="889"/>
  <c r="Q120" i="889"/>
  <c r="P120" i="889"/>
  <c r="O120" i="889"/>
  <c r="N120" i="889"/>
  <c r="M120" i="889"/>
  <c r="L120" i="889"/>
  <c r="H120" i="889"/>
  <c r="J120" i="889"/>
  <c r="I120" i="889"/>
  <c r="G120" i="889"/>
  <c r="F120" i="889"/>
  <c r="E120" i="889"/>
  <c r="Q119" i="889"/>
  <c r="P119" i="889"/>
  <c r="O119" i="889"/>
  <c r="N119" i="889"/>
  <c r="M119" i="889"/>
  <c r="L119" i="889"/>
  <c r="H119" i="889"/>
  <c r="J119" i="889"/>
  <c r="I119" i="889"/>
  <c r="G119" i="889"/>
  <c r="F119" i="889"/>
  <c r="E119" i="889"/>
  <c r="Q118" i="889"/>
  <c r="P118" i="889"/>
  <c r="O118" i="889"/>
  <c r="N118" i="889"/>
  <c r="M118" i="889"/>
  <c r="L118" i="889"/>
  <c r="H118" i="889"/>
  <c r="J118" i="889"/>
  <c r="I118" i="889"/>
  <c r="G118" i="889"/>
  <c r="F118" i="889"/>
  <c r="E118" i="889"/>
  <c r="Q117" i="889"/>
  <c r="P117" i="889"/>
  <c r="O117" i="889"/>
  <c r="N117" i="889"/>
  <c r="M117" i="889"/>
  <c r="L117" i="889"/>
  <c r="H117" i="889"/>
  <c r="J117" i="889"/>
  <c r="I117" i="889"/>
  <c r="G117" i="889"/>
  <c r="F117" i="889"/>
  <c r="E117" i="889"/>
  <c r="Q116" i="889"/>
  <c r="P116" i="889"/>
  <c r="O116" i="889"/>
  <c r="N116" i="889"/>
  <c r="M116" i="889"/>
  <c r="L116" i="889"/>
  <c r="H116" i="889"/>
  <c r="J116" i="889"/>
  <c r="I116" i="889"/>
  <c r="G116" i="889"/>
  <c r="F116" i="889"/>
  <c r="E116" i="889"/>
  <c r="Q115" i="889"/>
  <c r="P115" i="889"/>
  <c r="O115" i="889"/>
  <c r="N115" i="889"/>
  <c r="M115" i="889"/>
  <c r="L115" i="889"/>
  <c r="H115" i="889"/>
  <c r="J115" i="889"/>
  <c r="I115" i="889"/>
  <c r="G115" i="889"/>
  <c r="F115" i="889"/>
  <c r="E115" i="889"/>
  <c r="Q114" i="889"/>
  <c r="P114" i="889"/>
  <c r="O114" i="889"/>
  <c r="N114" i="889"/>
  <c r="M114" i="889"/>
  <c r="L114" i="889"/>
  <c r="H114" i="889"/>
  <c r="J114" i="889"/>
  <c r="I114" i="889"/>
  <c r="G114" i="889"/>
  <c r="F114" i="889"/>
  <c r="E114" i="889"/>
  <c r="Q113" i="889"/>
  <c r="P113" i="889"/>
  <c r="O113" i="889"/>
  <c r="N113" i="889"/>
  <c r="M113" i="889"/>
  <c r="L113" i="889"/>
  <c r="H113" i="889"/>
  <c r="J113" i="889"/>
  <c r="I113" i="889"/>
  <c r="G113" i="889"/>
  <c r="F113" i="889"/>
  <c r="E113" i="889"/>
  <c r="Q112" i="889"/>
  <c r="P112" i="889"/>
  <c r="O112" i="889"/>
  <c r="N112" i="889"/>
  <c r="M112" i="889"/>
  <c r="L112" i="889"/>
  <c r="H112" i="889"/>
  <c r="J112" i="889"/>
  <c r="I112" i="889"/>
  <c r="G112" i="889"/>
  <c r="F112" i="889"/>
  <c r="E112" i="889"/>
  <c r="Q111" i="889"/>
  <c r="P111" i="889"/>
  <c r="O111" i="889"/>
  <c r="N111" i="889"/>
  <c r="M111" i="889"/>
  <c r="L111" i="889"/>
  <c r="H111" i="889"/>
  <c r="J111" i="889"/>
  <c r="I111" i="889"/>
  <c r="G111" i="889"/>
  <c r="F111" i="889"/>
  <c r="E111" i="889"/>
  <c r="Q110" i="889"/>
  <c r="P110" i="889"/>
  <c r="O110" i="889"/>
  <c r="N110" i="889"/>
  <c r="M110" i="889"/>
  <c r="L110" i="889"/>
  <c r="H110" i="889"/>
  <c r="J110" i="889"/>
  <c r="I110" i="889"/>
  <c r="G110" i="889"/>
  <c r="F110" i="889"/>
  <c r="E110" i="889"/>
  <c r="Q109" i="889"/>
  <c r="P109" i="889"/>
  <c r="O109" i="889"/>
  <c r="N109" i="889"/>
  <c r="M109" i="889"/>
  <c r="L109" i="889"/>
  <c r="H109" i="889"/>
  <c r="J109" i="889"/>
  <c r="I109" i="889"/>
  <c r="G109" i="889"/>
  <c r="F109" i="889"/>
  <c r="E109" i="889"/>
  <c r="Q108" i="889"/>
  <c r="P108" i="889"/>
  <c r="O108" i="889"/>
  <c r="N108" i="889"/>
  <c r="M108" i="889"/>
  <c r="L108" i="889"/>
  <c r="H108" i="889"/>
  <c r="J108" i="889"/>
  <c r="I108" i="889"/>
  <c r="G108" i="889"/>
  <c r="F108" i="889"/>
  <c r="E108" i="889"/>
  <c r="Q107" i="889"/>
  <c r="P107" i="889"/>
  <c r="O107" i="889"/>
  <c r="N107" i="889"/>
  <c r="M107" i="889"/>
  <c r="L107" i="889"/>
  <c r="H107" i="889"/>
  <c r="J107" i="889"/>
  <c r="I107" i="889"/>
  <c r="G107" i="889"/>
  <c r="F107" i="889"/>
  <c r="E107" i="889"/>
  <c r="Q106" i="889"/>
  <c r="P106" i="889"/>
  <c r="O106" i="889"/>
  <c r="N106" i="889"/>
  <c r="M106" i="889"/>
  <c r="L106" i="889"/>
  <c r="H106" i="889"/>
  <c r="J106" i="889"/>
  <c r="I106" i="889"/>
  <c r="G106" i="889"/>
  <c r="F106" i="889"/>
  <c r="E106" i="889"/>
  <c r="Q105" i="889"/>
  <c r="P105" i="889"/>
  <c r="O105" i="889"/>
  <c r="N105" i="889"/>
  <c r="M105" i="889"/>
  <c r="L105" i="889"/>
  <c r="H105" i="889"/>
  <c r="J105" i="889"/>
  <c r="I105" i="889"/>
  <c r="G105" i="889"/>
  <c r="F105" i="889"/>
  <c r="E105" i="889"/>
  <c r="Q104" i="889"/>
  <c r="P104" i="889"/>
  <c r="O104" i="889"/>
  <c r="N104" i="889"/>
  <c r="M104" i="889"/>
  <c r="L104" i="889"/>
  <c r="H104" i="889"/>
  <c r="J104" i="889"/>
  <c r="I104" i="889"/>
  <c r="G104" i="889"/>
  <c r="F104" i="889"/>
  <c r="E104" i="889"/>
  <c r="Q103" i="889"/>
  <c r="P103" i="889"/>
  <c r="O103" i="889"/>
  <c r="N103" i="889"/>
  <c r="M103" i="889"/>
  <c r="L103" i="889"/>
  <c r="H103" i="889"/>
  <c r="J103" i="889"/>
  <c r="I103" i="889"/>
  <c r="G103" i="889"/>
  <c r="F103" i="889"/>
  <c r="E103" i="889"/>
  <c r="Q102" i="889"/>
  <c r="P102" i="889"/>
  <c r="O102" i="889"/>
  <c r="N102" i="889"/>
  <c r="M102" i="889"/>
  <c r="L102" i="889"/>
  <c r="H102" i="889"/>
  <c r="J102" i="889"/>
  <c r="I102" i="889"/>
  <c r="G102" i="889"/>
  <c r="F102" i="889"/>
  <c r="E102" i="889"/>
  <c r="Q101" i="889"/>
  <c r="P101" i="889"/>
  <c r="O101" i="889"/>
  <c r="N101" i="889"/>
  <c r="M101" i="889"/>
  <c r="L101" i="889"/>
  <c r="H101" i="889"/>
  <c r="J101" i="889"/>
  <c r="I101" i="889"/>
  <c r="G101" i="889"/>
  <c r="F101" i="889"/>
  <c r="E101" i="889"/>
  <c r="Q100" i="889"/>
  <c r="P100" i="889"/>
  <c r="O100" i="889"/>
  <c r="N100" i="889"/>
  <c r="M100" i="889"/>
  <c r="L100" i="889"/>
  <c r="H100" i="889"/>
  <c r="J100" i="889"/>
  <c r="I100" i="889"/>
  <c r="G100" i="889"/>
  <c r="F100" i="889"/>
  <c r="E100" i="889"/>
  <c r="Q99" i="889"/>
  <c r="P99" i="889"/>
  <c r="O99" i="889"/>
  <c r="N99" i="889"/>
  <c r="M99" i="889"/>
  <c r="L99" i="889"/>
  <c r="H99" i="889"/>
  <c r="J99" i="889"/>
  <c r="I99" i="889"/>
  <c r="G99" i="889"/>
  <c r="F99" i="889"/>
  <c r="E99" i="889"/>
  <c r="Q98" i="889"/>
  <c r="P98" i="889"/>
  <c r="O98" i="889"/>
  <c r="N98" i="889"/>
  <c r="M98" i="889"/>
  <c r="L98" i="889"/>
  <c r="H98" i="889"/>
  <c r="J98" i="889"/>
  <c r="I98" i="889"/>
  <c r="G98" i="889"/>
  <c r="F98" i="889"/>
  <c r="E98" i="889"/>
  <c r="Q97" i="889"/>
  <c r="P97" i="889"/>
  <c r="O97" i="889"/>
  <c r="N97" i="889"/>
  <c r="M97" i="889"/>
  <c r="L97" i="889"/>
  <c r="H97" i="889"/>
  <c r="J97" i="889"/>
  <c r="I97" i="889"/>
  <c r="G97" i="889"/>
  <c r="F97" i="889"/>
  <c r="E97" i="889"/>
  <c r="Q96" i="889"/>
  <c r="P96" i="889"/>
  <c r="O96" i="889"/>
  <c r="N96" i="889"/>
  <c r="M96" i="889"/>
  <c r="L96" i="889"/>
  <c r="H96" i="889"/>
  <c r="J96" i="889"/>
  <c r="I96" i="889"/>
  <c r="G96" i="889"/>
  <c r="F96" i="889"/>
  <c r="E96" i="889"/>
  <c r="Q95" i="889"/>
  <c r="P95" i="889"/>
  <c r="O95" i="889"/>
  <c r="N95" i="889"/>
  <c r="M95" i="889"/>
  <c r="L95" i="889"/>
  <c r="H95" i="889"/>
  <c r="J95" i="889"/>
  <c r="I95" i="889"/>
  <c r="G95" i="889"/>
  <c r="F95" i="889"/>
  <c r="E95" i="889"/>
  <c r="Q94" i="889"/>
  <c r="P94" i="889"/>
  <c r="O94" i="889"/>
  <c r="N94" i="889"/>
  <c r="M94" i="889"/>
  <c r="L94" i="889"/>
  <c r="H94" i="889"/>
  <c r="J94" i="889"/>
  <c r="I94" i="889"/>
  <c r="G94" i="889"/>
  <c r="F94" i="889"/>
  <c r="E94" i="889"/>
  <c r="Q93" i="889"/>
  <c r="P93" i="889"/>
  <c r="O93" i="889"/>
  <c r="N93" i="889"/>
  <c r="M93" i="889"/>
  <c r="L93" i="889"/>
  <c r="H93" i="889"/>
  <c r="J93" i="889"/>
  <c r="I93" i="889"/>
  <c r="G93" i="889"/>
  <c r="F93" i="889"/>
  <c r="E93" i="889"/>
  <c r="Q92" i="889"/>
  <c r="P92" i="889"/>
  <c r="O92" i="889"/>
  <c r="N92" i="889"/>
  <c r="M92" i="889"/>
  <c r="L92" i="889"/>
  <c r="H92" i="889"/>
  <c r="J92" i="889"/>
  <c r="I92" i="889"/>
  <c r="G92" i="889"/>
  <c r="F92" i="889"/>
  <c r="E92" i="889"/>
  <c r="Q91" i="889"/>
  <c r="P91" i="889"/>
  <c r="O91" i="889"/>
  <c r="N91" i="889"/>
  <c r="M91" i="889"/>
  <c r="L91" i="889"/>
  <c r="H91" i="889"/>
  <c r="J91" i="889"/>
  <c r="I91" i="889"/>
  <c r="G91" i="889"/>
  <c r="F91" i="889"/>
  <c r="E91" i="889"/>
  <c r="Q90" i="889"/>
  <c r="P90" i="889"/>
  <c r="O90" i="889"/>
  <c r="N90" i="889"/>
  <c r="M90" i="889"/>
  <c r="L90" i="889"/>
  <c r="H90" i="889"/>
  <c r="J90" i="889"/>
  <c r="I90" i="889"/>
  <c r="G90" i="889"/>
  <c r="F90" i="889"/>
  <c r="E90" i="889"/>
  <c r="Q89" i="889"/>
  <c r="P89" i="889"/>
  <c r="O89" i="889"/>
  <c r="N89" i="889"/>
  <c r="M89" i="889"/>
  <c r="L89" i="889"/>
  <c r="H89" i="889"/>
  <c r="J89" i="889"/>
  <c r="I89" i="889"/>
  <c r="G89" i="889"/>
  <c r="F89" i="889"/>
  <c r="E89" i="889"/>
  <c r="Q88" i="889"/>
  <c r="P88" i="889"/>
  <c r="O88" i="889"/>
  <c r="N88" i="889"/>
  <c r="M88" i="889"/>
  <c r="L88" i="889"/>
  <c r="H88" i="889"/>
  <c r="J88" i="889"/>
  <c r="I88" i="889"/>
  <c r="G88" i="889"/>
  <c r="F88" i="889"/>
  <c r="E88" i="889"/>
  <c r="Q87" i="889"/>
  <c r="P87" i="889"/>
  <c r="O87" i="889"/>
  <c r="N87" i="889"/>
  <c r="M87" i="889"/>
  <c r="L87" i="889"/>
  <c r="H87" i="889"/>
  <c r="J87" i="889"/>
  <c r="I87" i="889"/>
  <c r="G87" i="889"/>
  <c r="F87" i="889"/>
  <c r="E87" i="889"/>
  <c r="Q86" i="889"/>
  <c r="P86" i="889"/>
  <c r="O86" i="889"/>
  <c r="N86" i="889"/>
  <c r="M86" i="889"/>
  <c r="L86" i="889"/>
  <c r="H86" i="889"/>
  <c r="J86" i="889"/>
  <c r="I86" i="889"/>
  <c r="G86" i="889"/>
  <c r="F86" i="889"/>
  <c r="E86" i="889"/>
  <c r="Q85" i="889"/>
  <c r="P85" i="889"/>
  <c r="O85" i="889"/>
  <c r="N85" i="889"/>
  <c r="M85" i="889"/>
  <c r="L85" i="889"/>
  <c r="H85" i="889"/>
  <c r="J85" i="889"/>
  <c r="I85" i="889"/>
  <c r="G85" i="889"/>
  <c r="F85" i="889"/>
  <c r="E85" i="889"/>
  <c r="Q84" i="889"/>
  <c r="P84" i="889"/>
  <c r="O84" i="889"/>
  <c r="N84" i="889"/>
  <c r="M84" i="889"/>
  <c r="L84" i="889"/>
  <c r="H84" i="889"/>
  <c r="J84" i="889"/>
  <c r="I84" i="889"/>
  <c r="G84" i="889"/>
  <c r="F84" i="889"/>
  <c r="E84" i="889"/>
  <c r="Q83" i="889"/>
  <c r="P83" i="889"/>
  <c r="O83" i="889"/>
  <c r="N83" i="889"/>
  <c r="M83" i="889"/>
  <c r="L83" i="889"/>
  <c r="H83" i="889"/>
  <c r="J83" i="889"/>
  <c r="I83" i="889"/>
  <c r="G83" i="889"/>
  <c r="F83" i="889"/>
  <c r="E83" i="889"/>
  <c r="Q82" i="889"/>
  <c r="P82" i="889"/>
  <c r="O82" i="889"/>
  <c r="N82" i="889"/>
  <c r="M82" i="889"/>
  <c r="L82" i="889"/>
  <c r="H82" i="889"/>
  <c r="J82" i="889"/>
  <c r="I82" i="889"/>
  <c r="G82" i="889"/>
  <c r="F82" i="889"/>
  <c r="E82" i="889"/>
  <c r="Q81" i="889"/>
  <c r="P81" i="889"/>
  <c r="O81" i="889"/>
  <c r="N81" i="889"/>
  <c r="M81" i="889"/>
  <c r="L81" i="889"/>
  <c r="H81" i="889"/>
  <c r="J81" i="889"/>
  <c r="I81" i="889"/>
  <c r="G81" i="889"/>
  <c r="F81" i="889"/>
  <c r="E81" i="889"/>
  <c r="Q80" i="889"/>
  <c r="P80" i="889"/>
  <c r="O80" i="889"/>
  <c r="N80" i="889"/>
  <c r="M80" i="889"/>
  <c r="L80" i="889"/>
  <c r="H80" i="889"/>
  <c r="J80" i="889"/>
  <c r="I80" i="889"/>
  <c r="G80" i="889"/>
  <c r="F80" i="889"/>
  <c r="E80" i="889"/>
  <c r="Q79" i="889"/>
  <c r="P79" i="889"/>
  <c r="O79" i="889"/>
  <c r="N79" i="889"/>
  <c r="M79" i="889"/>
  <c r="L79" i="889"/>
  <c r="H79" i="889"/>
  <c r="J79" i="889"/>
  <c r="I79" i="889"/>
  <c r="G79" i="889"/>
  <c r="F79" i="889"/>
  <c r="E79" i="889"/>
  <c r="Q78" i="889"/>
  <c r="P78" i="889"/>
  <c r="O78" i="889"/>
  <c r="N78" i="889"/>
  <c r="M78" i="889"/>
  <c r="L78" i="889"/>
  <c r="H78" i="889"/>
  <c r="J78" i="889"/>
  <c r="I78" i="889"/>
  <c r="G78" i="889"/>
  <c r="F78" i="889"/>
  <c r="E78" i="889"/>
  <c r="Q77" i="889"/>
  <c r="P77" i="889"/>
  <c r="O77" i="889"/>
  <c r="N77" i="889"/>
  <c r="M77" i="889"/>
  <c r="L77" i="889"/>
  <c r="H77" i="889"/>
  <c r="J77" i="889"/>
  <c r="I77" i="889"/>
  <c r="G77" i="889"/>
  <c r="F77" i="889"/>
  <c r="E77" i="889"/>
  <c r="Q76" i="889"/>
  <c r="P76" i="889"/>
  <c r="O76" i="889"/>
  <c r="N76" i="889"/>
  <c r="M76" i="889"/>
  <c r="L76" i="889"/>
  <c r="H76" i="889"/>
  <c r="J76" i="889"/>
  <c r="I76" i="889"/>
  <c r="G76" i="889"/>
  <c r="F76" i="889"/>
  <c r="E76" i="889"/>
  <c r="Q75" i="889"/>
  <c r="P75" i="889"/>
  <c r="O75" i="889"/>
  <c r="N75" i="889"/>
  <c r="M75" i="889"/>
  <c r="L75" i="889"/>
  <c r="H75" i="889"/>
  <c r="J75" i="889"/>
  <c r="I75" i="889"/>
  <c r="G75" i="889"/>
  <c r="F75" i="889"/>
  <c r="E75" i="889"/>
  <c r="Q74" i="889"/>
  <c r="P74" i="889"/>
  <c r="O74" i="889"/>
  <c r="N74" i="889"/>
  <c r="M74" i="889"/>
  <c r="L74" i="889"/>
  <c r="H74" i="889"/>
  <c r="J74" i="889"/>
  <c r="I74" i="889"/>
  <c r="G74" i="889"/>
  <c r="F74" i="889"/>
  <c r="E74" i="889"/>
  <c r="Q73" i="889"/>
  <c r="P73" i="889"/>
  <c r="O73" i="889"/>
  <c r="N73" i="889"/>
  <c r="M73" i="889"/>
  <c r="L73" i="889"/>
  <c r="H73" i="889"/>
  <c r="J73" i="889"/>
  <c r="I73" i="889"/>
  <c r="G73" i="889"/>
  <c r="F73" i="889"/>
  <c r="E73" i="889"/>
  <c r="Q72" i="889"/>
  <c r="P72" i="889"/>
  <c r="O72" i="889"/>
  <c r="N72" i="889"/>
  <c r="M72" i="889"/>
  <c r="L72" i="889"/>
  <c r="H72" i="889"/>
  <c r="J72" i="889"/>
  <c r="I72" i="889"/>
  <c r="G72" i="889"/>
  <c r="F72" i="889"/>
  <c r="E72" i="889"/>
  <c r="Q71" i="889"/>
  <c r="P71" i="889"/>
  <c r="O71" i="889"/>
  <c r="N71" i="889"/>
  <c r="M71" i="889"/>
  <c r="L71" i="889"/>
  <c r="H71" i="889"/>
  <c r="J71" i="889"/>
  <c r="I71" i="889"/>
  <c r="G71" i="889"/>
  <c r="F71" i="889"/>
  <c r="E71" i="889"/>
  <c r="Q70" i="889"/>
  <c r="P70" i="889"/>
  <c r="O70" i="889"/>
  <c r="N70" i="889"/>
  <c r="M70" i="889"/>
  <c r="L70" i="889"/>
  <c r="H70" i="889"/>
  <c r="J70" i="889"/>
  <c r="I70" i="889"/>
  <c r="G70" i="889"/>
  <c r="F70" i="889"/>
  <c r="E70" i="889"/>
  <c r="Q69" i="889"/>
  <c r="P69" i="889"/>
  <c r="O69" i="889"/>
  <c r="N69" i="889"/>
  <c r="M69" i="889"/>
  <c r="L69" i="889"/>
  <c r="H69" i="889"/>
  <c r="J69" i="889"/>
  <c r="I69" i="889"/>
  <c r="G69" i="889"/>
  <c r="F69" i="889"/>
  <c r="E69" i="889"/>
  <c r="Q68" i="889"/>
  <c r="P68" i="889"/>
  <c r="O68" i="889"/>
  <c r="N68" i="889"/>
  <c r="M68" i="889"/>
  <c r="L68" i="889"/>
  <c r="H68" i="889"/>
  <c r="J68" i="889"/>
  <c r="I68" i="889"/>
  <c r="G68" i="889"/>
  <c r="F68" i="889"/>
  <c r="E68" i="889"/>
  <c r="Q67" i="889"/>
  <c r="P67" i="889"/>
  <c r="O67" i="889"/>
  <c r="N67" i="889"/>
  <c r="M67" i="889"/>
  <c r="L67" i="889"/>
  <c r="H67" i="889"/>
  <c r="J67" i="889"/>
  <c r="I67" i="889"/>
  <c r="G67" i="889"/>
  <c r="F67" i="889"/>
  <c r="E67" i="889"/>
  <c r="Q66" i="889"/>
  <c r="P66" i="889"/>
  <c r="O66" i="889"/>
  <c r="N66" i="889"/>
  <c r="M66" i="889"/>
  <c r="L66" i="889"/>
  <c r="H66" i="889"/>
  <c r="J66" i="889"/>
  <c r="I66" i="889"/>
  <c r="G66" i="889"/>
  <c r="F66" i="889"/>
  <c r="E66" i="889"/>
  <c r="Q65" i="889"/>
  <c r="P65" i="889"/>
  <c r="O65" i="889"/>
  <c r="N65" i="889"/>
  <c r="M65" i="889"/>
  <c r="L65" i="889"/>
  <c r="H65" i="889"/>
  <c r="J65" i="889"/>
  <c r="I65" i="889"/>
  <c r="G65" i="889"/>
  <c r="F65" i="889"/>
  <c r="E65" i="889"/>
  <c r="Q64" i="889"/>
  <c r="P64" i="889"/>
  <c r="O64" i="889"/>
  <c r="N64" i="889"/>
  <c r="M64" i="889"/>
  <c r="L64" i="889"/>
  <c r="H64" i="889"/>
  <c r="J64" i="889"/>
  <c r="I64" i="889"/>
  <c r="G64" i="889"/>
  <c r="F64" i="889"/>
  <c r="E64" i="889"/>
  <c r="Q63" i="889"/>
  <c r="P63" i="889"/>
  <c r="O63" i="889"/>
  <c r="N63" i="889"/>
  <c r="M63" i="889"/>
  <c r="L63" i="889"/>
  <c r="H63" i="889"/>
  <c r="J63" i="889"/>
  <c r="I63" i="889"/>
  <c r="G63" i="889"/>
  <c r="F63" i="889"/>
  <c r="E63" i="889"/>
  <c r="Q62" i="889"/>
  <c r="P62" i="889"/>
  <c r="O62" i="889"/>
  <c r="N62" i="889"/>
  <c r="M62" i="889"/>
  <c r="L62" i="889"/>
  <c r="H62" i="889"/>
  <c r="J62" i="889"/>
  <c r="I62" i="889"/>
  <c r="G62" i="889"/>
  <c r="F62" i="889"/>
  <c r="E62" i="889"/>
  <c r="Q61" i="889"/>
  <c r="P61" i="889"/>
  <c r="O61" i="889"/>
  <c r="N61" i="889"/>
  <c r="M61" i="889"/>
  <c r="L61" i="889"/>
  <c r="H61" i="889"/>
  <c r="J61" i="889"/>
  <c r="I61" i="889"/>
  <c r="G61" i="889"/>
  <c r="F61" i="889"/>
  <c r="E61" i="889"/>
  <c r="Q60" i="889"/>
  <c r="P60" i="889"/>
  <c r="O60" i="889"/>
  <c r="N60" i="889"/>
  <c r="M60" i="889"/>
  <c r="L60" i="889"/>
  <c r="H60" i="889"/>
  <c r="J60" i="889"/>
  <c r="I60" i="889"/>
  <c r="G60" i="889"/>
  <c r="F60" i="889"/>
  <c r="E60" i="889"/>
  <c r="Q59" i="889"/>
  <c r="P59" i="889"/>
  <c r="O59" i="889"/>
  <c r="N59" i="889"/>
  <c r="M59" i="889"/>
  <c r="L59" i="889"/>
  <c r="H59" i="889"/>
  <c r="J59" i="889"/>
  <c r="I59" i="889"/>
  <c r="G59" i="889"/>
  <c r="F59" i="889"/>
  <c r="E59" i="889"/>
  <c r="Q58" i="889"/>
  <c r="P58" i="889"/>
  <c r="O58" i="889"/>
  <c r="N58" i="889"/>
  <c r="M58" i="889"/>
  <c r="L58" i="889"/>
  <c r="H58" i="889"/>
  <c r="J58" i="889"/>
  <c r="I58" i="889"/>
  <c r="G58" i="889"/>
  <c r="F58" i="889"/>
  <c r="E58" i="889"/>
  <c r="Q57" i="889"/>
  <c r="P57" i="889"/>
  <c r="O57" i="889"/>
  <c r="N57" i="889"/>
  <c r="M57" i="889"/>
  <c r="L57" i="889"/>
  <c r="H57" i="889"/>
  <c r="J57" i="889"/>
  <c r="I57" i="889"/>
  <c r="G57" i="889"/>
  <c r="F57" i="889"/>
  <c r="E57" i="889"/>
  <c r="Q56" i="889"/>
  <c r="P56" i="889"/>
  <c r="O56" i="889"/>
  <c r="N56" i="889"/>
  <c r="M56" i="889"/>
  <c r="L56" i="889"/>
  <c r="H56" i="889"/>
  <c r="J56" i="889"/>
  <c r="I56" i="889"/>
  <c r="G56" i="889"/>
  <c r="F56" i="889"/>
  <c r="E56" i="889"/>
  <c r="Q55" i="889"/>
  <c r="P55" i="889"/>
  <c r="O55" i="889"/>
  <c r="N55" i="889"/>
  <c r="M55" i="889"/>
  <c r="L55" i="889"/>
  <c r="H55" i="889"/>
  <c r="J55" i="889"/>
  <c r="I55" i="889"/>
  <c r="G55" i="889"/>
  <c r="F55" i="889"/>
  <c r="E55" i="889"/>
  <c r="Q54" i="889"/>
  <c r="P54" i="889"/>
  <c r="O54" i="889"/>
  <c r="N54" i="889"/>
  <c r="M54" i="889"/>
  <c r="L54" i="889"/>
  <c r="H54" i="889"/>
  <c r="J54" i="889"/>
  <c r="I54" i="889"/>
  <c r="G54" i="889"/>
  <c r="F54" i="889"/>
  <c r="E54" i="889"/>
  <c r="Q53" i="889"/>
  <c r="P53" i="889"/>
  <c r="O53" i="889"/>
  <c r="N53" i="889"/>
  <c r="M53" i="889"/>
  <c r="L53" i="889"/>
  <c r="H53" i="889"/>
  <c r="J53" i="889"/>
  <c r="I53" i="889"/>
  <c r="G53" i="889"/>
  <c r="F53" i="889"/>
  <c r="E53" i="889"/>
  <c r="Q52" i="889"/>
  <c r="P52" i="889"/>
  <c r="O52" i="889"/>
  <c r="N52" i="889"/>
  <c r="M52" i="889"/>
  <c r="L52" i="889"/>
  <c r="H52" i="889"/>
  <c r="J52" i="889"/>
  <c r="I52" i="889"/>
  <c r="G52" i="889"/>
  <c r="F52" i="889"/>
  <c r="E52" i="889"/>
  <c r="Q51" i="889"/>
  <c r="P51" i="889"/>
  <c r="O51" i="889"/>
  <c r="N51" i="889"/>
  <c r="M51" i="889"/>
  <c r="L51" i="889"/>
  <c r="H51" i="889"/>
  <c r="J51" i="889"/>
  <c r="I51" i="889"/>
  <c r="G51" i="889"/>
  <c r="F51" i="889"/>
  <c r="E51" i="889"/>
  <c r="Q50" i="889"/>
  <c r="P50" i="889"/>
  <c r="O50" i="889"/>
  <c r="N50" i="889"/>
  <c r="M50" i="889"/>
  <c r="L50" i="889"/>
  <c r="H50" i="889"/>
  <c r="J50" i="889"/>
  <c r="I50" i="889"/>
  <c r="G50" i="889"/>
  <c r="F50" i="889"/>
  <c r="E50" i="889"/>
  <c r="Q49" i="889"/>
  <c r="P49" i="889"/>
  <c r="O49" i="889"/>
  <c r="N49" i="889"/>
  <c r="M49" i="889"/>
  <c r="L49" i="889"/>
  <c r="H49" i="889"/>
  <c r="J49" i="889"/>
  <c r="I49" i="889"/>
  <c r="G49" i="889"/>
  <c r="F49" i="889"/>
  <c r="E49" i="889"/>
  <c r="Q48" i="889"/>
  <c r="P48" i="889"/>
  <c r="O48" i="889"/>
  <c r="N48" i="889"/>
  <c r="M48" i="889"/>
  <c r="L48" i="889"/>
  <c r="H48" i="889"/>
  <c r="J48" i="889"/>
  <c r="I48" i="889"/>
  <c r="G48" i="889"/>
  <c r="F48" i="889"/>
  <c r="E48" i="889"/>
  <c r="Q47" i="889"/>
  <c r="P47" i="889"/>
  <c r="O47" i="889"/>
  <c r="N47" i="889"/>
  <c r="M47" i="889"/>
  <c r="L47" i="889"/>
  <c r="H47" i="889"/>
  <c r="J47" i="889"/>
  <c r="I47" i="889"/>
  <c r="G47" i="889"/>
  <c r="F47" i="889"/>
  <c r="E47" i="889"/>
  <c r="Q46" i="889"/>
  <c r="P46" i="889"/>
  <c r="O46" i="889"/>
  <c r="N46" i="889"/>
  <c r="M46" i="889"/>
  <c r="L46" i="889"/>
  <c r="H46" i="889"/>
  <c r="J46" i="889"/>
  <c r="I46" i="889"/>
  <c r="G46" i="889"/>
  <c r="F46" i="889"/>
  <c r="E46" i="889"/>
  <c r="Q45" i="889"/>
  <c r="P45" i="889"/>
  <c r="O45" i="889"/>
  <c r="N45" i="889"/>
  <c r="M45" i="889"/>
  <c r="L45" i="889"/>
  <c r="H45" i="889"/>
  <c r="J45" i="889"/>
  <c r="I45" i="889"/>
  <c r="G45" i="889"/>
  <c r="F45" i="889"/>
  <c r="E45" i="889"/>
  <c r="Q44" i="889"/>
  <c r="P44" i="889"/>
  <c r="O44" i="889"/>
  <c r="N44" i="889"/>
  <c r="M44" i="889"/>
  <c r="L44" i="889"/>
  <c r="H44" i="889"/>
  <c r="J44" i="889"/>
  <c r="I44" i="889"/>
  <c r="G44" i="889"/>
  <c r="F44" i="889"/>
  <c r="E44" i="889"/>
  <c r="Q43" i="889"/>
  <c r="P43" i="889"/>
  <c r="O43" i="889"/>
  <c r="N43" i="889"/>
  <c r="M43" i="889"/>
  <c r="L43" i="889"/>
  <c r="H43" i="889"/>
  <c r="J43" i="889"/>
  <c r="I43" i="889"/>
  <c r="G43" i="889"/>
  <c r="F43" i="889"/>
  <c r="E43" i="889"/>
  <c r="Q42" i="889"/>
  <c r="P42" i="889"/>
  <c r="O42" i="889"/>
  <c r="N42" i="889"/>
  <c r="M42" i="889"/>
  <c r="L42" i="889"/>
  <c r="H42" i="889"/>
  <c r="J42" i="889"/>
  <c r="I42" i="889"/>
  <c r="G42" i="889"/>
  <c r="F42" i="889"/>
  <c r="E42" i="889"/>
  <c r="Q41" i="889"/>
  <c r="P41" i="889"/>
  <c r="O41" i="889"/>
  <c r="N41" i="889"/>
  <c r="M41" i="889"/>
  <c r="L41" i="889"/>
  <c r="H41" i="889"/>
  <c r="J41" i="889"/>
  <c r="I41" i="889"/>
  <c r="G41" i="889"/>
  <c r="F41" i="889"/>
  <c r="E41" i="889"/>
  <c r="Q40" i="889"/>
  <c r="P40" i="889"/>
  <c r="O40" i="889"/>
  <c r="N40" i="889"/>
  <c r="M40" i="889"/>
  <c r="L40" i="889"/>
  <c r="H40" i="889"/>
  <c r="J40" i="889"/>
  <c r="I40" i="889"/>
  <c r="G40" i="889"/>
  <c r="F40" i="889"/>
  <c r="E40" i="889"/>
  <c r="Q39" i="889"/>
  <c r="P39" i="889"/>
  <c r="O39" i="889"/>
  <c r="N39" i="889"/>
  <c r="M39" i="889"/>
  <c r="L39" i="889"/>
  <c r="H39" i="889"/>
  <c r="J39" i="889"/>
  <c r="I39" i="889"/>
  <c r="G39" i="889"/>
  <c r="F39" i="889"/>
  <c r="E39" i="889"/>
  <c r="Q38" i="889"/>
  <c r="P38" i="889"/>
  <c r="O38" i="889"/>
  <c r="N38" i="889"/>
  <c r="M38" i="889"/>
  <c r="L38" i="889"/>
  <c r="H38" i="889"/>
  <c r="J38" i="889"/>
  <c r="I38" i="889"/>
  <c r="G38" i="889"/>
  <c r="F38" i="889"/>
  <c r="E38" i="889"/>
  <c r="Q37" i="889"/>
  <c r="P37" i="889"/>
  <c r="O37" i="889"/>
  <c r="N37" i="889"/>
  <c r="M37" i="889"/>
  <c r="L37" i="889"/>
  <c r="H37" i="889"/>
  <c r="J37" i="889"/>
  <c r="I37" i="889"/>
  <c r="G37" i="889"/>
  <c r="F37" i="889"/>
  <c r="E37" i="889"/>
  <c r="Q36" i="889"/>
  <c r="P36" i="889"/>
  <c r="O36" i="889"/>
  <c r="N36" i="889"/>
  <c r="M36" i="889"/>
  <c r="L36" i="889"/>
  <c r="H36" i="889"/>
  <c r="J36" i="889"/>
  <c r="I36" i="889"/>
  <c r="G36" i="889"/>
  <c r="F36" i="889"/>
  <c r="E36" i="889"/>
  <c r="Q35" i="889"/>
  <c r="P35" i="889"/>
  <c r="O35" i="889"/>
  <c r="N35" i="889"/>
  <c r="M35" i="889"/>
  <c r="L35" i="889"/>
  <c r="H35" i="889"/>
  <c r="J35" i="889"/>
  <c r="I35" i="889"/>
  <c r="G35" i="889"/>
  <c r="F35" i="889"/>
  <c r="E35" i="889"/>
  <c r="Q34" i="889"/>
  <c r="P34" i="889"/>
  <c r="O34" i="889"/>
  <c r="N34" i="889"/>
  <c r="M34" i="889"/>
  <c r="L34" i="889"/>
  <c r="H34" i="889"/>
  <c r="J34" i="889"/>
  <c r="I34" i="889"/>
  <c r="G34" i="889"/>
  <c r="F34" i="889"/>
  <c r="E34" i="889"/>
  <c r="Q33" i="889"/>
  <c r="P33" i="889"/>
  <c r="O33" i="889"/>
  <c r="N33" i="889"/>
  <c r="M33" i="889"/>
  <c r="L33" i="889"/>
  <c r="H33" i="889"/>
  <c r="J33" i="889"/>
  <c r="I33" i="889"/>
  <c r="G33" i="889"/>
  <c r="F33" i="889"/>
  <c r="E33" i="889"/>
  <c r="Q32" i="889"/>
  <c r="P32" i="889"/>
  <c r="O32" i="889"/>
  <c r="N32" i="889"/>
  <c r="M32" i="889"/>
  <c r="L32" i="889"/>
  <c r="H32" i="889"/>
  <c r="J32" i="889"/>
  <c r="I32" i="889"/>
  <c r="G32" i="889"/>
  <c r="F32" i="889"/>
  <c r="E32" i="889"/>
  <c r="Q31" i="889"/>
  <c r="P31" i="889"/>
  <c r="O31" i="889"/>
  <c r="N31" i="889"/>
  <c r="M31" i="889"/>
  <c r="L31" i="889"/>
  <c r="H31" i="889"/>
  <c r="J31" i="889"/>
  <c r="I31" i="889"/>
  <c r="G31" i="889"/>
  <c r="F31" i="889"/>
  <c r="E31" i="889"/>
  <c r="Q30" i="889"/>
  <c r="P30" i="889"/>
  <c r="O30" i="889"/>
  <c r="N30" i="889"/>
  <c r="M30" i="889"/>
  <c r="L30" i="889"/>
  <c r="H30" i="889"/>
  <c r="J30" i="889"/>
  <c r="I30" i="889"/>
  <c r="G30" i="889"/>
  <c r="F30" i="889"/>
  <c r="E30" i="889"/>
  <c r="Q29" i="889"/>
  <c r="P29" i="889"/>
  <c r="O29" i="889"/>
  <c r="N29" i="889"/>
  <c r="M29" i="889"/>
  <c r="L29" i="889"/>
  <c r="H29" i="889"/>
  <c r="J29" i="889"/>
  <c r="I29" i="889"/>
  <c r="G29" i="889"/>
  <c r="F29" i="889"/>
  <c r="E29" i="889"/>
  <c r="Q28" i="889"/>
  <c r="P28" i="889"/>
  <c r="O28" i="889"/>
  <c r="N28" i="889"/>
  <c r="M28" i="889"/>
  <c r="L28" i="889"/>
  <c r="H28" i="889"/>
  <c r="J28" i="889"/>
  <c r="I28" i="889"/>
  <c r="G28" i="889"/>
  <c r="F28" i="889"/>
  <c r="E28" i="889"/>
  <c r="Q27" i="889"/>
  <c r="P27" i="889"/>
  <c r="O27" i="889"/>
  <c r="N27" i="889"/>
  <c r="M27" i="889"/>
  <c r="L27" i="889"/>
  <c r="H27" i="889"/>
  <c r="J27" i="889"/>
  <c r="I27" i="889"/>
  <c r="G27" i="889"/>
  <c r="F27" i="889"/>
  <c r="E27" i="889"/>
  <c r="Q26" i="889"/>
  <c r="P26" i="889"/>
  <c r="O26" i="889"/>
  <c r="G26" i="889"/>
  <c r="N26" i="889"/>
  <c r="M26" i="889"/>
  <c r="L26" i="889"/>
  <c r="J26" i="889"/>
  <c r="Q25" i="889"/>
  <c r="P25" i="889"/>
  <c r="O25" i="889"/>
  <c r="N25" i="889"/>
  <c r="M25" i="889"/>
  <c r="L25" i="889"/>
  <c r="Q24" i="889"/>
  <c r="P24" i="889"/>
  <c r="O24" i="889"/>
  <c r="N24" i="889"/>
  <c r="G24" i="889"/>
  <c r="M24" i="889"/>
  <c r="L24" i="889"/>
  <c r="F24" i="889"/>
  <c r="Q23" i="889"/>
  <c r="P23" i="889"/>
  <c r="O23" i="889"/>
  <c r="G23" i="889"/>
  <c r="N23" i="889"/>
  <c r="M23" i="889"/>
  <c r="L23" i="889"/>
  <c r="J23" i="889"/>
  <c r="Q22" i="889"/>
  <c r="P22" i="889"/>
  <c r="O22" i="889"/>
  <c r="N22" i="889"/>
  <c r="M22" i="889"/>
  <c r="L22" i="889"/>
  <c r="F22" i="889"/>
  <c r="Q21" i="889"/>
  <c r="P21" i="889"/>
  <c r="O21" i="889"/>
  <c r="N21" i="889"/>
  <c r="M21" i="889"/>
  <c r="L21" i="889"/>
  <c r="Q20" i="889"/>
  <c r="J20" i="889"/>
  <c r="P20" i="889"/>
  <c r="O20" i="889"/>
  <c r="N20" i="889"/>
  <c r="G20" i="889"/>
  <c r="M20" i="889"/>
  <c r="F20" i="889"/>
  <c r="L20" i="889"/>
  <c r="Q19" i="889"/>
  <c r="J19" i="889"/>
  <c r="P19" i="889"/>
  <c r="O19" i="889"/>
  <c r="N19" i="889"/>
  <c r="G19" i="889"/>
  <c r="M19" i="889"/>
  <c r="L19" i="889"/>
  <c r="F19" i="889"/>
  <c r="Q18" i="889"/>
  <c r="P18" i="889"/>
  <c r="O18" i="889"/>
  <c r="G18" i="889"/>
  <c r="N18" i="889"/>
  <c r="M18" i="889"/>
  <c r="L18" i="889"/>
  <c r="J18" i="889"/>
  <c r="Q17" i="889"/>
  <c r="P17" i="889"/>
  <c r="O17" i="889"/>
  <c r="N17" i="889"/>
  <c r="M17" i="889"/>
  <c r="L17" i="889"/>
  <c r="Q16" i="889"/>
  <c r="P16" i="889"/>
  <c r="O16" i="889"/>
  <c r="N16" i="889"/>
  <c r="G16" i="889"/>
  <c r="M16" i="889"/>
  <c r="L16" i="889"/>
  <c r="F16" i="889"/>
  <c r="Q15" i="889"/>
  <c r="P15" i="889"/>
  <c r="O15" i="889"/>
  <c r="G15" i="889"/>
  <c r="N15" i="889"/>
  <c r="M15" i="889"/>
  <c r="L15" i="889"/>
  <c r="J15" i="889"/>
  <c r="Q14" i="889"/>
  <c r="P14" i="889"/>
  <c r="O14" i="889"/>
  <c r="N14" i="889"/>
  <c r="G14" i="889"/>
  <c r="M14" i="889"/>
  <c r="F15" i="889"/>
  <c r="L14" i="889"/>
  <c r="F14" i="889"/>
  <c r="C9" i="889"/>
  <c r="M7" i="889"/>
  <c r="V5" i="889"/>
  <c r="V4" i="889"/>
  <c r="S1" i="889"/>
  <c r="Q203" i="888"/>
  <c r="P203" i="888"/>
  <c r="O203" i="888"/>
  <c r="N203" i="888"/>
  <c r="M203" i="888"/>
  <c r="L203" i="888"/>
  <c r="I203" i="888"/>
  <c r="H203" i="888"/>
  <c r="J203" i="888"/>
  <c r="G203" i="888"/>
  <c r="F203" i="888"/>
  <c r="E203" i="888"/>
  <c r="Q202" i="888"/>
  <c r="P202" i="888"/>
  <c r="O202" i="888"/>
  <c r="N202" i="888"/>
  <c r="M202" i="888"/>
  <c r="L202" i="888"/>
  <c r="I202" i="888"/>
  <c r="H202" i="888"/>
  <c r="J202" i="888"/>
  <c r="G202" i="888"/>
  <c r="F202" i="888"/>
  <c r="E202" i="888"/>
  <c r="Q201" i="888"/>
  <c r="P201" i="888"/>
  <c r="O201" i="888"/>
  <c r="N201" i="888"/>
  <c r="M201" i="888"/>
  <c r="L201" i="888"/>
  <c r="I201" i="888"/>
  <c r="H201" i="888"/>
  <c r="J201" i="888"/>
  <c r="G201" i="888"/>
  <c r="F201" i="888"/>
  <c r="E201" i="888"/>
  <c r="Q200" i="888"/>
  <c r="P200" i="888"/>
  <c r="O200" i="888"/>
  <c r="N200" i="888"/>
  <c r="M200" i="888"/>
  <c r="L200" i="888"/>
  <c r="I200" i="888"/>
  <c r="H200" i="888"/>
  <c r="J200" i="888"/>
  <c r="G200" i="888"/>
  <c r="F200" i="888"/>
  <c r="E200" i="888"/>
  <c r="Q199" i="888"/>
  <c r="P199" i="888"/>
  <c r="O199" i="888"/>
  <c r="N199" i="888"/>
  <c r="M199" i="888"/>
  <c r="L199" i="888"/>
  <c r="I199" i="888"/>
  <c r="H199" i="888"/>
  <c r="J199" i="888"/>
  <c r="G199" i="888"/>
  <c r="F199" i="888"/>
  <c r="E199" i="888"/>
  <c r="Q198" i="888"/>
  <c r="P198" i="888"/>
  <c r="O198" i="888"/>
  <c r="N198" i="888"/>
  <c r="M198" i="888"/>
  <c r="L198" i="888"/>
  <c r="I198" i="888"/>
  <c r="H198" i="888"/>
  <c r="J198" i="888"/>
  <c r="G198" i="888"/>
  <c r="F198" i="888"/>
  <c r="E198" i="888"/>
  <c r="Q197" i="888"/>
  <c r="P197" i="888"/>
  <c r="O197" i="888"/>
  <c r="N197" i="888"/>
  <c r="M197" i="888"/>
  <c r="L197" i="888"/>
  <c r="I197" i="888"/>
  <c r="H197" i="888"/>
  <c r="J197" i="888"/>
  <c r="G197" i="888"/>
  <c r="F197" i="888"/>
  <c r="E197" i="888"/>
  <c r="Q196" i="888"/>
  <c r="P196" i="888"/>
  <c r="O196" i="888"/>
  <c r="N196" i="888"/>
  <c r="M196" i="888"/>
  <c r="L196" i="888"/>
  <c r="I196" i="888"/>
  <c r="H196" i="888"/>
  <c r="J196" i="888"/>
  <c r="G196" i="888"/>
  <c r="F196" i="888"/>
  <c r="E196" i="888"/>
  <c r="Q195" i="888"/>
  <c r="P195" i="888"/>
  <c r="O195" i="888"/>
  <c r="N195" i="888"/>
  <c r="M195" i="888"/>
  <c r="L195" i="888"/>
  <c r="I195" i="888"/>
  <c r="H195" i="888"/>
  <c r="J195" i="888"/>
  <c r="G195" i="888"/>
  <c r="F195" i="888"/>
  <c r="E195" i="888"/>
  <c r="Q194" i="888"/>
  <c r="P194" i="888"/>
  <c r="O194" i="888"/>
  <c r="N194" i="888"/>
  <c r="M194" i="888"/>
  <c r="L194" i="888"/>
  <c r="I194" i="888"/>
  <c r="H194" i="888"/>
  <c r="J194" i="888"/>
  <c r="G194" i="888"/>
  <c r="F194" i="888"/>
  <c r="E194" i="888"/>
  <c r="Q193" i="888"/>
  <c r="P193" i="888"/>
  <c r="O193" i="888"/>
  <c r="N193" i="888"/>
  <c r="M193" i="888"/>
  <c r="L193" i="888"/>
  <c r="I193" i="888"/>
  <c r="H193" i="888"/>
  <c r="J193" i="888"/>
  <c r="G193" i="888"/>
  <c r="F193" i="888"/>
  <c r="E193" i="888"/>
  <c r="Q192" i="888"/>
  <c r="P192" i="888"/>
  <c r="O192" i="888"/>
  <c r="N192" i="888"/>
  <c r="M192" i="888"/>
  <c r="L192" i="888"/>
  <c r="I192" i="888"/>
  <c r="H192" i="888"/>
  <c r="J192" i="888"/>
  <c r="G192" i="888"/>
  <c r="F192" i="888"/>
  <c r="E192" i="888"/>
  <c r="Q191" i="888"/>
  <c r="P191" i="888"/>
  <c r="O191" i="888"/>
  <c r="N191" i="888"/>
  <c r="M191" i="888"/>
  <c r="L191" i="888"/>
  <c r="I191" i="888"/>
  <c r="H191" i="888"/>
  <c r="J191" i="888"/>
  <c r="G191" i="888"/>
  <c r="F191" i="888"/>
  <c r="E191" i="888"/>
  <c r="Q190" i="888"/>
  <c r="P190" i="888"/>
  <c r="O190" i="888"/>
  <c r="N190" i="888"/>
  <c r="M190" i="888"/>
  <c r="L190" i="888"/>
  <c r="I190" i="888"/>
  <c r="H190" i="888"/>
  <c r="J190" i="888"/>
  <c r="G190" i="888"/>
  <c r="F190" i="888"/>
  <c r="E190" i="888"/>
  <c r="Q189" i="888"/>
  <c r="P189" i="888"/>
  <c r="O189" i="888"/>
  <c r="N189" i="888"/>
  <c r="M189" i="888"/>
  <c r="L189" i="888"/>
  <c r="I189" i="888"/>
  <c r="H189" i="888"/>
  <c r="J189" i="888"/>
  <c r="G189" i="888"/>
  <c r="F189" i="888"/>
  <c r="E189" i="888"/>
  <c r="Q188" i="888"/>
  <c r="P188" i="888"/>
  <c r="O188" i="888"/>
  <c r="N188" i="888"/>
  <c r="M188" i="888"/>
  <c r="L188" i="888"/>
  <c r="I188" i="888"/>
  <c r="H188" i="888"/>
  <c r="J188" i="888"/>
  <c r="G188" i="888"/>
  <c r="F188" i="888"/>
  <c r="E188" i="888"/>
  <c r="Q187" i="888"/>
  <c r="P187" i="888"/>
  <c r="O187" i="888"/>
  <c r="N187" i="888"/>
  <c r="M187" i="888"/>
  <c r="L187" i="888"/>
  <c r="I187" i="888"/>
  <c r="H187" i="888"/>
  <c r="J187" i="888"/>
  <c r="G187" i="888"/>
  <c r="F187" i="888"/>
  <c r="E187" i="888"/>
  <c r="Q186" i="888"/>
  <c r="P186" i="888"/>
  <c r="O186" i="888"/>
  <c r="N186" i="888"/>
  <c r="M186" i="888"/>
  <c r="L186" i="888"/>
  <c r="I186" i="888"/>
  <c r="H186" i="888"/>
  <c r="J186" i="888"/>
  <c r="G186" i="888"/>
  <c r="F186" i="888"/>
  <c r="E186" i="888"/>
  <c r="Q185" i="888"/>
  <c r="P185" i="888"/>
  <c r="O185" i="888"/>
  <c r="N185" i="888"/>
  <c r="M185" i="888"/>
  <c r="L185" i="888"/>
  <c r="I185" i="888"/>
  <c r="H185" i="888"/>
  <c r="J185" i="888"/>
  <c r="G185" i="888"/>
  <c r="F185" i="888"/>
  <c r="E185" i="888"/>
  <c r="Q184" i="888"/>
  <c r="P184" i="888"/>
  <c r="O184" i="888"/>
  <c r="N184" i="888"/>
  <c r="M184" i="888"/>
  <c r="L184" i="888"/>
  <c r="I184" i="888"/>
  <c r="H184" i="888"/>
  <c r="J184" i="888"/>
  <c r="G184" i="888"/>
  <c r="F184" i="888"/>
  <c r="E184" i="888"/>
  <c r="Q183" i="888"/>
  <c r="P183" i="888"/>
  <c r="O183" i="888"/>
  <c r="N183" i="888"/>
  <c r="M183" i="888"/>
  <c r="L183" i="888"/>
  <c r="I183" i="888"/>
  <c r="H183" i="888"/>
  <c r="J183" i="888"/>
  <c r="G183" i="888"/>
  <c r="F183" i="888"/>
  <c r="E183" i="888"/>
  <c r="Q182" i="888"/>
  <c r="P182" i="888"/>
  <c r="O182" i="888"/>
  <c r="N182" i="888"/>
  <c r="M182" i="888"/>
  <c r="L182" i="888"/>
  <c r="I182" i="888"/>
  <c r="H182" i="888"/>
  <c r="J182" i="888"/>
  <c r="G182" i="888"/>
  <c r="F182" i="888"/>
  <c r="E182" i="888"/>
  <c r="Q181" i="888"/>
  <c r="P181" i="888"/>
  <c r="O181" i="888"/>
  <c r="N181" i="888"/>
  <c r="M181" i="888"/>
  <c r="L181" i="888"/>
  <c r="I181" i="888"/>
  <c r="H181" i="888"/>
  <c r="J181" i="888"/>
  <c r="G181" i="888"/>
  <c r="F181" i="888"/>
  <c r="E181" i="888"/>
  <c r="Q180" i="888"/>
  <c r="P180" i="888"/>
  <c r="O180" i="888"/>
  <c r="N180" i="888"/>
  <c r="M180" i="888"/>
  <c r="L180" i="888"/>
  <c r="I180" i="888"/>
  <c r="H180" i="888"/>
  <c r="J180" i="888"/>
  <c r="G180" i="888"/>
  <c r="F180" i="888"/>
  <c r="E180" i="888"/>
  <c r="Q179" i="888"/>
  <c r="P179" i="888"/>
  <c r="O179" i="888"/>
  <c r="N179" i="888"/>
  <c r="M179" i="888"/>
  <c r="L179" i="888"/>
  <c r="I179" i="888"/>
  <c r="H179" i="888"/>
  <c r="J179" i="888"/>
  <c r="G179" i="888"/>
  <c r="F179" i="888"/>
  <c r="E179" i="888"/>
  <c r="Q178" i="888"/>
  <c r="P178" i="888"/>
  <c r="O178" i="888"/>
  <c r="N178" i="888"/>
  <c r="M178" i="888"/>
  <c r="L178" i="888"/>
  <c r="I178" i="888"/>
  <c r="H178" i="888"/>
  <c r="J178" i="888"/>
  <c r="G178" i="888"/>
  <c r="F178" i="888"/>
  <c r="E178" i="888"/>
  <c r="Q177" i="888"/>
  <c r="P177" i="888"/>
  <c r="O177" i="888"/>
  <c r="N177" i="888"/>
  <c r="M177" i="888"/>
  <c r="L177" i="888"/>
  <c r="G177" i="888"/>
  <c r="H177" i="888"/>
  <c r="J177" i="888"/>
  <c r="F177" i="888"/>
  <c r="E177" i="888"/>
  <c r="Q176" i="888"/>
  <c r="P176" i="888"/>
  <c r="O176" i="888"/>
  <c r="N176" i="888"/>
  <c r="M176" i="888"/>
  <c r="L176" i="888"/>
  <c r="H176" i="888"/>
  <c r="J176" i="888"/>
  <c r="G176" i="888"/>
  <c r="F176" i="888"/>
  <c r="E176" i="888"/>
  <c r="Q175" i="888"/>
  <c r="P175" i="888"/>
  <c r="O175" i="888"/>
  <c r="N175" i="888"/>
  <c r="M175" i="888"/>
  <c r="L175" i="888"/>
  <c r="G175" i="888"/>
  <c r="F175" i="888"/>
  <c r="Q174" i="888"/>
  <c r="P174" i="888"/>
  <c r="O174" i="888"/>
  <c r="N174" i="888"/>
  <c r="M174" i="888"/>
  <c r="L174" i="888"/>
  <c r="G174" i="888"/>
  <c r="H174" i="888"/>
  <c r="J174" i="888"/>
  <c r="F174" i="888"/>
  <c r="Q173" i="888"/>
  <c r="P173" i="888"/>
  <c r="O173" i="888"/>
  <c r="N173" i="888"/>
  <c r="M173" i="888"/>
  <c r="L173" i="888"/>
  <c r="G173" i="888"/>
  <c r="Q172" i="888"/>
  <c r="P172" i="888"/>
  <c r="O172" i="888"/>
  <c r="N172" i="888"/>
  <c r="M172" i="888"/>
  <c r="L172" i="888"/>
  <c r="G172" i="888"/>
  <c r="H172" i="888"/>
  <c r="J172" i="888"/>
  <c r="F172" i="888"/>
  <c r="Q171" i="888"/>
  <c r="P171" i="888"/>
  <c r="O171" i="888"/>
  <c r="N171" i="888"/>
  <c r="M171" i="888"/>
  <c r="L171" i="888"/>
  <c r="Q170" i="888"/>
  <c r="P170" i="888"/>
  <c r="O170" i="888"/>
  <c r="N170" i="888"/>
  <c r="M170" i="888"/>
  <c r="L170" i="888"/>
  <c r="G170" i="888"/>
  <c r="H170" i="888"/>
  <c r="J170" i="888"/>
  <c r="F170" i="888"/>
  <c r="Q169" i="888"/>
  <c r="P169" i="888"/>
  <c r="O169" i="888"/>
  <c r="N169" i="888"/>
  <c r="M169" i="888"/>
  <c r="L169" i="888"/>
  <c r="G169" i="888"/>
  <c r="F169" i="888"/>
  <c r="Q168" i="888"/>
  <c r="P168" i="888"/>
  <c r="O168" i="888"/>
  <c r="N168" i="888"/>
  <c r="M168" i="888"/>
  <c r="L168" i="888"/>
  <c r="G168" i="888"/>
  <c r="H168" i="888"/>
  <c r="J168" i="888"/>
  <c r="F168" i="888"/>
  <c r="Q167" i="888"/>
  <c r="P167" i="888"/>
  <c r="O167" i="888"/>
  <c r="N167" i="888"/>
  <c r="M167" i="888"/>
  <c r="L167" i="888"/>
  <c r="G167" i="888"/>
  <c r="F167" i="888"/>
  <c r="Q166" i="888"/>
  <c r="P166" i="888"/>
  <c r="O166" i="888"/>
  <c r="N166" i="888"/>
  <c r="M166" i="888"/>
  <c r="L166" i="888"/>
  <c r="F166" i="888"/>
  <c r="H166" i="888"/>
  <c r="G166" i="888"/>
  <c r="Q165" i="888"/>
  <c r="P165" i="888"/>
  <c r="O165" i="888"/>
  <c r="N165" i="888"/>
  <c r="M165" i="888"/>
  <c r="L165" i="888"/>
  <c r="H165" i="888"/>
  <c r="F165" i="888"/>
  <c r="Q164" i="888"/>
  <c r="P164" i="888"/>
  <c r="O164" i="888"/>
  <c r="N164" i="888"/>
  <c r="M164" i="888"/>
  <c r="L164" i="888"/>
  <c r="H164" i="888"/>
  <c r="J164" i="888"/>
  <c r="G164" i="888"/>
  <c r="F164" i="888"/>
  <c r="Q163" i="888"/>
  <c r="P163" i="888"/>
  <c r="O163" i="888"/>
  <c r="N163" i="888"/>
  <c r="M163" i="888"/>
  <c r="L163" i="888"/>
  <c r="Q162" i="888"/>
  <c r="P162" i="888"/>
  <c r="O162" i="888"/>
  <c r="N162" i="888"/>
  <c r="M162" i="888"/>
  <c r="L162" i="888"/>
  <c r="H162" i="888"/>
  <c r="J162" i="888"/>
  <c r="G162" i="888"/>
  <c r="F162" i="888"/>
  <c r="Q161" i="888"/>
  <c r="P161" i="888"/>
  <c r="O161" i="888"/>
  <c r="N161" i="888"/>
  <c r="M161" i="888"/>
  <c r="L161" i="888"/>
  <c r="H161" i="888"/>
  <c r="F161" i="888"/>
  <c r="Q160" i="888"/>
  <c r="P160" i="888"/>
  <c r="O160" i="888"/>
  <c r="N160" i="888"/>
  <c r="M160" i="888"/>
  <c r="L160" i="888"/>
  <c r="H160" i="888"/>
  <c r="J160" i="888"/>
  <c r="G160" i="888"/>
  <c r="F160" i="888"/>
  <c r="Q159" i="888"/>
  <c r="P159" i="888"/>
  <c r="O159" i="888"/>
  <c r="N159" i="888"/>
  <c r="M159" i="888"/>
  <c r="L159" i="888"/>
  <c r="Q158" i="888"/>
  <c r="P158" i="888"/>
  <c r="O158" i="888"/>
  <c r="N158" i="888"/>
  <c r="M158" i="888"/>
  <c r="L158" i="888"/>
  <c r="H158" i="888"/>
  <c r="J158" i="888"/>
  <c r="G158" i="888"/>
  <c r="F158" i="888"/>
  <c r="Q157" i="888"/>
  <c r="P157" i="888"/>
  <c r="O157" i="888"/>
  <c r="N157" i="888"/>
  <c r="M157" i="888"/>
  <c r="L157" i="888"/>
  <c r="H157" i="888"/>
  <c r="F157" i="888"/>
  <c r="Q156" i="888"/>
  <c r="P156" i="888"/>
  <c r="O156" i="888"/>
  <c r="N156" i="888"/>
  <c r="M156" i="888"/>
  <c r="L156" i="888"/>
  <c r="H156" i="888"/>
  <c r="J156" i="888"/>
  <c r="G156" i="888"/>
  <c r="F156" i="888"/>
  <c r="Q155" i="888"/>
  <c r="P155" i="888"/>
  <c r="O155" i="888"/>
  <c r="N155" i="888"/>
  <c r="M155" i="888"/>
  <c r="L155" i="888"/>
  <c r="J155" i="888"/>
  <c r="Q154" i="888"/>
  <c r="P154" i="888"/>
  <c r="O154" i="888"/>
  <c r="N154" i="888"/>
  <c r="M154" i="888"/>
  <c r="L154" i="888"/>
  <c r="F154" i="888"/>
  <c r="Q153" i="888"/>
  <c r="P153" i="888"/>
  <c r="O153" i="888"/>
  <c r="N153" i="888"/>
  <c r="M153" i="888"/>
  <c r="L153" i="888"/>
  <c r="J153" i="888"/>
  <c r="G153" i="888"/>
  <c r="F153" i="888"/>
  <c r="Q152" i="888"/>
  <c r="P152" i="888"/>
  <c r="O152" i="888"/>
  <c r="N152" i="888"/>
  <c r="M152" i="888"/>
  <c r="L152" i="888"/>
  <c r="J152" i="888"/>
  <c r="G152" i="888"/>
  <c r="Q151" i="888"/>
  <c r="P151" i="888"/>
  <c r="O151" i="888"/>
  <c r="N151" i="888"/>
  <c r="M151" i="888"/>
  <c r="L151" i="888"/>
  <c r="J151" i="888"/>
  <c r="Q150" i="888"/>
  <c r="P150" i="888"/>
  <c r="O150" i="888"/>
  <c r="N150" i="888"/>
  <c r="M150" i="888"/>
  <c r="L150" i="888"/>
  <c r="F150" i="888"/>
  <c r="Q149" i="888"/>
  <c r="P149" i="888"/>
  <c r="O149" i="888"/>
  <c r="N149" i="888"/>
  <c r="M149" i="888"/>
  <c r="L149" i="888"/>
  <c r="F149" i="888"/>
  <c r="Q148" i="888"/>
  <c r="P148" i="888"/>
  <c r="O148" i="888"/>
  <c r="N148" i="888"/>
  <c r="M148" i="888"/>
  <c r="L148" i="888"/>
  <c r="J148" i="888"/>
  <c r="G148" i="888"/>
  <c r="Q147" i="888"/>
  <c r="P147" i="888"/>
  <c r="O147" i="888"/>
  <c r="N147" i="888"/>
  <c r="M147" i="888"/>
  <c r="L147" i="888"/>
  <c r="J147" i="888"/>
  <c r="Q146" i="888"/>
  <c r="P146" i="888"/>
  <c r="O146" i="888"/>
  <c r="N146" i="888"/>
  <c r="M146" i="888"/>
  <c r="L146" i="888"/>
  <c r="F146" i="888"/>
  <c r="Q145" i="888"/>
  <c r="P145" i="888"/>
  <c r="O145" i="888"/>
  <c r="N145" i="888"/>
  <c r="M145" i="888"/>
  <c r="L145" i="888"/>
  <c r="J145" i="888"/>
  <c r="Q144" i="888"/>
  <c r="P144" i="888"/>
  <c r="O144" i="888"/>
  <c r="N144" i="888"/>
  <c r="M144" i="888"/>
  <c r="L144" i="888"/>
  <c r="Q143" i="888"/>
  <c r="P143" i="888"/>
  <c r="O143" i="888"/>
  <c r="N143" i="888"/>
  <c r="M143" i="888"/>
  <c r="L143" i="888"/>
  <c r="J143" i="888"/>
  <c r="Q142" i="888"/>
  <c r="P142" i="888"/>
  <c r="O142" i="888"/>
  <c r="N142" i="888"/>
  <c r="M142" i="888"/>
  <c r="L142" i="888"/>
  <c r="F142" i="888"/>
  <c r="Q141" i="888"/>
  <c r="P141" i="888"/>
  <c r="O141" i="888"/>
  <c r="N141" i="888"/>
  <c r="M141" i="888"/>
  <c r="L141" i="888"/>
  <c r="F141" i="888"/>
  <c r="J141" i="888"/>
  <c r="G141" i="888"/>
  <c r="Q140" i="888"/>
  <c r="P140" i="888"/>
  <c r="O140" i="888"/>
  <c r="N140" i="888"/>
  <c r="M140" i="888"/>
  <c r="L140" i="888"/>
  <c r="G140" i="888"/>
  <c r="J140" i="888"/>
  <c r="Q139" i="888"/>
  <c r="P139" i="888"/>
  <c r="O139" i="888"/>
  <c r="N139" i="888"/>
  <c r="M139" i="888"/>
  <c r="L139" i="888"/>
  <c r="J139" i="888"/>
  <c r="Q138" i="888"/>
  <c r="P138" i="888"/>
  <c r="O138" i="888"/>
  <c r="N138" i="888"/>
  <c r="M138" i="888"/>
  <c r="L138" i="888"/>
  <c r="F138" i="888"/>
  <c r="Q137" i="888"/>
  <c r="P137" i="888"/>
  <c r="O137" i="888"/>
  <c r="N137" i="888"/>
  <c r="M137" i="888"/>
  <c r="L137" i="888"/>
  <c r="J137" i="888"/>
  <c r="G137" i="888"/>
  <c r="F137" i="888"/>
  <c r="Q136" i="888"/>
  <c r="P136" i="888"/>
  <c r="O136" i="888"/>
  <c r="N136" i="888"/>
  <c r="M136" i="888"/>
  <c r="L136" i="888"/>
  <c r="J136" i="888"/>
  <c r="G136" i="888"/>
  <c r="Q135" i="888"/>
  <c r="P135" i="888"/>
  <c r="O135" i="888"/>
  <c r="N135" i="888"/>
  <c r="M135" i="888"/>
  <c r="L135" i="888"/>
  <c r="J135" i="888"/>
  <c r="Q134" i="888"/>
  <c r="P134" i="888"/>
  <c r="O134" i="888"/>
  <c r="N134" i="888"/>
  <c r="M134" i="888"/>
  <c r="L134" i="888"/>
  <c r="F134" i="888"/>
  <c r="E134" i="888"/>
  <c r="Q133" i="888"/>
  <c r="P133" i="888"/>
  <c r="O133" i="888"/>
  <c r="N133" i="888"/>
  <c r="M133" i="888"/>
  <c r="L133" i="888"/>
  <c r="H133" i="888"/>
  <c r="J133" i="888"/>
  <c r="I133" i="888"/>
  <c r="F133" i="888"/>
  <c r="E133" i="888"/>
  <c r="Q132" i="888"/>
  <c r="P132" i="888"/>
  <c r="O132" i="888"/>
  <c r="N132" i="888"/>
  <c r="M132" i="888"/>
  <c r="L132" i="888"/>
  <c r="I132" i="888"/>
  <c r="Q131" i="888"/>
  <c r="P131" i="888"/>
  <c r="O131" i="888"/>
  <c r="N131" i="888"/>
  <c r="M131" i="888"/>
  <c r="L131" i="888"/>
  <c r="F131" i="888"/>
  <c r="Q130" i="888"/>
  <c r="P130" i="888"/>
  <c r="O130" i="888"/>
  <c r="N130" i="888"/>
  <c r="M130" i="888"/>
  <c r="L130" i="888"/>
  <c r="H130" i="888"/>
  <c r="F130" i="888"/>
  <c r="Q129" i="888"/>
  <c r="P129" i="888"/>
  <c r="O129" i="888"/>
  <c r="N129" i="888"/>
  <c r="M129" i="888"/>
  <c r="L129" i="888"/>
  <c r="H129" i="888"/>
  <c r="J129" i="888"/>
  <c r="I129" i="888"/>
  <c r="F129" i="888"/>
  <c r="E129" i="888"/>
  <c r="Q128" i="888"/>
  <c r="P128" i="888"/>
  <c r="O128" i="888"/>
  <c r="N128" i="888"/>
  <c r="M128" i="888"/>
  <c r="L128" i="888"/>
  <c r="I128" i="888"/>
  <c r="G128" i="888"/>
  <c r="Q127" i="888"/>
  <c r="P127" i="888"/>
  <c r="O127" i="888"/>
  <c r="N127" i="888"/>
  <c r="M127" i="888"/>
  <c r="L127" i="888"/>
  <c r="F127" i="888"/>
  <c r="Q126" i="888"/>
  <c r="P126" i="888"/>
  <c r="O126" i="888"/>
  <c r="N126" i="888"/>
  <c r="M126" i="888"/>
  <c r="L126" i="888"/>
  <c r="I126" i="888"/>
  <c r="G126" i="888"/>
  <c r="Q125" i="888"/>
  <c r="P125" i="888"/>
  <c r="O125" i="888"/>
  <c r="N125" i="888"/>
  <c r="M125" i="888"/>
  <c r="L125" i="888"/>
  <c r="I125" i="888"/>
  <c r="G125" i="888"/>
  <c r="Q124" i="888"/>
  <c r="P124" i="888"/>
  <c r="O124" i="888"/>
  <c r="N124" i="888"/>
  <c r="M124" i="888"/>
  <c r="L124" i="888"/>
  <c r="I124" i="888"/>
  <c r="G124" i="888"/>
  <c r="Q123" i="888"/>
  <c r="P123" i="888"/>
  <c r="O123" i="888"/>
  <c r="N123" i="888"/>
  <c r="M123" i="888"/>
  <c r="L123" i="888"/>
  <c r="I123" i="888"/>
  <c r="G123" i="888"/>
  <c r="Q122" i="888"/>
  <c r="P122" i="888"/>
  <c r="O122" i="888"/>
  <c r="N122" i="888"/>
  <c r="M122" i="888"/>
  <c r="L122" i="888"/>
  <c r="Q121" i="888"/>
  <c r="P121" i="888"/>
  <c r="O121" i="888"/>
  <c r="N121" i="888"/>
  <c r="M121" i="888"/>
  <c r="L121" i="888"/>
  <c r="G121" i="888"/>
  <c r="Q120" i="888"/>
  <c r="P120" i="888"/>
  <c r="O120" i="888"/>
  <c r="N120" i="888"/>
  <c r="M120" i="888"/>
  <c r="L120" i="888"/>
  <c r="G120" i="888"/>
  <c r="Q119" i="888"/>
  <c r="P119" i="888"/>
  <c r="O119" i="888"/>
  <c r="N119" i="888"/>
  <c r="M119" i="888"/>
  <c r="L119" i="888"/>
  <c r="G119" i="888"/>
  <c r="Q118" i="888"/>
  <c r="P118" i="888"/>
  <c r="O118" i="888"/>
  <c r="N118" i="888"/>
  <c r="M118" i="888"/>
  <c r="L118" i="888"/>
  <c r="Q117" i="888"/>
  <c r="P117" i="888"/>
  <c r="O117" i="888"/>
  <c r="N117" i="888"/>
  <c r="M117" i="888"/>
  <c r="L117" i="888"/>
  <c r="G117" i="888"/>
  <c r="Q116" i="888"/>
  <c r="P116" i="888"/>
  <c r="O116" i="888"/>
  <c r="N116" i="888"/>
  <c r="M116" i="888"/>
  <c r="L116" i="888"/>
  <c r="H116" i="888"/>
  <c r="J116" i="888"/>
  <c r="F116" i="888"/>
  <c r="Q115" i="888"/>
  <c r="P115" i="888"/>
  <c r="O115" i="888"/>
  <c r="N115" i="888"/>
  <c r="M115" i="888"/>
  <c r="L115" i="888"/>
  <c r="F115" i="888"/>
  <c r="H115" i="888"/>
  <c r="G115" i="888"/>
  <c r="Q114" i="888"/>
  <c r="P114" i="888"/>
  <c r="O114" i="888"/>
  <c r="N114" i="888"/>
  <c r="M114" i="888"/>
  <c r="L114" i="888"/>
  <c r="H114" i="888"/>
  <c r="Q113" i="888"/>
  <c r="P113" i="888"/>
  <c r="O113" i="888"/>
  <c r="N113" i="888"/>
  <c r="M113" i="888"/>
  <c r="L113" i="888"/>
  <c r="Q112" i="888"/>
  <c r="P112" i="888"/>
  <c r="O112" i="888"/>
  <c r="N112" i="888"/>
  <c r="M112" i="888"/>
  <c r="L112" i="888"/>
  <c r="H112" i="888"/>
  <c r="J112" i="888"/>
  <c r="F112" i="888"/>
  <c r="Q111" i="888"/>
  <c r="P111" i="888"/>
  <c r="O111" i="888"/>
  <c r="N111" i="888"/>
  <c r="M111" i="888"/>
  <c r="L111" i="888"/>
  <c r="F111" i="888"/>
  <c r="H111" i="888"/>
  <c r="G111" i="888"/>
  <c r="Q110" i="888"/>
  <c r="P110" i="888"/>
  <c r="O110" i="888"/>
  <c r="N110" i="888"/>
  <c r="M110" i="888"/>
  <c r="L110" i="888"/>
  <c r="Q109" i="888"/>
  <c r="P109" i="888"/>
  <c r="O109" i="888"/>
  <c r="N109" i="888"/>
  <c r="M109" i="888"/>
  <c r="L109" i="888"/>
  <c r="F109" i="888"/>
  <c r="Q108" i="888"/>
  <c r="P108" i="888"/>
  <c r="O108" i="888"/>
  <c r="N108" i="888"/>
  <c r="M108" i="888"/>
  <c r="L108" i="888"/>
  <c r="H108" i="888"/>
  <c r="J108" i="888"/>
  <c r="F108" i="888"/>
  <c r="Q107" i="888"/>
  <c r="P107" i="888"/>
  <c r="O107" i="888"/>
  <c r="N107" i="888"/>
  <c r="M107" i="888"/>
  <c r="L107" i="888"/>
  <c r="F107" i="888"/>
  <c r="H107" i="888"/>
  <c r="G107" i="888"/>
  <c r="Q106" i="888"/>
  <c r="P106" i="888"/>
  <c r="O106" i="888"/>
  <c r="N106" i="888"/>
  <c r="M106" i="888"/>
  <c r="L106" i="888"/>
  <c r="H106" i="888"/>
  <c r="Q105" i="888"/>
  <c r="P105" i="888"/>
  <c r="O105" i="888"/>
  <c r="N105" i="888"/>
  <c r="M105" i="888"/>
  <c r="L105" i="888"/>
  <c r="F105" i="888"/>
  <c r="Q104" i="888"/>
  <c r="P104" i="888"/>
  <c r="O104" i="888"/>
  <c r="N104" i="888"/>
  <c r="M104" i="888"/>
  <c r="L104" i="888"/>
  <c r="H104" i="888"/>
  <c r="J104" i="888"/>
  <c r="F104" i="888"/>
  <c r="Q103" i="888"/>
  <c r="P103" i="888"/>
  <c r="O103" i="888"/>
  <c r="N103" i="888"/>
  <c r="M103" i="888"/>
  <c r="L103" i="888"/>
  <c r="F103" i="888"/>
  <c r="H103" i="888"/>
  <c r="G103" i="888"/>
  <c r="Q102" i="888"/>
  <c r="P102" i="888"/>
  <c r="O102" i="888"/>
  <c r="N102" i="888"/>
  <c r="M102" i="888"/>
  <c r="L102" i="888"/>
  <c r="H102" i="888"/>
  <c r="Q101" i="888"/>
  <c r="P101" i="888"/>
  <c r="O101" i="888"/>
  <c r="N101" i="888"/>
  <c r="M101" i="888"/>
  <c r="L101" i="888"/>
  <c r="F101" i="888"/>
  <c r="Q100" i="888"/>
  <c r="P100" i="888"/>
  <c r="O100" i="888"/>
  <c r="N100" i="888"/>
  <c r="M100" i="888"/>
  <c r="L100" i="888"/>
  <c r="H100" i="888"/>
  <c r="J100" i="888"/>
  <c r="F100" i="888"/>
  <c r="Q99" i="888"/>
  <c r="P99" i="888"/>
  <c r="O99" i="888"/>
  <c r="N99" i="888"/>
  <c r="M99" i="888"/>
  <c r="L99" i="888"/>
  <c r="F99" i="888"/>
  <c r="H99" i="888"/>
  <c r="G99" i="888"/>
  <c r="Q98" i="888"/>
  <c r="P98" i="888"/>
  <c r="O98" i="888"/>
  <c r="N98" i="888"/>
  <c r="M98" i="888"/>
  <c r="L98" i="888"/>
  <c r="H98" i="888"/>
  <c r="Q97" i="888"/>
  <c r="P97" i="888"/>
  <c r="O97" i="888"/>
  <c r="N97" i="888"/>
  <c r="M97" i="888"/>
  <c r="L97" i="888"/>
  <c r="Q96" i="888"/>
  <c r="P96" i="888"/>
  <c r="O96" i="888"/>
  <c r="N96" i="888"/>
  <c r="M96" i="888"/>
  <c r="L96" i="888"/>
  <c r="I96" i="888"/>
  <c r="G96" i="888"/>
  <c r="Q95" i="888"/>
  <c r="P95" i="888"/>
  <c r="O95" i="888"/>
  <c r="N95" i="888"/>
  <c r="M95" i="888"/>
  <c r="L95" i="888"/>
  <c r="I95" i="888"/>
  <c r="G95" i="888"/>
  <c r="Q94" i="888"/>
  <c r="P94" i="888"/>
  <c r="O94" i="888"/>
  <c r="N94" i="888"/>
  <c r="M94" i="888"/>
  <c r="L94" i="888"/>
  <c r="I94" i="888"/>
  <c r="G94" i="888"/>
  <c r="Q93" i="888"/>
  <c r="P93" i="888"/>
  <c r="O93" i="888"/>
  <c r="N93" i="888"/>
  <c r="M93" i="888"/>
  <c r="L93" i="888"/>
  <c r="I93" i="888"/>
  <c r="G93" i="888"/>
  <c r="Q92" i="888"/>
  <c r="P92" i="888"/>
  <c r="O92" i="888"/>
  <c r="N92" i="888"/>
  <c r="M92" i="888"/>
  <c r="L92" i="888"/>
  <c r="I92" i="888"/>
  <c r="G92" i="888"/>
  <c r="Q91" i="888"/>
  <c r="P91" i="888"/>
  <c r="O91" i="888"/>
  <c r="N91" i="888"/>
  <c r="M91" i="888"/>
  <c r="L91" i="888"/>
  <c r="I91" i="888"/>
  <c r="G91" i="888"/>
  <c r="Q90" i="888"/>
  <c r="P90" i="888"/>
  <c r="O90" i="888"/>
  <c r="N90" i="888"/>
  <c r="M90" i="888"/>
  <c r="L90" i="888"/>
  <c r="I90" i="888"/>
  <c r="G90" i="888"/>
  <c r="Q89" i="888"/>
  <c r="P89" i="888"/>
  <c r="O89" i="888"/>
  <c r="N89" i="888"/>
  <c r="M89" i="888"/>
  <c r="L89" i="888"/>
  <c r="I89" i="888"/>
  <c r="G89" i="888"/>
  <c r="Q88" i="888"/>
  <c r="P88" i="888"/>
  <c r="O88" i="888"/>
  <c r="N88" i="888"/>
  <c r="M88" i="888"/>
  <c r="L88" i="888"/>
  <c r="I88" i="888"/>
  <c r="G88" i="888"/>
  <c r="Q87" i="888"/>
  <c r="P87" i="888"/>
  <c r="O87" i="888"/>
  <c r="N87" i="888"/>
  <c r="M87" i="888"/>
  <c r="L87" i="888"/>
  <c r="I87" i="888"/>
  <c r="G87" i="888"/>
  <c r="Q86" i="888"/>
  <c r="P86" i="888"/>
  <c r="O86" i="888"/>
  <c r="N86" i="888"/>
  <c r="M86" i="888"/>
  <c r="L86" i="888"/>
  <c r="I86" i="888"/>
  <c r="G86" i="888"/>
  <c r="Q85" i="888"/>
  <c r="P85" i="888"/>
  <c r="O85" i="888"/>
  <c r="N85" i="888"/>
  <c r="M85" i="888"/>
  <c r="L85" i="888"/>
  <c r="I85" i="888"/>
  <c r="G85" i="888"/>
  <c r="Q84" i="888"/>
  <c r="P84" i="888"/>
  <c r="O84" i="888"/>
  <c r="N84" i="888"/>
  <c r="M84" i="888"/>
  <c r="L84" i="888"/>
  <c r="I84" i="888"/>
  <c r="G84" i="888"/>
  <c r="Q83" i="888"/>
  <c r="P83" i="888"/>
  <c r="O83" i="888"/>
  <c r="N83" i="888"/>
  <c r="M83" i="888"/>
  <c r="L83" i="888"/>
  <c r="I83" i="888"/>
  <c r="G83" i="888"/>
  <c r="Q82" i="888"/>
  <c r="P82" i="888"/>
  <c r="O82" i="888"/>
  <c r="N82" i="888"/>
  <c r="M82" i="888"/>
  <c r="L82" i="888"/>
  <c r="I82" i="888"/>
  <c r="G82" i="888"/>
  <c r="Q81" i="888"/>
  <c r="P81" i="888"/>
  <c r="O81" i="888"/>
  <c r="N81" i="888"/>
  <c r="M81" i="888"/>
  <c r="L81" i="888"/>
  <c r="I81" i="888"/>
  <c r="G81" i="888"/>
  <c r="Q80" i="888"/>
  <c r="P80" i="888"/>
  <c r="O80" i="888"/>
  <c r="N80" i="888"/>
  <c r="M80" i="888"/>
  <c r="L80" i="888"/>
  <c r="I80" i="888"/>
  <c r="G80" i="888"/>
  <c r="Q79" i="888"/>
  <c r="P79" i="888"/>
  <c r="O79" i="888"/>
  <c r="N79" i="888"/>
  <c r="M79" i="888"/>
  <c r="L79" i="888"/>
  <c r="I79" i="888"/>
  <c r="G79" i="888"/>
  <c r="Q78" i="888"/>
  <c r="P78" i="888"/>
  <c r="O78" i="888"/>
  <c r="N78" i="888"/>
  <c r="M78" i="888"/>
  <c r="L78" i="888"/>
  <c r="I78" i="888"/>
  <c r="G78" i="888"/>
  <c r="Q77" i="888"/>
  <c r="P77" i="888"/>
  <c r="O77" i="888"/>
  <c r="N77" i="888"/>
  <c r="M77" i="888"/>
  <c r="L77" i="888"/>
  <c r="I77" i="888"/>
  <c r="G77" i="888"/>
  <c r="Q76" i="888"/>
  <c r="P76" i="888"/>
  <c r="O76" i="888"/>
  <c r="N76" i="888"/>
  <c r="M76" i="888"/>
  <c r="L76" i="888"/>
  <c r="I76" i="888"/>
  <c r="G76" i="888"/>
  <c r="Q75" i="888"/>
  <c r="P75" i="888"/>
  <c r="O75" i="888"/>
  <c r="N75" i="888"/>
  <c r="M75" i="888"/>
  <c r="L75" i="888"/>
  <c r="I75" i="888"/>
  <c r="G75" i="888"/>
  <c r="Q74" i="888"/>
  <c r="P74" i="888"/>
  <c r="O74" i="888"/>
  <c r="N74" i="888"/>
  <c r="M74" i="888"/>
  <c r="L74" i="888"/>
  <c r="I74" i="888"/>
  <c r="G74" i="888"/>
  <c r="Q73" i="888"/>
  <c r="P73" i="888"/>
  <c r="O73" i="888"/>
  <c r="N73" i="888"/>
  <c r="M73" i="888"/>
  <c r="L73" i="888"/>
  <c r="I73" i="888"/>
  <c r="G73" i="888"/>
  <c r="Q72" i="888"/>
  <c r="P72" i="888"/>
  <c r="O72" i="888"/>
  <c r="N72" i="888"/>
  <c r="M72" i="888"/>
  <c r="L72" i="888"/>
  <c r="I72" i="888"/>
  <c r="G72" i="888"/>
  <c r="Q71" i="888"/>
  <c r="P71" i="888"/>
  <c r="O71" i="888"/>
  <c r="N71" i="888"/>
  <c r="M71" i="888"/>
  <c r="L71" i="888"/>
  <c r="I71" i="888"/>
  <c r="G71" i="888"/>
  <c r="Q70" i="888"/>
  <c r="P70" i="888"/>
  <c r="O70" i="888"/>
  <c r="N70" i="888"/>
  <c r="M70" i="888"/>
  <c r="L70" i="888"/>
  <c r="I70" i="888"/>
  <c r="G70" i="888"/>
  <c r="Q69" i="888"/>
  <c r="P69" i="888"/>
  <c r="O69" i="888"/>
  <c r="N69" i="888"/>
  <c r="M69" i="888"/>
  <c r="L69" i="888"/>
  <c r="G69" i="888"/>
  <c r="Q68" i="888"/>
  <c r="P68" i="888"/>
  <c r="O68" i="888"/>
  <c r="N68" i="888"/>
  <c r="M68" i="888"/>
  <c r="L68" i="888"/>
  <c r="Q67" i="888"/>
  <c r="P67" i="888"/>
  <c r="O67" i="888"/>
  <c r="N67" i="888"/>
  <c r="M67" i="888"/>
  <c r="L67" i="888"/>
  <c r="G67" i="888"/>
  <c r="Q66" i="888"/>
  <c r="P66" i="888"/>
  <c r="O66" i="888"/>
  <c r="N66" i="888"/>
  <c r="M66" i="888"/>
  <c r="L66" i="888"/>
  <c r="G66" i="888"/>
  <c r="Q65" i="888"/>
  <c r="P65" i="888"/>
  <c r="O65" i="888"/>
  <c r="N65" i="888"/>
  <c r="M65" i="888"/>
  <c r="L65" i="888"/>
  <c r="G65" i="888"/>
  <c r="Q64" i="888"/>
  <c r="P64" i="888"/>
  <c r="O64" i="888"/>
  <c r="N64" i="888"/>
  <c r="M64" i="888"/>
  <c r="L64" i="888"/>
  <c r="Q63" i="888"/>
  <c r="P63" i="888"/>
  <c r="O63" i="888"/>
  <c r="N63" i="888"/>
  <c r="M63" i="888"/>
  <c r="L63" i="888"/>
  <c r="G63" i="888"/>
  <c r="Q62" i="888"/>
  <c r="P62" i="888"/>
  <c r="O62" i="888"/>
  <c r="N62" i="888"/>
  <c r="M62" i="888"/>
  <c r="L62" i="888"/>
  <c r="G62" i="888"/>
  <c r="Q61" i="888"/>
  <c r="P61" i="888"/>
  <c r="O61" i="888"/>
  <c r="N61" i="888"/>
  <c r="M61" i="888"/>
  <c r="L61" i="888"/>
  <c r="G61" i="888"/>
  <c r="Q60" i="888"/>
  <c r="P60" i="888"/>
  <c r="O60" i="888"/>
  <c r="N60" i="888"/>
  <c r="M60" i="888"/>
  <c r="L60" i="888"/>
  <c r="Q59" i="888"/>
  <c r="P59" i="888"/>
  <c r="O59" i="888"/>
  <c r="N59" i="888"/>
  <c r="M59" i="888"/>
  <c r="L59" i="888"/>
  <c r="G59" i="888"/>
  <c r="Q58" i="888"/>
  <c r="P58" i="888"/>
  <c r="O58" i="888"/>
  <c r="N58" i="888"/>
  <c r="M58" i="888"/>
  <c r="L58" i="888"/>
  <c r="G58" i="888"/>
  <c r="Q57" i="888"/>
  <c r="P57" i="888"/>
  <c r="O57" i="888"/>
  <c r="N57" i="888"/>
  <c r="M57" i="888"/>
  <c r="L57" i="888"/>
  <c r="G57" i="888"/>
  <c r="H57" i="888"/>
  <c r="Q56" i="888"/>
  <c r="P56" i="888"/>
  <c r="O56" i="888"/>
  <c r="N56" i="888"/>
  <c r="M56" i="888"/>
  <c r="L56" i="888"/>
  <c r="G56" i="888"/>
  <c r="H56" i="888"/>
  <c r="Q55" i="888"/>
  <c r="P55" i="888"/>
  <c r="O55" i="888"/>
  <c r="N55" i="888"/>
  <c r="M55" i="888"/>
  <c r="L55" i="888"/>
  <c r="G55" i="888"/>
  <c r="H55" i="888"/>
  <c r="Q54" i="888"/>
  <c r="P54" i="888"/>
  <c r="O54" i="888"/>
  <c r="N54" i="888"/>
  <c r="M54" i="888"/>
  <c r="L54" i="888"/>
  <c r="Q53" i="888"/>
  <c r="P53" i="888"/>
  <c r="O53" i="888"/>
  <c r="N53" i="888"/>
  <c r="M53" i="888"/>
  <c r="L53" i="888"/>
  <c r="G53" i="888"/>
  <c r="H53" i="888"/>
  <c r="Q52" i="888"/>
  <c r="P52" i="888"/>
  <c r="O52" i="888"/>
  <c r="N52" i="888"/>
  <c r="M52" i="888"/>
  <c r="L52" i="888"/>
  <c r="G52" i="888"/>
  <c r="H52" i="888"/>
  <c r="Q51" i="888"/>
  <c r="P51" i="888"/>
  <c r="O51" i="888"/>
  <c r="N51" i="888"/>
  <c r="M51" i="888"/>
  <c r="L51" i="888"/>
  <c r="G51" i="888"/>
  <c r="H51" i="888"/>
  <c r="Q50" i="888"/>
  <c r="P50" i="888"/>
  <c r="O50" i="888"/>
  <c r="N50" i="888"/>
  <c r="M50" i="888"/>
  <c r="L50" i="888"/>
  <c r="Q49" i="888"/>
  <c r="P49" i="888"/>
  <c r="O49" i="888"/>
  <c r="N49" i="888"/>
  <c r="M49" i="888"/>
  <c r="L49" i="888"/>
  <c r="G49" i="888"/>
  <c r="H49" i="888"/>
  <c r="Q48" i="888"/>
  <c r="P48" i="888"/>
  <c r="O48" i="888"/>
  <c r="N48" i="888"/>
  <c r="M48" i="888"/>
  <c r="L48" i="888"/>
  <c r="G48" i="888"/>
  <c r="H48" i="888"/>
  <c r="Q47" i="888"/>
  <c r="P47" i="888"/>
  <c r="O47" i="888"/>
  <c r="N47" i="888"/>
  <c r="M47" i="888"/>
  <c r="L47" i="888"/>
  <c r="G47" i="888"/>
  <c r="H47" i="888"/>
  <c r="Q46" i="888"/>
  <c r="P46" i="888"/>
  <c r="O46" i="888"/>
  <c r="N46" i="888"/>
  <c r="M46" i="888"/>
  <c r="L46" i="888"/>
  <c r="Q45" i="888"/>
  <c r="P45" i="888"/>
  <c r="O45" i="888"/>
  <c r="N45" i="888"/>
  <c r="M45" i="888"/>
  <c r="L45" i="888"/>
  <c r="G45" i="888"/>
  <c r="H45" i="888"/>
  <c r="Q44" i="888"/>
  <c r="P44" i="888"/>
  <c r="O44" i="888"/>
  <c r="N44" i="888"/>
  <c r="M44" i="888"/>
  <c r="L44" i="888"/>
  <c r="G44" i="888"/>
  <c r="H44" i="888"/>
  <c r="Q43" i="888"/>
  <c r="P43" i="888"/>
  <c r="O43" i="888"/>
  <c r="N43" i="888"/>
  <c r="M43" i="888"/>
  <c r="L43" i="888"/>
  <c r="G43" i="888"/>
  <c r="H43" i="888"/>
  <c r="Q42" i="888"/>
  <c r="P42" i="888"/>
  <c r="O42" i="888"/>
  <c r="N42" i="888"/>
  <c r="M42" i="888"/>
  <c r="L42" i="888"/>
  <c r="Q41" i="888"/>
  <c r="P41" i="888"/>
  <c r="O41" i="888"/>
  <c r="N41" i="888"/>
  <c r="M41" i="888"/>
  <c r="L41" i="888"/>
  <c r="G41" i="888"/>
  <c r="H41" i="888"/>
  <c r="Q40" i="888"/>
  <c r="P40" i="888"/>
  <c r="O40" i="888"/>
  <c r="N40" i="888"/>
  <c r="M40" i="888"/>
  <c r="L40" i="888"/>
  <c r="H40" i="888"/>
  <c r="Q39" i="888"/>
  <c r="P39" i="888"/>
  <c r="O39" i="888"/>
  <c r="N39" i="888"/>
  <c r="M39" i="888"/>
  <c r="L39" i="888"/>
  <c r="H39" i="888"/>
  <c r="Q38" i="888"/>
  <c r="P38" i="888"/>
  <c r="O38" i="888"/>
  <c r="N38" i="888"/>
  <c r="M38" i="888"/>
  <c r="L38" i="888"/>
  <c r="H38" i="888"/>
  <c r="Q37" i="888"/>
  <c r="P37" i="888"/>
  <c r="O37" i="888"/>
  <c r="N37" i="888"/>
  <c r="M37" i="888"/>
  <c r="L37" i="888"/>
  <c r="H37" i="888"/>
  <c r="Q36" i="888"/>
  <c r="P36" i="888"/>
  <c r="O36" i="888"/>
  <c r="N36" i="888"/>
  <c r="M36" i="888"/>
  <c r="L36" i="888"/>
  <c r="H36" i="888"/>
  <c r="Q35" i="888"/>
  <c r="P35" i="888"/>
  <c r="O35" i="888"/>
  <c r="N35" i="888"/>
  <c r="M35" i="888"/>
  <c r="L35" i="888"/>
  <c r="H35" i="888"/>
  <c r="Q34" i="888"/>
  <c r="P34" i="888"/>
  <c r="O34" i="888"/>
  <c r="N34" i="888"/>
  <c r="M34" i="888"/>
  <c r="L34" i="888"/>
  <c r="H34" i="888"/>
  <c r="Q33" i="888"/>
  <c r="P33" i="888"/>
  <c r="O33" i="888"/>
  <c r="N33" i="888"/>
  <c r="M33" i="888"/>
  <c r="L33" i="888"/>
  <c r="H33" i="888"/>
  <c r="Q32" i="888"/>
  <c r="P32" i="888"/>
  <c r="O32" i="888"/>
  <c r="N32" i="888"/>
  <c r="M32" i="888"/>
  <c r="L32" i="888"/>
  <c r="H32" i="888"/>
  <c r="Q31" i="888"/>
  <c r="P31" i="888"/>
  <c r="O31" i="888"/>
  <c r="N31" i="888"/>
  <c r="M31" i="888"/>
  <c r="L31" i="888"/>
  <c r="H31" i="888"/>
  <c r="Q30" i="888"/>
  <c r="P30" i="888"/>
  <c r="O30" i="888"/>
  <c r="N30" i="888"/>
  <c r="M30" i="888"/>
  <c r="L30" i="888"/>
  <c r="H30" i="888"/>
  <c r="Q29" i="888"/>
  <c r="P29" i="888"/>
  <c r="O29" i="888"/>
  <c r="N29" i="888"/>
  <c r="M29" i="888"/>
  <c r="L29" i="888"/>
  <c r="H29" i="888"/>
  <c r="Q28" i="888"/>
  <c r="P28" i="888"/>
  <c r="O28" i="888"/>
  <c r="N28" i="888"/>
  <c r="M28" i="888"/>
  <c r="L28" i="888"/>
  <c r="H28" i="888"/>
  <c r="Q27" i="888"/>
  <c r="P27" i="888"/>
  <c r="O27" i="888"/>
  <c r="N27" i="888"/>
  <c r="H27" i="888"/>
  <c r="M27" i="888"/>
  <c r="L27" i="888"/>
  <c r="Q26" i="888"/>
  <c r="P26" i="888"/>
  <c r="O26" i="888"/>
  <c r="N26" i="888"/>
  <c r="M26" i="888"/>
  <c r="L26" i="888"/>
  <c r="Q25" i="888"/>
  <c r="P25" i="888"/>
  <c r="O25" i="888"/>
  <c r="N25" i="888"/>
  <c r="M25" i="888"/>
  <c r="L25" i="888"/>
  <c r="H25" i="888"/>
  <c r="Q24" i="888"/>
  <c r="P24" i="888"/>
  <c r="O24" i="888"/>
  <c r="N24" i="888"/>
  <c r="M24" i="888"/>
  <c r="L24" i="888"/>
  <c r="Q23" i="888"/>
  <c r="P23" i="888"/>
  <c r="O23" i="888"/>
  <c r="N23" i="888"/>
  <c r="M23" i="888"/>
  <c r="L23" i="888"/>
  <c r="H23" i="888"/>
  <c r="Q22" i="888"/>
  <c r="P22" i="888"/>
  <c r="O22" i="888"/>
  <c r="N22" i="888"/>
  <c r="M22" i="888"/>
  <c r="L22" i="888"/>
  <c r="Q21" i="888"/>
  <c r="P21" i="888"/>
  <c r="O21" i="888"/>
  <c r="N21" i="888"/>
  <c r="G21" i="888"/>
  <c r="M21" i="888"/>
  <c r="L21" i="888"/>
  <c r="E21" i="888"/>
  <c r="Q20" i="888"/>
  <c r="J20" i="888"/>
  <c r="P20" i="888"/>
  <c r="O20" i="888"/>
  <c r="N20" i="888"/>
  <c r="G20" i="888"/>
  <c r="M20" i="888"/>
  <c r="L20" i="888"/>
  <c r="E20" i="888"/>
  <c r="Q19" i="888"/>
  <c r="P19" i="888"/>
  <c r="O19" i="888"/>
  <c r="N19" i="888"/>
  <c r="M19" i="888"/>
  <c r="L19" i="888"/>
  <c r="J19" i="888"/>
  <c r="Q18" i="888"/>
  <c r="P18" i="888"/>
  <c r="O18" i="888"/>
  <c r="N18" i="888"/>
  <c r="M18" i="888"/>
  <c r="L18" i="888"/>
  <c r="Q17" i="888"/>
  <c r="P17" i="888"/>
  <c r="O17" i="888"/>
  <c r="N17" i="888"/>
  <c r="G17" i="888"/>
  <c r="M17" i="888"/>
  <c r="L17" i="888"/>
  <c r="E17" i="888"/>
  <c r="Q16" i="888"/>
  <c r="P16" i="888"/>
  <c r="O16" i="888"/>
  <c r="N16" i="888"/>
  <c r="G16" i="888"/>
  <c r="M16" i="888"/>
  <c r="L16" i="888"/>
  <c r="J16" i="888"/>
  <c r="E16" i="888"/>
  <c r="Q15" i="888"/>
  <c r="P15" i="888"/>
  <c r="O15" i="888"/>
  <c r="N15" i="888"/>
  <c r="M15" i="888"/>
  <c r="L15" i="888"/>
  <c r="J15" i="888"/>
  <c r="K6" i="888"/>
  <c r="Q7" i="888"/>
  <c r="Q14" i="888"/>
  <c r="J14" i="888"/>
  <c r="P14" i="888"/>
  <c r="O14" i="888"/>
  <c r="N14" i="888"/>
  <c r="G14" i="888"/>
  <c r="M14" i="888"/>
  <c r="L14" i="888"/>
  <c r="E14" i="888"/>
  <c r="C9" i="888"/>
  <c r="M7" i="888"/>
  <c r="V5" i="888"/>
  <c r="I22" i="888"/>
  <c r="V4" i="888"/>
  <c r="S1" i="888"/>
  <c r="Q203" i="887"/>
  <c r="P203" i="887"/>
  <c r="O203" i="887"/>
  <c r="N203" i="887"/>
  <c r="M203" i="887"/>
  <c r="L203" i="887"/>
  <c r="Q202" i="887"/>
  <c r="P202" i="887"/>
  <c r="O202" i="887"/>
  <c r="N202" i="887"/>
  <c r="M202" i="887"/>
  <c r="L202" i="887"/>
  <c r="Q201" i="887"/>
  <c r="P201" i="887"/>
  <c r="O201" i="887"/>
  <c r="N201" i="887"/>
  <c r="M201" i="887"/>
  <c r="L201" i="887"/>
  <c r="Q200" i="887"/>
  <c r="P200" i="887"/>
  <c r="O200" i="887"/>
  <c r="N200" i="887"/>
  <c r="M200" i="887"/>
  <c r="L200" i="887"/>
  <c r="Q199" i="887"/>
  <c r="P199" i="887"/>
  <c r="O199" i="887"/>
  <c r="N199" i="887"/>
  <c r="M199" i="887"/>
  <c r="L199" i="887"/>
  <c r="Q198" i="887"/>
  <c r="P198" i="887"/>
  <c r="O198" i="887"/>
  <c r="N198" i="887"/>
  <c r="M198" i="887"/>
  <c r="L198" i="887"/>
  <c r="Q197" i="887"/>
  <c r="P197" i="887"/>
  <c r="O197" i="887"/>
  <c r="N197" i="887"/>
  <c r="M197" i="887"/>
  <c r="L197" i="887"/>
  <c r="H197" i="887"/>
  <c r="G197" i="887"/>
  <c r="Q196" i="887"/>
  <c r="P196" i="887"/>
  <c r="O196" i="887"/>
  <c r="N196" i="887"/>
  <c r="M196" i="887"/>
  <c r="L196" i="887"/>
  <c r="H196" i="887"/>
  <c r="G196" i="887"/>
  <c r="Q195" i="887"/>
  <c r="P195" i="887"/>
  <c r="O195" i="887"/>
  <c r="N195" i="887"/>
  <c r="M195" i="887"/>
  <c r="L195" i="887"/>
  <c r="H195" i="887"/>
  <c r="G195" i="887"/>
  <c r="Q194" i="887"/>
  <c r="P194" i="887"/>
  <c r="O194" i="887"/>
  <c r="N194" i="887"/>
  <c r="M194" i="887"/>
  <c r="L194" i="887"/>
  <c r="Q193" i="887"/>
  <c r="P193" i="887"/>
  <c r="O193" i="887"/>
  <c r="N193" i="887"/>
  <c r="M193" i="887"/>
  <c r="L193" i="887"/>
  <c r="H193" i="887"/>
  <c r="G193" i="887"/>
  <c r="Q192" i="887"/>
  <c r="P192" i="887"/>
  <c r="O192" i="887"/>
  <c r="N192" i="887"/>
  <c r="M192" i="887"/>
  <c r="L192" i="887"/>
  <c r="H192" i="887"/>
  <c r="G192" i="887"/>
  <c r="Q191" i="887"/>
  <c r="P191" i="887"/>
  <c r="O191" i="887"/>
  <c r="N191" i="887"/>
  <c r="M191" i="887"/>
  <c r="L191" i="887"/>
  <c r="H191" i="887"/>
  <c r="G191" i="887"/>
  <c r="Q190" i="887"/>
  <c r="P190" i="887"/>
  <c r="O190" i="887"/>
  <c r="N190" i="887"/>
  <c r="M190" i="887"/>
  <c r="L190" i="887"/>
  <c r="Q189" i="887"/>
  <c r="P189" i="887"/>
  <c r="O189" i="887"/>
  <c r="N189" i="887"/>
  <c r="M189" i="887"/>
  <c r="L189" i="887"/>
  <c r="H189" i="887"/>
  <c r="G189" i="887"/>
  <c r="Q188" i="887"/>
  <c r="P188" i="887"/>
  <c r="O188" i="887"/>
  <c r="N188" i="887"/>
  <c r="M188" i="887"/>
  <c r="L188" i="887"/>
  <c r="H188" i="887"/>
  <c r="G188" i="887"/>
  <c r="Q187" i="887"/>
  <c r="P187" i="887"/>
  <c r="O187" i="887"/>
  <c r="N187" i="887"/>
  <c r="M187" i="887"/>
  <c r="L187" i="887"/>
  <c r="H187" i="887"/>
  <c r="G187" i="887"/>
  <c r="Q186" i="887"/>
  <c r="P186" i="887"/>
  <c r="O186" i="887"/>
  <c r="N186" i="887"/>
  <c r="M186" i="887"/>
  <c r="L186" i="887"/>
  <c r="Q185" i="887"/>
  <c r="P185" i="887"/>
  <c r="O185" i="887"/>
  <c r="N185" i="887"/>
  <c r="M185" i="887"/>
  <c r="L185" i="887"/>
  <c r="H185" i="887"/>
  <c r="G185" i="887"/>
  <c r="Q184" i="887"/>
  <c r="P184" i="887"/>
  <c r="O184" i="887"/>
  <c r="N184" i="887"/>
  <c r="M184" i="887"/>
  <c r="L184" i="887"/>
  <c r="H184" i="887"/>
  <c r="G184" i="887"/>
  <c r="Q183" i="887"/>
  <c r="P183" i="887"/>
  <c r="O183" i="887"/>
  <c r="N183" i="887"/>
  <c r="M183" i="887"/>
  <c r="L183" i="887"/>
  <c r="H183" i="887"/>
  <c r="G183" i="887"/>
  <c r="Q182" i="887"/>
  <c r="P182" i="887"/>
  <c r="O182" i="887"/>
  <c r="N182" i="887"/>
  <c r="M182" i="887"/>
  <c r="L182" i="887"/>
  <c r="Q181" i="887"/>
  <c r="P181" i="887"/>
  <c r="O181" i="887"/>
  <c r="N181" i="887"/>
  <c r="M181" i="887"/>
  <c r="L181" i="887"/>
  <c r="Q180" i="887"/>
  <c r="P180" i="887"/>
  <c r="O180" i="887"/>
  <c r="N180" i="887"/>
  <c r="M180" i="887"/>
  <c r="L180" i="887"/>
  <c r="G180" i="887"/>
  <c r="Q179" i="887"/>
  <c r="P179" i="887"/>
  <c r="O179" i="887"/>
  <c r="N179" i="887"/>
  <c r="M179" i="887"/>
  <c r="L179" i="887"/>
  <c r="G179" i="887"/>
  <c r="Q178" i="887"/>
  <c r="P178" i="887"/>
  <c r="O178" i="887"/>
  <c r="N178" i="887"/>
  <c r="M178" i="887"/>
  <c r="L178" i="887"/>
  <c r="G178" i="887"/>
  <c r="Q177" i="887"/>
  <c r="P177" i="887"/>
  <c r="O177" i="887"/>
  <c r="N177" i="887"/>
  <c r="M177" i="887"/>
  <c r="L177" i="887"/>
  <c r="Q176" i="887"/>
  <c r="P176" i="887"/>
  <c r="O176" i="887"/>
  <c r="N176" i="887"/>
  <c r="M176" i="887"/>
  <c r="L176" i="887"/>
  <c r="G176" i="887"/>
  <c r="Q175" i="887"/>
  <c r="P175" i="887"/>
  <c r="O175" i="887"/>
  <c r="N175" i="887"/>
  <c r="M175" i="887"/>
  <c r="L175" i="887"/>
  <c r="G175" i="887"/>
  <c r="Q174" i="887"/>
  <c r="P174" i="887"/>
  <c r="O174" i="887"/>
  <c r="N174" i="887"/>
  <c r="M174" i="887"/>
  <c r="L174" i="887"/>
  <c r="G174" i="887"/>
  <c r="Q173" i="887"/>
  <c r="P173" i="887"/>
  <c r="O173" i="887"/>
  <c r="N173" i="887"/>
  <c r="M173" i="887"/>
  <c r="L173" i="887"/>
  <c r="Q172" i="887"/>
  <c r="P172" i="887"/>
  <c r="O172" i="887"/>
  <c r="N172" i="887"/>
  <c r="M172" i="887"/>
  <c r="L172" i="887"/>
  <c r="G172" i="887"/>
  <c r="Q171" i="887"/>
  <c r="P171" i="887"/>
  <c r="O171" i="887"/>
  <c r="N171" i="887"/>
  <c r="M171" i="887"/>
  <c r="L171" i="887"/>
  <c r="G171" i="887"/>
  <c r="Q170" i="887"/>
  <c r="P170" i="887"/>
  <c r="O170" i="887"/>
  <c r="N170" i="887"/>
  <c r="M170" i="887"/>
  <c r="L170" i="887"/>
  <c r="G170" i="887"/>
  <c r="Q169" i="887"/>
  <c r="P169" i="887"/>
  <c r="O169" i="887"/>
  <c r="N169" i="887"/>
  <c r="M169" i="887"/>
  <c r="L169" i="887"/>
  <c r="Q168" i="887"/>
  <c r="P168" i="887"/>
  <c r="O168" i="887"/>
  <c r="N168" i="887"/>
  <c r="M168" i="887"/>
  <c r="L168" i="887"/>
  <c r="G168" i="887"/>
  <c r="Q167" i="887"/>
  <c r="P167" i="887"/>
  <c r="O167" i="887"/>
  <c r="N167" i="887"/>
  <c r="M167" i="887"/>
  <c r="L167" i="887"/>
  <c r="G167" i="887"/>
  <c r="Q166" i="887"/>
  <c r="P166" i="887"/>
  <c r="O166" i="887"/>
  <c r="N166" i="887"/>
  <c r="M166" i="887"/>
  <c r="L166" i="887"/>
  <c r="G166" i="887"/>
  <c r="Q165" i="887"/>
  <c r="P165" i="887"/>
  <c r="O165" i="887"/>
  <c r="N165" i="887"/>
  <c r="M165" i="887"/>
  <c r="L165" i="887"/>
  <c r="Q164" i="887"/>
  <c r="P164" i="887"/>
  <c r="O164" i="887"/>
  <c r="N164" i="887"/>
  <c r="M164" i="887"/>
  <c r="L164" i="887"/>
  <c r="G164" i="887"/>
  <c r="Q163" i="887"/>
  <c r="P163" i="887"/>
  <c r="O163" i="887"/>
  <c r="N163" i="887"/>
  <c r="M163" i="887"/>
  <c r="L163" i="887"/>
  <c r="G163" i="887"/>
  <c r="H163" i="887"/>
  <c r="Q162" i="887"/>
  <c r="P162" i="887"/>
  <c r="O162" i="887"/>
  <c r="N162" i="887"/>
  <c r="M162" i="887"/>
  <c r="L162" i="887"/>
  <c r="G162" i="887"/>
  <c r="H162" i="887"/>
  <c r="Q161" i="887"/>
  <c r="P161" i="887"/>
  <c r="O161" i="887"/>
  <c r="N161" i="887"/>
  <c r="M161" i="887"/>
  <c r="L161" i="887"/>
  <c r="J161" i="887"/>
  <c r="I161" i="887"/>
  <c r="F161" i="887"/>
  <c r="E161" i="887"/>
  <c r="Q160" i="887"/>
  <c r="P160" i="887"/>
  <c r="O160" i="887"/>
  <c r="N160" i="887"/>
  <c r="M160" i="887"/>
  <c r="L160" i="887"/>
  <c r="J160" i="887"/>
  <c r="F160" i="887"/>
  <c r="Q159" i="887"/>
  <c r="P159" i="887"/>
  <c r="O159" i="887"/>
  <c r="N159" i="887"/>
  <c r="M159" i="887"/>
  <c r="L159" i="887"/>
  <c r="J159" i="887"/>
  <c r="H159" i="887"/>
  <c r="G159" i="887"/>
  <c r="F159" i="887"/>
  <c r="Q158" i="887"/>
  <c r="P158" i="887"/>
  <c r="O158" i="887"/>
  <c r="N158" i="887"/>
  <c r="M158" i="887"/>
  <c r="L158" i="887"/>
  <c r="J158" i="887"/>
  <c r="F158" i="887"/>
  <c r="Q157" i="887"/>
  <c r="P157" i="887"/>
  <c r="O157" i="887"/>
  <c r="N157" i="887"/>
  <c r="M157" i="887"/>
  <c r="L157" i="887"/>
  <c r="J157" i="887"/>
  <c r="H157" i="887"/>
  <c r="G157" i="887"/>
  <c r="F157" i="887"/>
  <c r="Q156" i="887"/>
  <c r="P156" i="887"/>
  <c r="O156" i="887"/>
  <c r="N156" i="887"/>
  <c r="M156" i="887"/>
  <c r="L156" i="887"/>
  <c r="J156" i="887"/>
  <c r="F156" i="887"/>
  <c r="Q155" i="887"/>
  <c r="P155" i="887"/>
  <c r="O155" i="887"/>
  <c r="N155" i="887"/>
  <c r="M155" i="887"/>
  <c r="L155" i="887"/>
  <c r="J155" i="887"/>
  <c r="H155" i="887"/>
  <c r="G155" i="887"/>
  <c r="F155" i="887"/>
  <c r="Q154" i="887"/>
  <c r="P154" i="887"/>
  <c r="O154" i="887"/>
  <c r="N154" i="887"/>
  <c r="M154" i="887"/>
  <c r="L154" i="887"/>
  <c r="J154" i="887"/>
  <c r="F154" i="887"/>
  <c r="Q153" i="887"/>
  <c r="P153" i="887"/>
  <c r="O153" i="887"/>
  <c r="N153" i="887"/>
  <c r="M153" i="887"/>
  <c r="L153" i="887"/>
  <c r="J153" i="887"/>
  <c r="H153" i="887"/>
  <c r="G153" i="887"/>
  <c r="F153" i="887"/>
  <c r="Q152" i="887"/>
  <c r="P152" i="887"/>
  <c r="O152" i="887"/>
  <c r="N152" i="887"/>
  <c r="M152" i="887"/>
  <c r="L152" i="887"/>
  <c r="J152" i="887"/>
  <c r="F152" i="887"/>
  <c r="Q151" i="887"/>
  <c r="P151" i="887"/>
  <c r="O151" i="887"/>
  <c r="N151" i="887"/>
  <c r="M151" i="887"/>
  <c r="L151" i="887"/>
  <c r="J151" i="887"/>
  <c r="H151" i="887"/>
  <c r="G151" i="887"/>
  <c r="F151" i="887"/>
  <c r="Q150" i="887"/>
  <c r="P150" i="887"/>
  <c r="O150" i="887"/>
  <c r="N150" i="887"/>
  <c r="M150" i="887"/>
  <c r="L150" i="887"/>
  <c r="J150" i="887"/>
  <c r="F150" i="887"/>
  <c r="Q149" i="887"/>
  <c r="P149" i="887"/>
  <c r="O149" i="887"/>
  <c r="N149" i="887"/>
  <c r="M149" i="887"/>
  <c r="L149" i="887"/>
  <c r="J149" i="887"/>
  <c r="H149" i="887"/>
  <c r="G149" i="887"/>
  <c r="F149" i="887"/>
  <c r="Q148" i="887"/>
  <c r="P148" i="887"/>
  <c r="O148" i="887"/>
  <c r="N148" i="887"/>
  <c r="M148" i="887"/>
  <c r="L148" i="887"/>
  <c r="J148" i="887"/>
  <c r="F148" i="887"/>
  <c r="Q147" i="887"/>
  <c r="P147" i="887"/>
  <c r="O147" i="887"/>
  <c r="N147" i="887"/>
  <c r="M147" i="887"/>
  <c r="L147" i="887"/>
  <c r="J147" i="887"/>
  <c r="H147" i="887"/>
  <c r="G147" i="887"/>
  <c r="F147" i="887"/>
  <c r="Q146" i="887"/>
  <c r="P146" i="887"/>
  <c r="O146" i="887"/>
  <c r="N146" i="887"/>
  <c r="M146" i="887"/>
  <c r="L146" i="887"/>
  <c r="J146" i="887"/>
  <c r="F146" i="887"/>
  <c r="Q145" i="887"/>
  <c r="P145" i="887"/>
  <c r="O145" i="887"/>
  <c r="N145" i="887"/>
  <c r="M145" i="887"/>
  <c r="L145" i="887"/>
  <c r="J145" i="887"/>
  <c r="H145" i="887"/>
  <c r="G145" i="887"/>
  <c r="F145" i="887"/>
  <c r="Q144" i="887"/>
  <c r="P144" i="887"/>
  <c r="O144" i="887"/>
  <c r="N144" i="887"/>
  <c r="M144" i="887"/>
  <c r="L144" i="887"/>
  <c r="J144" i="887"/>
  <c r="F144" i="887"/>
  <c r="Q143" i="887"/>
  <c r="P143" i="887"/>
  <c r="O143" i="887"/>
  <c r="N143" i="887"/>
  <c r="M143" i="887"/>
  <c r="L143" i="887"/>
  <c r="J143" i="887"/>
  <c r="H143" i="887"/>
  <c r="G143" i="887"/>
  <c r="F143" i="887"/>
  <c r="Q142" i="887"/>
  <c r="P142" i="887"/>
  <c r="O142" i="887"/>
  <c r="N142" i="887"/>
  <c r="M142" i="887"/>
  <c r="L142" i="887"/>
  <c r="I142" i="887"/>
  <c r="J142" i="887"/>
  <c r="F142" i="887"/>
  <c r="E142" i="887"/>
  <c r="Q141" i="887"/>
  <c r="P141" i="887"/>
  <c r="O141" i="887"/>
  <c r="N141" i="887"/>
  <c r="M141" i="887"/>
  <c r="L141" i="887"/>
  <c r="H141" i="887"/>
  <c r="J141" i="887"/>
  <c r="I141" i="887"/>
  <c r="G141" i="887"/>
  <c r="F141" i="887"/>
  <c r="E141" i="887"/>
  <c r="Q140" i="887"/>
  <c r="P140" i="887"/>
  <c r="O140" i="887"/>
  <c r="N140" i="887"/>
  <c r="M140" i="887"/>
  <c r="L140" i="887"/>
  <c r="H140" i="887"/>
  <c r="J140" i="887"/>
  <c r="I140" i="887"/>
  <c r="G140" i="887"/>
  <c r="F140" i="887"/>
  <c r="E140" i="887"/>
  <c r="Q139" i="887"/>
  <c r="P139" i="887"/>
  <c r="O139" i="887"/>
  <c r="N139" i="887"/>
  <c r="M139" i="887"/>
  <c r="L139" i="887"/>
  <c r="H139" i="887"/>
  <c r="J139" i="887"/>
  <c r="I139" i="887"/>
  <c r="G139" i="887"/>
  <c r="F139" i="887"/>
  <c r="E139" i="887"/>
  <c r="Q138" i="887"/>
  <c r="P138" i="887"/>
  <c r="O138" i="887"/>
  <c r="N138" i="887"/>
  <c r="M138" i="887"/>
  <c r="L138" i="887"/>
  <c r="H138" i="887"/>
  <c r="J138" i="887"/>
  <c r="I138" i="887"/>
  <c r="G138" i="887"/>
  <c r="F138" i="887"/>
  <c r="E138" i="887"/>
  <c r="Q137" i="887"/>
  <c r="P137" i="887"/>
  <c r="O137" i="887"/>
  <c r="N137" i="887"/>
  <c r="M137" i="887"/>
  <c r="L137" i="887"/>
  <c r="H137" i="887"/>
  <c r="J137" i="887"/>
  <c r="I137" i="887"/>
  <c r="G137" i="887"/>
  <c r="F137" i="887"/>
  <c r="E137" i="887"/>
  <c r="Q136" i="887"/>
  <c r="P136" i="887"/>
  <c r="O136" i="887"/>
  <c r="N136" i="887"/>
  <c r="M136" i="887"/>
  <c r="L136" i="887"/>
  <c r="H136" i="887"/>
  <c r="J136" i="887"/>
  <c r="I136" i="887"/>
  <c r="G136" i="887"/>
  <c r="F136" i="887"/>
  <c r="E136" i="887"/>
  <c r="Q135" i="887"/>
  <c r="P135" i="887"/>
  <c r="O135" i="887"/>
  <c r="N135" i="887"/>
  <c r="M135" i="887"/>
  <c r="L135" i="887"/>
  <c r="H135" i="887"/>
  <c r="J135" i="887"/>
  <c r="I135" i="887"/>
  <c r="G135" i="887"/>
  <c r="F135" i="887"/>
  <c r="E135" i="887"/>
  <c r="Q134" i="887"/>
  <c r="P134" i="887"/>
  <c r="O134" i="887"/>
  <c r="N134" i="887"/>
  <c r="M134" i="887"/>
  <c r="L134" i="887"/>
  <c r="H134" i="887"/>
  <c r="J134" i="887"/>
  <c r="I134" i="887"/>
  <c r="G134" i="887"/>
  <c r="F134" i="887"/>
  <c r="E134" i="887"/>
  <c r="Q133" i="887"/>
  <c r="P133" i="887"/>
  <c r="O133" i="887"/>
  <c r="N133" i="887"/>
  <c r="M133" i="887"/>
  <c r="L133" i="887"/>
  <c r="H133" i="887"/>
  <c r="J133" i="887"/>
  <c r="I133" i="887"/>
  <c r="G133" i="887"/>
  <c r="F133" i="887"/>
  <c r="E133" i="887"/>
  <c r="Q132" i="887"/>
  <c r="P132" i="887"/>
  <c r="O132" i="887"/>
  <c r="N132" i="887"/>
  <c r="M132" i="887"/>
  <c r="L132" i="887"/>
  <c r="H132" i="887"/>
  <c r="J132" i="887"/>
  <c r="I132" i="887"/>
  <c r="G132" i="887"/>
  <c r="F132" i="887"/>
  <c r="E132" i="887"/>
  <c r="Q131" i="887"/>
  <c r="P131" i="887"/>
  <c r="O131" i="887"/>
  <c r="N131" i="887"/>
  <c r="M131" i="887"/>
  <c r="L131" i="887"/>
  <c r="H131" i="887"/>
  <c r="J131" i="887"/>
  <c r="I131" i="887"/>
  <c r="G131" i="887"/>
  <c r="F131" i="887"/>
  <c r="E131" i="887"/>
  <c r="Q130" i="887"/>
  <c r="P130" i="887"/>
  <c r="O130" i="887"/>
  <c r="N130" i="887"/>
  <c r="M130" i="887"/>
  <c r="L130" i="887"/>
  <c r="H130" i="887"/>
  <c r="J130" i="887"/>
  <c r="I130" i="887"/>
  <c r="G130" i="887"/>
  <c r="F130" i="887"/>
  <c r="E130" i="887"/>
  <c r="Q129" i="887"/>
  <c r="P129" i="887"/>
  <c r="O129" i="887"/>
  <c r="N129" i="887"/>
  <c r="M129" i="887"/>
  <c r="L129" i="887"/>
  <c r="H129" i="887"/>
  <c r="J129" i="887"/>
  <c r="I129" i="887"/>
  <c r="G129" i="887"/>
  <c r="F129" i="887"/>
  <c r="E129" i="887"/>
  <c r="Q128" i="887"/>
  <c r="P128" i="887"/>
  <c r="O128" i="887"/>
  <c r="N128" i="887"/>
  <c r="M128" i="887"/>
  <c r="L128" i="887"/>
  <c r="H128" i="887"/>
  <c r="J128" i="887"/>
  <c r="I128" i="887"/>
  <c r="G128" i="887"/>
  <c r="F128" i="887"/>
  <c r="E128" i="887"/>
  <c r="Q127" i="887"/>
  <c r="P127" i="887"/>
  <c r="O127" i="887"/>
  <c r="N127" i="887"/>
  <c r="M127" i="887"/>
  <c r="L127" i="887"/>
  <c r="H127" i="887"/>
  <c r="J127" i="887"/>
  <c r="I127" i="887"/>
  <c r="G127" i="887"/>
  <c r="F127" i="887"/>
  <c r="E127" i="887"/>
  <c r="Q126" i="887"/>
  <c r="P126" i="887"/>
  <c r="O126" i="887"/>
  <c r="N126" i="887"/>
  <c r="M126" i="887"/>
  <c r="L126" i="887"/>
  <c r="H126" i="887"/>
  <c r="J126" i="887"/>
  <c r="I126" i="887"/>
  <c r="G126" i="887"/>
  <c r="F126" i="887"/>
  <c r="E126" i="887"/>
  <c r="Q125" i="887"/>
  <c r="P125" i="887"/>
  <c r="O125" i="887"/>
  <c r="N125" i="887"/>
  <c r="M125" i="887"/>
  <c r="L125" i="887"/>
  <c r="H125" i="887"/>
  <c r="J125" i="887"/>
  <c r="I125" i="887"/>
  <c r="G125" i="887"/>
  <c r="F125" i="887"/>
  <c r="E125" i="887"/>
  <c r="Q124" i="887"/>
  <c r="P124" i="887"/>
  <c r="O124" i="887"/>
  <c r="N124" i="887"/>
  <c r="M124" i="887"/>
  <c r="L124" i="887"/>
  <c r="H124" i="887"/>
  <c r="J124" i="887"/>
  <c r="I124" i="887"/>
  <c r="G124" i="887"/>
  <c r="F124" i="887"/>
  <c r="E124" i="887"/>
  <c r="Q123" i="887"/>
  <c r="P123" i="887"/>
  <c r="O123" i="887"/>
  <c r="N123" i="887"/>
  <c r="M123" i="887"/>
  <c r="L123" i="887"/>
  <c r="H123" i="887"/>
  <c r="J123" i="887"/>
  <c r="I123" i="887"/>
  <c r="G123" i="887"/>
  <c r="F123" i="887"/>
  <c r="E123" i="887"/>
  <c r="Q122" i="887"/>
  <c r="P122" i="887"/>
  <c r="O122" i="887"/>
  <c r="N122" i="887"/>
  <c r="M122" i="887"/>
  <c r="L122" i="887"/>
  <c r="H122" i="887"/>
  <c r="J122" i="887"/>
  <c r="I122" i="887"/>
  <c r="G122" i="887"/>
  <c r="F122" i="887"/>
  <c r="E122" i="887"/>
  <c r="Q121" i="887"/>
  <c r="P121" i="887"/>
  <c r="O121" i="887"/>
  <c r="N121" i="887"/>
  <c r="M121" i="887"/>
  <c r="L121" i="887"/>
  <c r="H121" i="887"/>
  <c r="J121" i="887"/>
  <c r="I121" i="887"/>
  <c r="G121" i="887"/>
  <c r="F121" i="887"/>
  <c r="E121" i="887"/>
  <c r="Q120" i="887"/>
  <c r="P120" i="887"/>
  <c r="O120" i="887"/>
  <c r="N120" i="887"/>
  <c r="M120" i="887"/>
  <c r="L120" i="887"/>
  <c r="H120" i="887"/>
  <c r="J120" i="887"/>
  <c r="I120" i="887"/>
  <c r="G120" i="887"/>
  <c r="F120" i="887"/>
  <c r="E120" i="887"/>
  <c r="Q119" i="887"/>
  <c r="P119" i="887"/>
  <c r="O119" i="887"/>
  <c r="N119" i="887"/>
  <c r="M119" i="887"/>
  <c r="L119" i="887"/>
  <c r="H119" i="887"/>
  <c r="J119" i="887"/>
  <c r="I119" i="887"/>
  <c r="G119" i="887"/>
  <c r="F119" i="887"/>
  <c r="E119" i="887"/>
  <c r="Q118" i="887"/>
  <c r="P118" i="887"/>
  <c r="O118" i="887"/>
  <c r="N118" i="887"/>
  <c r="M118" i="887"/>
  <c r="L118" i="887"/>
  <c r="H118" i="887"/>
  <c r="J118" i="887"/>
  <c r="I118" i="887"/>
  <c r="G118" i="887"/>
  <c r="F118" i="887"/>
  <c r="E118" i="887"/>
  <c r="Q117" i="887"/>
  <c r="P117" i="887"/>
  <c r="O117" i="887"/>
  <c r="N117" i="887"/>
  <c r="M117" i="887"/>
  <c r="L117" i="887"/>
  <c r="H117" i="887"/>
  <c r="J117" i="887"/>
  <c r="I117" i="887"/>
  <c r="G117" i="887"/>
  <c r="F117" i="887"/>
  <c r="E117" i="887"/>
  <c r="Q116" i="887"/>
  <c r="P116" i="887"/>
  <c r="O116" i="887"/>
  <c r="N116" i="887"/>
  <c r="M116" i="887"/>
  <c r="L116" i="887"/>
  <c r="H116" i="887"/>
  <c r="J116" i="887"/>
  <c r="I116" i="887"/>
  <c r="G116" i="887"/>
  <c r="F116" i="887"/>
  <c r="E116" i="887"/>
  <c r="Q115" i="887"/>
  <c r="P115" i="887"/>
  <c r="O115" i="887"/>
  <c r="N115" i="887"/>
  <c r="M115" i="887"/>
  <c r="L115" i="887"/>
  <c r="H115" i="887"/>
  <c r="J115" i="887"/>
  <c r="I115" i="887"/>
  <c r="G115" i="887"/>
  <c r="F115" i="887"/>
  <c r="E115" i="887"/>
  <c r="Q114" i="887"/>
  <c r="P114" i="887"/>
  <c r="O114" i="887"/>
  <c r="N114" i="887"/>
  <c r="M114" i="887"/>
  <c r="L114" i="887"/>
  <c r="H114" i="887"/>
  <c r="J114" i="887"/>
  <c r="I114" i="887"/>
  <c r="G114" i="887"/>
  <c r="F114" i="887"/>
  <c r="E114" i="887"/>
  <c r="Q113" i="887"/>
  <c r="P113" i="887"/>
  <c r="O113" i="887"/>
  <c r="N113" i="887"/>
  <c r="M113" i="887"/>
  <c r="L113" i="887"/>
  <c r="H113" i="887"/>
  <c r="J113" i="887"/>
  <c r="I113" i="887"/>
  <c r="G113" i="887"/>
  <c r="F113" i="887"/>
  <c r="E113" i="887"/>
  <c r="Q112" i="887"/>
  <c r="P112" i="887"/>
  <c r="O112" i="887"/>
  <c r="N112" i="887"/>
  <c r="M112" i="887"/>
  <c r="L112" i="887"/>
  <c r="H112" i="887"/>
  <c r="J112" i="887"/>
  <c r="I112" i="887"/>
  <c r="G112" i="887"/>
  <c r="F112" i="887"/>
  <c r="E112" i="887"/>
  <c r="Q111" i="887"/>
  <c r="P111" i="887"/>
  <c r="O111" i="887"/>
  <c r="N111" i="887"/>
  <c r="M111" i="887"/>
  <c r="L111" i="887"/>
  <c r="H111" i="887"/>
  <c r="J111" i="887"/>
  <c r="I111" i="887"/>
  <c r="G111" i="887"/>
  <c r="F111" i="887"/>
  <c r="E111" i="887"/>
  <c r="Q110" i="887"/>
  <c r="P110" i="887"/>
  <c r="O110" i="887"/>
  <c r="N110" i="887"/>
  <c r="M110" i="887"/>
  <c r="L110" i="887"/>
  <c r="H110" i="887"/>
  <c r="J110" i="887"/>
  <c r="I110" i="887"/>
  <c r="G110" i="887"/>
  <c r="F110" i="887"/>
  <c r="E110" i="887"/>
  <c r="Q109" i="887"/>
  <c r="P109" i="887"/>
  <c r="O109" i="887"/>
  <c r="N109" i="887"/>
  <c r="M109" i="887"/>
  <c r="L109" i="887"/>
  <c r="H109" i="887"/>
  <c r="J109" i="887"/>
  <c r="I109" i="887"/>
  <c r="G109" i="887"/>
  <c r="F109" i="887"/>
  <c r="E109" i="887"/>
  <c r="Q108" i="887"/>
  <c r="P108" i="887"/>
  <c r="O108" i="887"/>
  <c r="N108" i="887"/>
  <c r="M108" i="887"/>
  <c r="L108" i="887"/>
  <c r="H108" i="887"/>
  <c r="J108" i="887"/>
  <c r="I108" i="887"/>
  <c r="G108" i="887"/>
  <c r="F108" i="887"/>
  <c r="E108" i="887"/>
  <c r="Q107" i="887"/>
  <c r="P107" i="887"/>
  <c r="O107" i="887"/>
  <c r="N107" i="887"/>
  <c r="M107" i="887"/>
  <c r="L107" i="887"/>
  <c r="H107" i="887"/>
  <c r="J107" i="887"/>
  <c r="I107" i="887"/>
  <c r="G107" i="887"/>
  <c r="F107" i="887"/>
  <c r="E107" i="887"/>
  <c r="Q106" i="887"/>
  <c r="P106" i="887"/>
  <c r="O106" i="887"/>
  <c r="N106" i="887"/>
  <c r="M106" i="887"/>
  <c r="L106" i="887"/>
  <c r="H106" i="887"/>
  <c r="J106" i="887"/>
  <c r="I106" i="887"/>
  <c r="G106" i="887"/>
  <c r="F106" i="887"/>
  <c r="E106" i="887"/>
  <c r="Q105" i="887"/>
  <c r="P105" i="887"/>
  <c r="O105" i="887"/>
  <c r="N105" i="887"/>
  <c r="M105" i="887"/>
  <c r="L105" i="887"/>
  <c r="H105" i="887"/>
  <c r="J105" i="887"/>
  <c r="I105" i="887"/>
  <c r="G105" i="887"/>
  <c r="F105" i="887"/>
  <c r="E105" i="887"/>
  <c r="Q104" i="887"/>
  <c r="P104" i="887"/>
  <c r="O104" i="887"/>
  <c r="N104" i="887"/>
  <c r="M104" i="887"/>
  <c r="L104" i="887"/>
  <c r="H104" i="887"/>
  <c r="J104" i="887"/>
  <c r="I104" i="887"/>
  <c r="G104" i="887"/>
  <c r="F104" i="887"/>
  <c r="E104" i="887"/>
  <c r="Q103" i="887"/>
  <c r="P103" i="887"/>
  <c r="O103" i="887"/>
  <c r="N103" i="887"/>
  <c r="M103" i="887"/>
  <c r="L103" i="887"/>
  <c r="H103" i="887"/>
  <c r="J103" i="887"/>
  <c r="I103" i="887"/>
  <c r="G103" i="887"/>
  <c r="F103" i="887"/>
  <c r="E103" i="887"/>
  <c r="Q102" i="887"/>
  <c r="P102" i="887"/>
  <c r="O102" i="887"/>
  <c r="N102" i="887"/>
  <c r="M102" i="887"/>
  <c r="L102" i="887"/>
  <c r="H102" i="887"/>
  <c r="J102" i="887"/>
  <c r="I102" i="887"/>
  <c r="G102" i="887"/>
  <c r="F102" i="887"/>
  <c r="E102" i="887"/>
  <c r="Q101" i="887"/>
  <c r="P101" i="887"/>
  <c r="O101" i="887"/>
  <c r="N101" i="887"/>
  <c r="M101" i="887"/>
  <c r="L101" i="887"/>
  <c r="H101" i="887"/>
  <c r="J101" i="887"/>
  <c r="I101" i="887"/>
  <c r="G101" i="887"/>
  <c r="F101" i="887"/>
  <c r="E101" i="887"/>
  <c r="Q100" i="887"/>
  <c r="P100" i="887"/>
  <c r="O100" i="887"/>
  <c r="N100" i="887"/>
  <c r="M100" i="887"/>
  <c r="L100" i="887"/>
  <c r="H100" i="887"/>
  <c r="J100" i="887"/>
  <c r="I100" i="887"/>
  <c r="G100" i="887"/>
  <c r="F100" i="887"/>
  <c r="E100" i="887"/>
  <c r="Q99" i="887"/>
  <c r="P99" i="887"/>
  <c r="O99" i="887"/>
  <c r="N99" i="887"/>
  <c r="M99" i="887"/>
  <c r="L99" i="887"/>
  <c r="H99" i="887"/>
  <c r="J99" i="887"/>
  <c r="I99" i="887"/>
  <c r="G99" i="887"/>
  <c r="F99" i="887"/>
  <c r="E99" i="887"/>
  <c r="Q98" i="887"/>
  <c r="P98" i="887"/>
  <c r="O98" i="887"/>
  <c r="N98" i="887"/>
  <c r="M98" i="887"/>
  <c r="L98" i="887"/>
  <c r="H98" i="887"/>
  <c r="J98" i="887"/>
  <c r="I98" i="887"/>
  <c r="G98" i="887"/>
  <c r="F98" i="887"/>
  <c r="E98" i="887"/>
  <c r="Q97" i="887"/>
  <c r="P97" i="887"/>
  <c r="O97" i="887"/>
  <c r="N97" i="887"/>
  <c r="M97" i="887"/>
  <c r="L97" i="887"/>
  <c r="H97" i="887"/>
  <c r="J97" i="887"/>
  <c r="I97" i="887"/>
  <c r="G97" i="887"/>
  <c r="F97" i="887"/>
  <c r="E97" i="887"/>
  <c r="Q96" i="887"/>
  <c r="P96" i="887"/>
  <c r="O96" i="887"/>
  <c r="N96" i="887"/>
  <c r="M96" i="887"/>
  <c r="L96" i="887"/>
  <c r="H96" i="887"/>
  <c r="J96" i="887"/>
  <c r="I96" i="887"/>
  <c r="G96" i="887"/>
  <c r="F96" i="887"/>
  <c r="E96" i="887"/>
  <c r="Q95" i="887"/>
  <c r="P95" i="887"/>
  <c r="O95" i="887"/>
  <c r="N95" i="887"/>
  <c r="M95" i="887"/>
  <c r="L95" i="887"/>
  <c r="H95" i="887"/>
  <c r="J95" i="887"/>
  <c r="I95" i="887"/>
  <c r="G95" i="887"/>
  <c r="F95" i="887"/>
  <c r="E95" i="887"/>
  <c r="Q94" i="887"/>
  <c r="P94" i="887"/>
  <c r="O94" i="887"/>
  <c r="N94" i="887"/>
  <c r="M94" i="887"/>
  <c r="L94" i="887"/>
  <c r="H94" i="887"/>
  <c r="J94" i="887"/>
  <c r="I94" i="887"/>
  <c r="G94" i="887"/>
  <c r="F94" i="887"/>
  <c r="E94" i="887"/>
  <c r="Q93" i="887"/>
  <c r="P93" i="887"/>
  <c r="O93" i="887"/>
  <c r="N93" i="887"/>
  <c r="M93" i="887"/>
  <c r="L93" i="887"/>
  <c r="H93" i="887"/>
  <c r="J93" i="887"/>
  <c r="I93" i="887"/>
  <c r="G93" i="887"/>
  <c r="F93" i="887"/>
  <c r="E93" i="887"/>
  <c r="Q92" i="887"/>
  <c r="P92" i="887"/>
  <c r="O92" i="887"/>
  <c r="N92" i="887"/>
  <c r="M92" i="887"/>
  <c r="L92" i="887"/>
  <c r="H92" i="887"/>
  <c r="J92" i="887"/>
  <c r="I92" i="887"/>
  <c r="G92" i="887"/>
  <c r="F92" i="887"/>
  <c r="E92" i="887"/>
  <c r="Q91" i="887"/>
  <c r="P91" i="887"/>
  <c r="O91" i="887"/>
  <c r="N91" i="887"/>
  <c r="M91" i="887"/>
  <c r="L91" i="887"/>
  <c r="H91" i="887"/>
  <c r="J91" i="887"/>
  <c r="I91" i="887"/>
  <c r="G91" i="887"/>
  <c r="F91" i="887"/>
  <c r="E91" i="887"/>
  <c r="Q90" i="887"/>
  <c r="P90" i="887"/>
  <c r="O90" i="887"/>
  <c r="N90" i="887"/>
  <c r="M90" i="887"/>
  <c r="L90" i="887"/>
  <c r="H90" i="887"/>
  <c r="J90" i="887"/>
  <c r="I90" i="887"/>
  <c r="G90" i="887"/>
  <c r="F90" i="887"/>
  <c r="E90" i="887"/>
  <c r="Q89" i="887"/>
  <c r="P89" i="887"/>
  <c r="O89" i="887"/>
  <c r="N89" i="887"/>
  <c r="M89" i="887"/>
  <c r="L89" i="887"/>
  <c r="H89" i="887"/>
  <c r="J89" i="887"/>
  <c r="I89" i="887"/>
  <c r="G89" i="887"/>
  <c r="F89" i="887"/>
  <c r="E89" i="887"/>
  <c r="Q88" i="887"/>
  <c r="P88" i="887"/>
  <c r="O88" i="887"/>
  <c r="N88" i="887"/>
  <c r="M88" i="887"/>
  <c r="L88" i="887"/>
  <c r="H88" i="887"/>
  <c r="J88" i="887"/>
  <c r="I88" i="887"/>
  <c r="G88" i="887"/>
  <c r="F88" i="887"/>
  <c r="E88" i="887"/>
  <c r="Q87" i="887"/>
  <c r="P87" i="887"/>
  <c r="O87" i="887"/>
  <c r="N87" i="887"/>
  <c r="M87" i="887"/>
  <c r="L87" i="887"/>
  <c r="H87" i="887"/>
  <c r="J87" i="887"/>
  <c r="I87" i="887"/>
  <c r="G87" i="887"/>
  <c r="F87" i="887"/>
  <c r="E87" i="887"/>
  <c r="Q86" i="887"/>
  <c r="P86" i="887"/>
  <c r="O86" i="887"/>
  <c r="N86" i="887"/>
  <c r="M86" i="887"/>
  <c r="L86" i="887"/>
  <c r="H86" i="887"/>
  <c r="J86" i="887"/>
  <c r="I86" i="887"/>
  <c r="G86" i="887"/>
  <c r="F86" i="887"/>
  <c r="E86" i="887"/>
  <c r="Q85" i="887"/>
  <c r="P85" i="887"/>
  <c r="O85" i="887"/>
  <c r="N85" i="887"/>
  <c r="M85" i="887"/>
  <c r="L85" i="887"/>
  <c r="H85" i="887"/>
  <c r="J85" i="887"/>
  <c r="I85" i="887"/>
  <c r="G85" i="887"/>
  <c r="F85" i="887"/>
  <c r="E85" i="887"/>
  <c r="Q84" i="887"/>
  <c r="P84" i="887"/>
  <c r="O84" i="887"/>
  <c r="N84" i="887"/>
  <c r="M84" i="887"/>
  <c r="L84" i="887"/>
  <c r="H84" i="887"/>
  <c r="J84" i="887"/>
  <c r="I84" i="887"/>
  <c r="G84" i="887"/>
  <c r="F84" i="887"/>
  <c r="E84" i="887"/>
  <c r="Q83" i="887"/>
  <c r="P83" i="887"/>
  <c r="O83" i="887"/>
  <c r="N83" i="887"/>
  <c r="M83" i="887"/>
  <c r="L83" i="887"/>
  <c r="H83" i="887"/>
  <c r="J83" i="887"/>
  <c r="I83" i="887"/>
  <c r="G83" i="887"/>
  <c r="F83" i="887"/>
  <c r="E83" i="887"/>
  <c r="Q82" i="887"/>
  <c r="P82" i="887"/>
  <c r="O82" i="887"/>
  <c r="N82" i="887"/>
  <c r="M82" i="887"/>
  <c r="L82" i="887"/>
  <c r="H82" i="887"/>
  <c r="J82" i="887"/>
  <c r="I82" i="887"/>
  <c r="G82" i="887"/>
  <c r="F82" i="887"/>
  <c r="E82" i="887"/>
  <c r="Q81" i="887"/>
  <c r="P81" i="887"/>
  <c r="O81" i="887"/>
  <c r="N81" i="887"/>
  <c r="M81" i="887"/>
  <c r="L81" i="887"/>
  <c r="H81" i="887"/>
  <c r="J81" i="887"/>
  <c r="I81" i="887"/>
  <c r="G81" i="887"/>
  <c r="F81" i="887"/>
  <c r="E81" i="887"/>
  <c r="Q80" i="887"/>
  <c r="P80" i="887"/>
  <c r="O80" i="887"/>
  <c r="N80" i="887"/>
  <c r="M80" i="887"/>
  <c r="L80" i="887"/>
  <c r="H80" i="887"/>
  <c r="J80" i="887"/>
  <c r="I80" i="887"/>
  <c r="G80" i="887"/>
  <c r="F80" i="887"/>
  <c r="E80" i="887"/>
  <c r="Q79" i="887"/>
  <c r="P79" i="887"/>
  <c r="O79" i="887"/>
  <c r="N79" i="887"/>
  <c r="M79" i="887"/>
  <c r="L79" i="887"/>
  <c r="H79" i="887"/>
  <c r="J79" i="887"/>
  <c r="I79" i="887"/>
  <c r="G79" i="887"/>
  <c r="F79" i="887"/>
  <c r="E79" i="887"/>
  <c r="Q78" i="887"/>
  <c r="P78" i="887"/>
  <c r="O78" i="887"/>
  <c r="N78" i="887"/>
  <c r="M78" i="887"/>
  <c r="L78" i="887"/>
  <c r="H78" i="887"/>
  <c r="J78" i="887"/>
  <c r="I78" i="887"/>
  <c r="G78" i="887"/>
  <c r="F78" i="887"/>
  <c r="E78" i="887"/>
  <c r="Q77" i="887"/>
  <c r="P77" i="887"/>
  <c r="O77" i="887"/>
  <c r="N77" i="887"/>
  <c r="M77" i="887"/>
  <c r="L77" i="887"/>
  <c r="H77" i="887"/>
  <c r="J77" i="887"/>
  <c r="I77" i="887"/>
  <c r="G77" i="887"/>
  <c r="F77" i="887"/>
  <c r="E77" i="887"/>
  <c r="Q76" i="887"/>
  <c r="P76" i="887"/>
  <c r="O76" i="887"/>
  <c r="N76" i="887"/>
  <c r="M76" i="887"/>
  <c r="L76" i="887"/>
  <c r="H76" i="887"/>
  <c r="J76" i="887"/>
  <c r="I76" i="887"/>
  <c r="G76" i="887"/>
  <c r="F76" i="887"/>
  <c r="E76" i="887"/>
  <c r="Q75" i="887"/>
  <c r="P75" i="887"/>
  <c r="O75" i="887"/>
  <c r="N75" i="887"/>
  <c r="M75" i="887"/>
  <c r="L75" i="887"/>
  <c r="H75" i="887"/>
  <c r="J75" i="887"/>
  <c r="I75" i="887"/>
  <c r="G75" i="887"/>
  <c r="F75" i="887"/>
  <c r="E75" i="887"/>
  <c r="Q74" i="887"/>
  <c r="P74" i="887"/>
  <c r="O74" i="887"/>
  <c r="N74" i="887"/>
  <c r="M74" i="887"/>
  <c r="L74" i="887"/>
  <c r="H74" i="887"/>
  <c r="J74" i="887"/>
  <c r="I74" i="887"/>
  <c r="G74" i="887"/>
  <c r="F74" i="887"/>
  <c r="E74" i="887"/>
  <c r="Q73" i="887"/>
  <c r="P73" i="887"/>
  <c r="O73" i="887"/>
  <c r="N73" i="887"/>
  <c r="M73" i="887"/>
  <c r="L73" i="887"/>
  <c r="H73" i="887"/>
  <c r="J73" i="887"/>
  <c r="I73" i="887"/>
  <c r="G73" i="887"/>
  <c r="F73" i="887"/>
  <c r="E73" i="887"/>
  <c r="Q72" i="887"/>
  <c r="P72" i="887"/>
  <c r="O72" i="887"/>
  <c r="N72" i="887"/>
  <c r="M72" i="887"/>
  <c r="L72" i="887"/>
  <c r="H72" i="887"/>
  <c r="J72" i="887"/>
  <c r="I72" i="887"/>
  <c r="G72" i="887"/>
  <c r="F72" i="887"/>
  <c r="E72" i="887"/>
  <c r="Q71" i="887"/>
  <c r="P71" i="887"/>
  <c r="O71" i="887"/>
  <c r="N71" i="887"/>
  <c r="M71" i="887"/>
  <c r="L71" i="887"/>
  <c r="H71" i="887"/>
  <c r="J71" i="887"/>
  <c r="I71" i="887"/>
  <c r="G71" i="887"/>
  <c r="F71" i="887"/>
  <c r="E71" i="887"/>
  <c r="Q70" i="887"/>
  <c r="P70" i="887"/>
  <c r="O70" i="887"/>
  <c r="N70" i="887"/>
  <c r="M70" i="887"/>
  <c r="L70" i="887"/>
  <c r="H70" i="887"/>
  <c r="J70" i="887"/>
  <c r="I70" i="887"/>
  <c r="G70" i="887"/>
  <c r="F70" i="887"/>
  <c r="E70" i="887"/>
  <c r="Q69" i="887"/>
  <c r="P69" i="887"/>
  <c r="O69" i="887"/>
  <c r="N69" i="887"/>
  <c r="M69" i="887"/>
  <c r="L69" i="887"/>
  <c r="H69" i="887"/>
  <c r="J69" i="887"/>
  <c r="I69" i="887"/>
  <c r="G69" i="887"/>
  <c r="F69" i="887"/>
  <c r="E69" i="887"/>
  <c r="Q68" i="887"/>
  <c r="P68" i="887"/>
  <c r="O68" i="887"/>
  <c r="N68" i="887"/>
  <c r="M68" i="887"/>
  <c r="L68" i="887"/>
  <c r="H68" i="887"/>
  <c r="J68" i="887"/>
  <c r="I68" i="887"/>
  <c r="G68" i="887"/>
  <c r="F68" i="887"/>
  <c r="E68" i="887"/>
  <c r="Q67" i="887"/>
  <c r="P67" i="887"/>
  <c r="O67" i="887"/>
  <c r="N67" i="887"/>
  <c r="M67" i="887"/>
  <c r="L67" i="887"/>
  <c r="H67" i="887"/>
  <c r="J67" i="887"/>
  <c r="I67" i="887"/>
  <c r="G67" i="887"/>
  <c r="F67" i="887"/>
  <c r="E67" i="887"/>
  <c r="Q66" i="887"/>
  <c r="P66" i="887"/>
  <c r="O66" i="887"/>
  <c r="N66" i="887"/>
  <c r="M66" i="887"/>
  <c r="L66" i="887"/>
  <c r="H66" i="887"/>
  <c r="J66" i="887"/>
  <c r="I66" i="887"/>
  <c r="G66" i="887"/>
  <c r="F66" i="887"/>
  <c r="E66" i="887"/>
  <c r="Q65" i="887"/>
  <c r="P65" i="887"/>
  <c r="O65" i="887"/>
  <c r="N65" i="887"/>
  <c r="M65" i="887"/>
  <c r="L65" i="887"/>
  <c r="H65" i="887"/>
  <c r="J65" i="887"/>
  <c r="I65" i="887"/>
  <c r="G65" i="887"/>
  <c r="F65" i="887"/>
  <c r="E65" i="887"/>
  <c r="Q64" i="887"/>
  <c r="P64" i="887"/>
  <c r="O64" i="887"/>
  <c r="N64" i="887"/>
  <c r="M64" i="887"/>
  <c r="L64" i="887"/>
  <c r="H64" i="887"/>
  <c r="J64" i="887"/>
  <c r="I64" i="887"/>
  <c r="G64" i="887"/>
  <c r="F64" i="887"/>
  <c r="E64" i="887"/>
  <c r="Q63" i="887"/>
  <c r="P63" i="887"/>
  <c r="O63" i="887"/>
  <c r="N63" i="887"/>
  <c r="M63" i="887"/>
  <c r="L63" i="887"/>
  <c r="H63" i="887"/>
  <c r="J63" i="887"/>
  <c r="I63" i="887"/>
  <c r="G63" i="887"/>
  <c r="F63" i="887"/>
  <c r="E63" i="887"/>
  <c r="Q62" i="887"/>
  <c r="P62" i="887"/>
  <c r="O62" i="887"/>
  <c r="N62" i="887"/>
  <c r="M62" i="887"/>
  <c r="L62" i="887"/>
  <c r="H62" i="887"/>
  <c r="J62" i="887"/>
  <c r="I62" i="887"/>
  <c r="G62" i="887"/>
  <c r="F62" i="887"/>
  <c r="E62" i="887"/>
  <c r="Q61" i="887"/>
  <c r="P61" i="887"/>
  <c r="O61" i="887"/>
  <c r="N61" i="887"/>
  <c r="M61" i="887"/>
  <c r="L61" i="887"/>
  <c r="H61" i="887"/>
  <c r="J61" i="887"/>
  <c r="I61" i="887"/>
  <c r="G61" i="887"/>
  <c r="F61" i="887"/>
  <c r="E61" i="887"/>
  <c r="Q60" i="887"/>
  <c r="P60" i="887"/>
  <c r="O60" i="887"/>
  <c r="N60" i="887"/>
  <c r="M60" i="887"/>
  <c r="L60" i="887"/>
  <c r="H60" i="887"/>
  <c r="J60" i="887"/>
  <c r="I60" i="887"/>
  <c r="G60" i="887"/>
  <c r="F60" i="887"/>
  <c r="E60" i="887"/>
  <c r="Q59" i="887"/>
  <c r="P59" i="887"/>
  <c r="O59" i="887"/>
  <c r="N59" i="887"/>
  <c r="M59" i="887"/>
  <c r="L59" i="887"/>
  <c r="H59" i="887"/>
  <c r="J59" i="887"/>
  <c r="I59" i="887"/>
  <c r="G59" i="887"/>
  <c r="F59" i="887"/>
  <c r="E59" i="887"/>
  <c r="Q58" i="887"/>
  <c r="P58" i="887"/>
  <c r="O58" i="887"/>
  <c r="N58" i="887"/>
  <c r="M58" i="887"/>
  <c r="L58" i="887"/>
  <c r="H58" i="887"/>
  <c r="J58" i="887"/>
  <c r="I58" i="887"/>
  <c r="G58" i="887"/>
  <c r="F58" i="887"/>
  <c r="E58" i="887"/>
  <c r="Q57" i="887"/>
  <c r="P57" i="887"/>
  <c r="O57" i="887"/>
  <c r="N57" i="887"/>
  <c r="M57" i="887"/>
  <c r="L57" i="887"/>
  <c r="H57" i="887"/>
  <c r="J57" i="887"/>
  <c r="I57" i="887"/>
  <c r="G57" i="887"/>
  <c r="F57" i="887"/>
  <c r="E57" i="887"/>
  <c r="Q56" i="887"/>
  <c r="P56" i="887"/>
  <c r="O56" i="887"/>
  <c r="N56" i="887"/>
  <c r="M56" i="887"/>
  <c r="L56" i="887"/>
  <c r="H56" i="887"/>
  <c r="J56" i="887"/>
  <c r="I56" i="887"/>
  <c r="G56" i="887"/>
  <c r="F56" i="887"/>
  <c r="E56" i="887"/>
  <c r="Q55" i="887"/>
  <c r="P55" i="887"/>
  <c r="O55" i="887"/>
  <c r="N55" i="887"/>
  <c r="M55" i="887"/>
  <c r="L55" i="887"/>
  <c r="H55" i="887"/>
  <c r="J55" i="887"/>
  <c r="I55" i="887"/>
  <c r="G55" i="887"/>
  <c r="F55" i="887"/>
  <c r="E55" i="887"/>
  <c r="Q54" i="887"/>
  <c r="P54" i="887"/>
  <c r="O54" i="887"/>
  <c r="N54" i="887"/>
  <c r="M54" i="887"/>
  <c r="L54" i="887"/>
  <c r="H54" i="887"/>
  <c r="J54" i="887"/>
  <c r="I54" i="887"/>
  <c r="G54" i="887"/>
  <c r="F54" i="887"/>
  <c r="E54" i="887"/>
  <c r="Q53" i="887"/>
  <c r="P53" i="887"/>
  <c r="O53" i="887"/>
  <c r="N53" i="887"/>
  <c r="M53" i="887"/>
  <c r="L53" i="887"/>
  <c r="H53" i="887"/>
  <c r="J53" i="887"/>
  <c r="I53" i="887"/>
  <c r="G53" i="887"/>
  <c r="F53" i="887"/>
  <c r="E53" i="887"/>
  <c r="Q52" i="887"/>
  <c r="P52" i="887"/>
  <c r="O52" i="887"/>
  <c r="N52" i="887"/>
  <c r="M52" i="887"/>
  <c r="L52" i="887"/>
  <c r="H52" i="887"/>
  <c r="J52" i="887"/>
  <c r="I52" i="887"/>
  <c r="G52" i="887"/>
  <c r="F52" i="887"/>
  <c r="E52" i="887"/>
  <c r="Q51" i="887"/>
  <c r="P51" i="887"/>
  <c r="O51" i="887"/>
  <c r="N51" i="887"/>
  <c r="M51" i="887"/>
  <c r="L51" i="887"/>
  <c r="H51" i="887"/>
  <c r="J51" i="887"/>
  <c r="I51" i="887"/>
  <c r="G51" i="887"/>
  <c r="F51" i="887"/>
  <c r="E51" i="887"/>
  <c r="Q50" i="887"/>
  <c r="P50" i="887"/>
  <c r="O50" i="887"/>
  <c r="N50" i="887"/>
  <c r="M50" i="887"/>
  <c r="L50" i="887"/>
  <c r="H50" i="887"/>
  <c r="J50" i="887"/>
  <c r="I50" i="887"/>
  <c r="G50" i="887"/>
  <c r="F50" i="887"/>
  <c r="E50" i="887"/>
  <c r="Q49" i="887"/>
  <c r="P49" i="887"/>
  <c r="O49" i="887"/>
  <c r="N49" i="887"/>
  <c r="M49" i="887"/>
  <c r="L49" i="887"/>
  <c r="H49" i="887"/>
  <c r="J49" i="887"/>
  <c r="I49" i="887"/>
  <c r="G49" i="887"/>
  <c r="F49" i="887"/>
  <c r="E49" i="887"/>
  <c r="Q48" i="887"/>
  <c r="P48" i="887"/>
  <c r="O48" i="887"/>
  <c r="N48" i="887"/>
  <c r="M48" i="887"/>
  <c r="L48" i="887"/>
  <c r="H48" i="887"/>
  <c r="J48" i="887"/>
  <c r="I48" i="887"/>
  <c r="G48" i="887"/>
  <c r="F48" i="887"/>
  <c r="E48" i="887"/>
  <c r="Q47" i="887"/>
  <c r="P47" i="887"/>
  <c r="O47" i="887"/>
  <c r="N47" i="887"/>
  <c r="M47" i="887"/>
  <c r="L47" i="887"/>
  <c r="H47" i="887"/>
  <c r="J47" i="887"/>
  <c r="I47" i="887"/>
  <c r="G47" i="887"/>
  <c r="F47" i="887"/>
  <c r="E47" i="887"/>
  <c r="Q46" i="887"/>
  <c r="P46" i="887"/>
  <c r="O46" i="887"/>
  <c r="N46" i="887"/>
  <c r="M46" i="887"/>
  <c r="L46" i="887"/>
  <c r="H46" i="887"/>
  <c r="J46" i="887"/>
  <c r="I46" i="887"/>
  <c r="G46" i="887"/>
  <c r="F46" i="887"/>
  <c r="E46" i="887"/>
  <c r="Q45" i="887"/>
  <c r="P45" i="887"/>
  <c r="O45" i="887"/>
  <c r="N45" i="887"/>
  <c r="M45" i="887"/>
  <c r="L45" i="887"/>
  <c r="H45" i="887"/>
  <c r="J45" i="887"/>
  <c r="I45" i="887"/>
  <c r="G45" i="887"/>
  <c r="F45" i="887"/>
  <c r="E45" i="887"/>
  <c r="Q44" i="887"/>
  <c r="P44" i="887"/>
  <c r="O44" i="887"/>
  <c r="N44" i="887"/>
  <c r="M44" i="887"/>
  <c r="L44" i="887"/>
  <c r="H44" i="887"/>
  <c r="J44" i="887"/>
  <c r="I44" i="887"/>
  <c r="G44" i="887"/>
  <c r="F44" i="887"/>
  <c r="E44" i="887"/>
  <c r="Q43" i="887"/>
  <c r="P43" i="887"/>
  <c r="O43" i="887"/>
  <c r="N43" i="887"/>
  <c r="M43" i="887"/>
  <c r="L43" i="887"/>
  <c r="H43" i="887"/>
  <c r="J43" i="887"/>
  <c r="I43" i="887"/>
  <c r="G43" i="887"/>
  <c r="F43" i="887"/>
  <c r="E43" i="887"/>
  <c r="Q42" i="887"/>
  <c r="P42" i="887"/>
  <c r="O42" i="887"/>
  <c r="G42" i="887"/>
  <c r="N42" i="887"/>
  <c r="M42" i="887"/>
  <c r="L42" i="887"/>
  <c r="F42" i="887"/>
  <c r="J42" i="887"/>
  <c r="Q41" i="887"/>
  <c r="P41" i="887"/>
  <c r="O41" i="887"/>
  <c r="N41" i="887"/>
  <c r="M41" i="887"/>
  <c r="L41" i="887"/>
  <c r="Q40" i="887"/>
  <c r="J40" i="887"/>
  <c r="P40" i="887"/>
  <c r="O40" i="887"/>
  <c r="N40" i="887"/>
  <c r="G40" i="887"/>
  <c r="M40" i="887"/>
  <c r="F40" i="887"/>
  <c r="L40" i="887"/>
  <c r="Q39" i="887"/>
  <c r="J39" i="887"/>
  <c r="P39" i="887"/>
  <c r="O39" i="887"/>
  <c r="N39" i="887"/>
  <c r="G39" i="887"/>
  <c r="M39" i="887"/>
  <c r="L39" i="887"/>
  <c r="F39" i="887"/>
  <c r="Q38" i="887"/>
  <c r="P38" i="887"/>
  <c r="O38" i="887"/>
  <c r="G38" i="887"/>
  <c r="N38" i="887"/>
  <c r="M38" i="887"/>
  <c r="L38" i="887"/>
  <c r="F38" i="887"/>
  <c r="J38" i="887"/>
  <c r="Q37" i="887"/>
  <c r="P37" i="887"/>
  <c r="O37" i="887"/>
  <c r="N37" i="887"/>
  <c r="M37" i="887"/>
  <c r="L37" i="887"/>
  <c r="Q36" i="887"/>
  <c r="P36" i="887"/>
  <c r="O36" i="887"/>
  <c r="N36" i="887"/>
  <c r="G36" i="887"/>
  <c r="M36" i="887"/>
  <c r="F36" i="887"/>
  <c r="L36" i="887"/>
  <c r="Q35" i="887"/>
  <c r="J35" i="887"/>
  <c r="P35" i="887"/>
  <c r="O35" i="887"/>
  <c r="N35" i="887"/>
  <c r="G35" i="887"/>
  <c r="M35" i="887"/>
  <c r="L35" i="887"/>
  <c r="F35" i="887"/>
  <c r="Q34" i="887"/>
  <c r="P34" i="887"/>
  <c r="O34" i="887"/>
  <c r="G34" i="887"/>
  <c r="N34" i="887"/>
  <c r="M34" i="887"/>
  <c r="L34" i="887"/>
  <c r="F34" i="887"/>
  <c r="J34" i="887"/>
  <c r="Q33" i="887"/>
  <c r="P33" i="887"/>
  <c r="O33" i="887"/>
  <c r="N33" i="887"/>
  <c r="M33" i="887"/>
  <c r="L33" i="887"/>
  <c r="Q32" i="887"/>
  <c r="P32" i="887"/>
  <c r="O32" i="887"/>
  <c r="N32" i="887"/>
  <c r="M32" i="887"/>
  <c r="L32" i="887"/>
  <c r="Q31" i="887"/>
  <c r="P31" i="887"/>
  <c r="O31" i="887"/>
  <c r="N31" i="887"/>
  <c r="M31" i="887"/>
  <c r="L31" i="887"/>
  <c r="Q30" i="887"/>
  <c r="J30" i="887"/>
  <c r="P30" i="887"/>
  <c r="O30" i="887"/>
  <c r="N30" i="887"/>
  <c r="M30" i="887"/>
  <c r="L30" i="887"/>
  <c r="F30" i="887"/>
  <c r="G30" i="887"/>
  <c r="E30" i="887"/>
  <c r="Q29" i="887"/>
  <c r="P29" i="887"/>
  <c r="O29" i="887"/>
  <c r="N29" i="887"/>
  <c r="H29" i="887"/>
  <c r="M29" i="887"/>
  <c r="L29" i="887"/>
  <c r="F29" i="887"/>
  <c r="Q28" i="887"/>
  <c r="P28" i="887"/>
  <c r="O28" i="887"/>
  <c r="N28" i="887"/>
  <c r="M28" i="887"/>
  <c r="L28" i="887"/>
  <c r="J28" i="887"/>
  <c r="E28" i="887"/>
  <c r="Q27" i="887"/>
  <c r="P27" i="887"/>
  <c r="O27" i="887"/>
  <c r="N27" i="887"/>
  <c r="M27" i="887"/>
  <c r="L27" i="887"/>
  <c r="J27" i="887"/>
  <c r="G27" i="887"/>
  <c r="Q26" i="887"/>
  <c r="P26" i="887"/>
  <c r="O26" i="887"/>
  <c r="N26" i="887"/>
  <c r="M26" i="887"/>
  <c r="L26" i="887"/>
  <c r="J26" i="887"/>
  <c r="Q25" i="887"/>
  <c r="P25" i="887"/>
  <c r="O25" i="887"/>
  <c r="N25" i="887"/>
  <c r="M25" i="887"/>
  <c r="L25" i="887"/>
  <c r="Q24" i="887"/>
  <c r="P24" i="887"/>
  <c r="O24" i="887"/>
  <c r="N24" i="887"/>
  <c r="M24" i="887"/>
  <c r="L24" i="887"/>
  <c r="Q23" i="887"/>
  <c r="P23" i="887"/>
  <c r="O23" i="887"/>
  <c r="N23" i="887"/>
  <c r="M23" i="887"/>
  <c r="L23" i="887"/>
  <c r="Q22" i="887"/>
  <c r="P22" i="887"/>
  <c r="O22" i="887"/>
  <c r="N22" i="887"/>
  <c r="M22" i="887"/>
  <c r="L22" i="887"/>
  <c r="J22" i="887"/>
  <c r="Q21" i="887"/>
  <c r="P21" i="887"/>
  <c r="O21" i="887"/>
  <c r="N21" i="887"/>
  <c r="M21" i="887"/>
  <c r="L21" i="887"/>
  <c r="Q20" i="887"/>
  <c r="P20" i="887"/>
  <c r="O20" i="887"/>
  <c r="N20" i="887"/>
  <c r="G20" i="887"/>
  <c r="M20" i="887"/>
  <c r="L20" i="887"/>
  <c r="F20" i="887"/>
  <c r="Q19" i="887"/>
  <c r="P19" i="887"/>
  <c r="O19" i="887"/>
  <c r="N19" i="887"/>
  <c r="G19" i="887"/>
  <c r="M19" i="887"/>
  <c r="L19" i="887"/>
  <c r="Q18" i="887"/>
  <c r="P18" i="887"/>
  <c r="O18" i="887"/>
  <c r="N18" i="887"/>
  <c r="M18" i="887"/>
  <c r="L18" i="887"/>
  <c r="J18" i="887"/>
  <c r="Q17" i="887"/>
  <c r="P17" i="887"/>
  <c r="O17" i="887"/>
  <c r="N17" i="887"/>
  <c r="M17" i="887"/>
  <c r="L17" i="887"/>
  <c r="G17" i="887"/>
  <c r="J17" i="887"/>
  <c r="Q16" i="887"/>
  <c r="P16" i="887"/>
  <c r="O16" i="887"/>
  <c r="N16" i="887"/>
  <c r="M16" i="887"/>
  <c r="L16" i="887"/>
  <c r="Q15" i="887"/>
  <c r="P15" i="887"/>
  <c r="O15" i="887"/>
  <c r="N15" i="887"/>
  <c r="M15" i="887"/>
  <c r="L15" i="887"/>
  <c r="Q14" i="887"/>
  <c r="P14" i="887"/>
  <c r="O14" i="887"/>
  <c r="N14" i="887"/>
  <c r="M14" i="887"/>
  <c r="L14" i="887"/>
  <c r="J14" i="887"/>
  <c r="C9" i="887"/>
  <c r="M7" i="887"/>
  <c r="V5" i="887"/>
  <c r="V4" i="887"/>
  <c r="S1" i="887"/>
  <c r="Q203" i="886"/>
  <c r="P203" i="886"/>
  <c r="O203" i="886"/>
  <c r="N203" i="886"/>
  <c r="M203" i="886"/>
  <c r="L203" i="886"/>
  <c r="J203" i="886"/>
  <c r="H203" i="886"/>
  <c r="G203" i="886"/>
  <c r="F203" i="886"/>
  <c r="Q202" i="886"/>
  <c r="P202" i="886"/>
  <c r="O202" i="886"/>
  <c r="N202" i="886"/>
  <c r="M202" i="886"/>
  <c r="L202" i="886"/>
  <c r="J202" i="886"/>
  <c r="H202" i="886"/>
  <c r="G202" i="886"/>
  <c r="F202" i="886"/>
  <c r="Q201" i="886"/>
  <c r="P201" i="886"/>
  <c r="O201" i="886"/>
  <c r="N201" i="886"/>
  <c r="M201" i="886"/>
  <c r="L201" i="886"/>
  <c r="J201" i="886"/>
  <c r="H201" i="886"/>
  <c r="G201" i="886"/>
  <c r="F201" i="886"/>
  <c r="Q200" i="886"/>
  <c r="P200" i="886"/>
  <c r="O200" i="886"/>
  <c r="N200" i="886"/>
  <c r="M200" i="886"/>
  <c r="L200" i="886"/>
  <c r="J200" i="886"/>
  <c r="H200" i="886"/>
  <c r="G200" i="886"/>
  <c r="F200" i="886"/>
  <c r="Q199" i="886"/>
  <c r="P199" i="886"/>
  <c r="O199" i="886"/>
  <c r="N199" i="886"/>
  <c r="M199" i="886"/>
  <c r="L199" i="886"/>
  <c r="J199" i="886"/>
  <c r="H199" i="886"/>
  <c r="G199" i="886"/>
  <c r="F199" i="886"/>
  <c r="Q198" i="886"/>
  <c r="P198" i="886"/>
  <c r="O198" i="886"/>
  <c r="N198" i="886"/>
  <c r="M198" i="886"/>
  <c r="L198" i="886"/>
  <c r="J198" i="886"/>
  <c r="H198" i="886"/>
  <c r="G198" i="886"/>
  <c r="F198" i="886"/>
  <c r="Q197" i="886"/>
  <c r="P197" i="886"/>
  <c r="O197" i="886"/>
  <c r="N197" i="886"/>
  <c r="M197" i="886"/>
  <c r="L197" i="886"/>
  <c r="J197" i="886"/>
  <c r="H197" i="886"/>
  <c r="G197" i="886"/>
  <c r="F197" i="886"/>
  <c r="Q196" i="886"/>
  <c r="P196" i="886"/>
  <c r="O196" i="886"/>
  <c r="N196" i="886"/>
  <c r="M196" i="886"/>
  <c r="L196" i="886"/>
  <c r="J196" i="886"/>
  <c r="H196" i="886"/>
  <c r="G196" i="886"/>
  <c r="F196" i="886"/>
  <c r="Q195" i="886"/>
  <c r="P195" i="886"/>
  <c r="O195" i="886"/>
  <c r="N195" i="886"/>
  <c r="M195" i="886"/>
  <c r="L195" i="886"/>
  <c r="J195" i="886"/>
  <c r="H195" i="886"/>
  <c r="G195" i="886"/>
  <c r="F195" i="886"/>
  <c r="Q194" i="886"/>
  <c r="P194" i="886"/>
  <c r="O194" i="886"/>
  <c r="N194" i="886"/>
  <c r="M194" i="886"/>
  <c r="L194" i="886"/>
  <c r="J194" i="886"/>
  <c r="H194" i="886"/>
  <c r="G194" i="886"/>
  <c r="F194" i="886"/>
  <c r="Q193" i="886"/>
  <c r="P193" i="886"/>
  <c r="O193" i="886"/>
  <c r="N193" i="886"/>
  <c r="M193" i="886"/>
  <c r="L193" i="886"/>
  <c r="J193" i="886"/>
  <c r="H193" i="886"/>
  <c r="G193" i="886"/>
  <c r="F193" i="886"/>
  <c r="Q192" i="886"/>
  <c r="P192" i="886"/>
  <c r="O192" i="886"/>
  <c r="N192" i="886"/>
  <c r="M192" i="886"/>
  <c r="L192" i="886"/>
  <c r="J192" i="886"/>
  <c r="H192" i="886"/>
  <c r="F192" i="886"/>
  <c r="E192" i="886"/>
  <c r="Q191" i="886"/>
  <c r="P191" i="886"/>
  <c r="O191" i="886"/>
  <c r="N191" i="886"/>
  <c r="M191" i="886"/>
  <c r="L191" i="886"/>
  <c r="G191" i="886"/>
  <c r="H191" i="886"/>
  <c r="J191" i="886"/>
  <c r="F191" i="886"/>
  <c r="Q190" i="886"/>
  <c r="P190" i="886"/>
  <c r="O190" i="886"/>
  <c r="N190" i="886"/>
  <c r="M190" i="886"/>
  <c r="L190" i="886"/>
  <c r="Q189" i="886"/>
  <c r="P189" i="886"/>
  <c r="O189" i="886"/>
  <c r="N189" i="886"/>
  <c r="M189" i="886"/>
  <c r="L189" i="886"/>
  <c r="G189" i="886"/>
  <c r="H189" i="886"/>
  <c r="J189" i="886"/>
  <c r="F189" i="886"/>
  <c r="Q188" i="886"/>
  <c r="P188" i="886"/>
  <c r="O188" i="886"/>
  <c r="N188" i="886"/>
  <c r="M188" i="886"/>
  <c r="L188" i="886"/>
  <c r="Q187" i="886"/>
  <c r="P187" i="886"/>
  <c r="O187" i="886"/>
  <c r="N187" i="886"/>
  <c r="M187" i="886"/>
  <c r="L187" i="886"/>
  <c r="G187" i="886"/>
  <c r="H187" i="886"/>
  <c r="J187" i="886"/>
  <c r="F187" i="886"/>
  <c r="Q186" i="886"/>
  <c r="P186" i="886"/>
  <c r="O186" i="886"/>
  <c r="N186" i="886"/>
  <c r="M186" i="886"/>
  <c r="L186" i="886"/>
  <c r="Q185" i="886"/>
  <c r="P185" i="886"/>
  <c r="O185" i="886"/>
  <c r="N185" i="886"/>
  <c r="M185" i="886"/>
  <c r="L185" i="886"/>
  <c r="G185" i="886"/>
  <c r="H185" i="886"/>
  <c r="J185" i="886"/>
  <c r="F185" i="886"/>
  <c r="Q184" i="886"/>
  <c r="P184" i="886"/>
  <c r="O184" i="886"/>
  <c r="N184" i="886"/>
  <c r="M184" i="886"/>
  <c r="L184" i="886"/>
  <c r="Q183" i="886"/>
  <c r="P183" i="886"/>
  <c r="O183" i="886"/>
  <c r="N183" i="886"/>
  <c r="M183" i="886"/>
  <c r="L183" i="886"/>
  <c r="G183" i="886"/>
  <c r="H183" i="886"/>
  <c r="J183" i="886"/>
  <c r="F183" i="886"/>
  <c r="Q182" i="886"/>
  <c r="P182" i="886"/>
  <c r="O182" i="886"/>
  <c r="N182" i="886"/>
  <c r="M182" i="886"/>
  <c r="L182" i="886"/>
  <c r="Q181" i="886"/>
  <c r="P181" i="886"/>
  <c r="O181" i="886"/>
  <c r="N181" i="886"/>
  <c r="M181" i="886"/>
  <c r="L181" i="886"/>
  <c r="G181" i="886"/>
  <c r="H181" i="886"/>
  <c r="J181" i="886"/>
  <c r="F181" i="886"/>
  <c r="Q180" i="886"/>
  <c r="P180" i="886"/>
  <c r="O180" i="886"/>
  <c r="N180" i="886"/>
  <c r="M180" i="886"/>
  <c r="L180" i="886"/>
  <c r="Q179" i="886"/>
  <c r="P179" i="886"/>
  <c r="O179" i="886"/>
  <c r="N179" i="886"/>
  <c r="M179" i="886"/>
  <c r="L179" i="886"/>
  <c r="G179" i="886"/>
  <c r="H179" i="886"/>
  <c r="J179" i="886"/>
  <c r="F179" i="886"/>
  <c r="Q178" i="886"/>
  <c r="P178" i="886"/>
  <c r="O178" i="886"/>
  <c r="N178" i="886"/>
  <c r="M178" i="886"/>
  <c r="L178" i="886"/>
  <c r="Q177" i="886"/>
  <c r="P177" i="886"/>
  <c r="O177" i="886"/>
  <c r="N177" i="886"/>
  <c r="M177" i="886"/>
  <c r="L177" i="886"/>
  <c r="G177" i="886"/>
  <c r="H177" i="886"/>
  <c r="J177" i="886"/>
  <c r="F177" i="886"/>
  <c r="Q176" i="886"/>
  <c r="P176" i="886"/>
  <c r="O176" i="886"/>
  <c r="N176" i="886"/>
  <c r="M176" i="886"/>
  <c r="L176" i="886"/>
  <c r="Q175" i="886"/>
  <c r="P175" i="886"/>
  <c r="O175" i="886"/>
  <c r="N175" i="886"/>
  <c r="M175" i="886"/>
  <c r="L175" i="886"/>
  <c r="G175" i="886"/>
  <c r="H175" i="886"/>
  <c r="J175" i="886"/>
  <c r="F175" i="886"/>
  <c r="Q174" i="886"/>
  <c r="P174" i="886"/>
  <c r="O174" i="886"/>
  <c r="N174" i="886"/>
  <c r="M174" i="886"/>
  <c r="L174" i="886"/>
  <c r="Q173" i="886"/>
  <c r="P173" i="886"/>
  <c r="O173" i="886"/>
  <c r="N173" i="886"/>
  <c r="M173" i="886"/>
  <c r="L173" i="886"/>
  <c r="G173" i="886"/>
  <c r="H173" i="886"/>
  <c r="J173" i="886"/>
  <c r="F173" i="886"/>
  <c r="Q172" i="886"/>
  <c r="P172" i="886"/>
  <c r="O172" i="886"/>
  <c r="N172" i="886"/>
  <c r="M172" i="886"/>
  <c r="L172" i="886"/>
  <c r="Q171" i="886"/>
  <c r="P171" i="886"/>
  <c r="O171" i="886"/>
  <c r="N171" i="886"/>
  <c r="M171" i="886"/>
  <c r="L171" i="886"/>
  <c r="G171" i="886"/>
  <c r="H171" i="886"/>
  <c r="J171" i="886"/>
  <c r="F171" i="886"/>
  <c r="Q170" i="886"/>
  <c r="P170" i="886"/>
  <c r="O170" i="886"/>
  <c r="N170" i="886"/>
  <c r="M170" i="886"/>
  <c r="L170" i="886"/>
  <c r="Q169" i="886"/>
  <c r="P169" i="886"/>
  <c r="O169" i="886"/>
  <c r="N169" i="886"/>
  <c r="M169" i="886"/>
  <c r="L169" i="886"/>
  <c r="J169" i="886"/>
  <c r="Q168" i="886"/>
  <c r="P168" i="886"/>
  <c r="O168" i="886"/>
  <c r="N168" i="886"/>
  <c r="M168" i="886"/>
  <c r="L168" i="886"/>
  <c r="F168" i="886"/>
  <c r="Q167" i="886"/>
  <c r="P167" i="886"/>
  <c r="O167" i="886"/>
  <c r="N167" i="886"/>
  <c r="M167" i="886"/>
  <c r="L167" i="886"/>
  <c r="F167" i="886"/>
  <c r="J167" i="886"/>
  <c r="G167" i="886"/>
  <c r="Q166" i="886"/>
  <c r="P166" i="886"/>
  <c r="O166" i="886"/>
  <c r="N166" i="886"/>
  <c r="M166" i="886"/>
  <c r="L166" i="886"/>
  <c r="J166" i="886"/>
  <c r="G166" i="886"/>
  <c r="Q165" i="886"/>
  <c r="P165" i="886"/>
  <c r="O165" i="886"/>
  <c r="N165" i="886"/>
  <c r="M165" i="886"/>
  <c r="L165" i="886"/>
  <c r="J165" i="886"/>
  <c r="Q164" i="886"/>
  <c r="P164" i="886"/>
  <c r="O164" i="886"/>
  <c r="N164" i="886"/>
  <c r="M164" i="886"/>
  <c r="L164" i="886"/>
  <c r="F164" i="886"/>
  <c r="Q163" i="886"/>
  <c r="P163" i="886"/>
  <c r="O163" i="886"/>
  <c r="N163" i="886"/>
  <c r="M163" i="886"/>
  <c r="L163" i="886"/>
  <c r="J163" i="886"/>
  <c r="G163" i="886"/>
  <c r="F163" i="886"/>
  <c r="Q162" i="886"/>
  <c r="P162" i="886"/>
  <c r="O162" i="886"/>
  <c r="N162" i="886"/>
  <c r="M162" i="886"/>
  <c r="L162" i="886"/>
  <c r="G162" i="886"/>
  <c r="J162" i="886"/>
  <c r="Q161" i="886"/>
  <c r="P161" i="886"/>
  <c r="O161" i="886"/>
  <c r="N161" i="886"/>
  <c r="M161" i="886"/>
  <c r="L161" i="886"/>
  <c r="J161" i="886"/>
  <c r="Q160" i="886"/>
  <c r="P160" i="886"/>
  <c r="O160" i="886"/>
  <c r="N160" i="886"/>
  <c r="M160" i="886"/>
  <c r="L160" i="886"/>
  <c r="G160" i="886"/>
  <c r="F160" i="886"/>
  <c r="Q159" i="886"/>
  <c r="P159" i="886"/>
  <c r="O159" i="886"/>
  <c r="N159" i="886"/>
  <c r="M159" i="886"/>
  <c r="L159" i="886"/>
  <c r="J159" i="886"/>
  <c r="G159" i="886"/>
  <c r="F159" i="886"/>
  <c r="Q158" i="886"/>
  <c r="P158" i="886"/>
  <c r="O158" i="886"/>
  <c r="N158" i="886"/>
  <c r="M158" i="886"/>
  <c r="L158" i="886"/>
  <c r="G158" i="886"/>
  <c r="J158" i="886"/>
  <c r="Q157" i="886"/>
  <c r="P157" i="886"/>
  <c r="O157" i="886"/>
  <c r="N157" i="886"/>
  <c r="M157" i="886"/>
  <c r="L157" i="886"/>
  <c r="J157" i="886"/>
  <c r="Q156" i="886"/>
  <c r="P156" i="886"/>
  <c r="O156" i="886"/>
  <c r="N156" i="886"/>
  <c r="M156" i="886"/>
  <c r="L156" i="886"/>
  <c r="H156" i="886"/>
  <c r="G156" i="886"/>
  <c r="F156" i="886"/>
  <c r="Q155" i="886"/>
  <c r="P155" i="886"/>
  <c r="O155" i="886"/>
  <c r="N155" i="886"/>
  <c r="M155" i="886"/>
  <c r="L155" i="886"/>
  <c r="F155" i="886"/>
  <c r="H155" i="886"/>
  <c r="J155" i="886"/>
  <c r="Q154" i="886"/>
  <c r="P154" i="886"/>
  <c r="O154" i="886"/>
  <c r="N154" i="886"/>
  <c r="M154" i="886"/>
  <c r="L154" i="886"/>
  <c r="G154" i="886"/>
  <c r="H154" i="886"/>
  <c r="Q153" i="886"/>
  <c r="P153" i="886"/>
  <c r="O153" i="886"/>
  <c r="N153" i="886"/>
  <c r="M153" i="886"/>
  <c r="L153" i="886"/>
  <c r="Q152" i="886"/>
  <c r="P152" i="886"/>
  <c r="O152" i="886"/>
  <c r="N152" i="886"/>
  <c r="M152" i="886"/>
  <c r="L152" i="886"/>
  <c r="H152" i="886"/>
  <c r="G152" i="886"/>
  <c r="F152" i="886"/>
  <c r="Q151" i="886"/>
  <c r="P151" i="886"/>
  <c r="O151" i="886"/>
  <c r="N151" i="886"/>
  <c r="M151" i="886"/>
  <c r="L151" i="886"/>
  <c r="F151" i="886"/>
  <c r="H151" i="886"/>
  <c r="J151" i="886"/>
  <c r="Q150" i="886"/>
  <c r="P150" i="886"/>
  <c r="O150" i="886"/>
  <c r="N150" i="886"/>
  <c r="M150" i="886"/>
  <c r="L150" i="886"/>
  <c r="G150" i="886"/>
  <c r="H150" i="886"/>
  <c r="Q149" i="886"/>
  <c r="P149" i="886"/>
  <c r="O149" i="886"/>
  <c r="N149" i="886"/>
  <c r="M149" i="886"/>
  <c r="L149" i="886"/>
  <c r="F149" i="886"/>
  <c r="Q148" i="886"/>
  <c r="P148" i="886"/>
  <c r="O148" i="886"/>
  <c r="N148" i="886"/>
  <c r="M148" i="886"/>
  <c r="L148" i="886"/>
  <c r="G148" i="886"/>
  <c r="H148" i="886"/>
  <c r="J148" i="886"/>
  <c r="F148" i="886"/>
  <c r="Q147" i="886"/>
  <c r="P147" i="886"/>
  <c r="O147" i="886"/>
  <c r="N147" i="886"/>
  <c r="M147" i="886"/>
  <c r="L147" i="886"/>
  <c r="F147" i="886"/>
  <c r="Q146" i="886"/>
  <c r="P146" i="886"/>
  <c r="O146" i="886"/>
  <c r="N146" i="886"/>
  <c r="M146" i="886"/>
  <c r="L146" i="886"/>
  <c r="G146" i="886"/>
  <c r="H146" i="886"/>
  <c r="J146" i="886"/>
  <c r="F146" i="886"/>
  <c r="Q145" i="886"/>
  <c r="P145" i="886"/>
  <c r="O145" i="886"/>
  <c r="N145" i="886"/>
  <c r="M145" i="886"/>
  <c r="L145" i="886"/>
  <c r="F145" i="886"/>
  <c r="Q144" i="886"/>
  <c r="P144" i="886"/>
  <c r="O144" i="886"/>
  <c r="N144" i="886"/>
  <c r="M144" i="886"/>
  <c r="L144" i="886"/>
  <c r="G144" i="886"/>
  <c r="H144" i="886"/>
  <c r="J144" i="886"/>
  <c r="F144" i="886"/>
  <c r="Q143" i="886"/>
  <c r="P143" i="886"/>
  <c r="O143" i="886"/>
  <c r="N143" i="886"/>
  <c r="M143" i="886"/>
  <c r="L143" i="886"/>
  <c r="F143" i="886"/>
  <c r="Q142" i="886"/>
  <c r="P142" i="886"/>
  <c r="O142" i="886"/>
  <c r="N142" i="886"/>
  <c r="M142" i="886"/>
  <c r="L142" i="886"/>
  <c r="G142" i="886"/>
  <c r="H142" i="886"/>
  <c r="J142" i="886"/>
  <c r="F142" i="886"/>
  <c r="Q141" i="886"/>
  <c r="P141" i="886"/>
  <c r="O141" i="886"/>
  <c r="N141" i="886"/>
  <c r="M141" i="886"/>
  <c r="L141" i="886"/>
  <c r="F141" i="886"/>
  <c r="Q140" i="886"/>
  <c r="P140" i="886"/>
  <c r="O140" i="886"/>
  <c r="N140" i="886"/>
  <c r="M140" i="886"/>
  <c r="L140" i="886"/>
  <c r="G140" i="886"/>
  <c r="H140" i="886"/>
  <c r="J140" i="886"/>
  <c r="F140" i="886"/>
  <c r="Q139" i="886"/>
  <c r="P139" i="886"/>
  <c r="O139" i="886"/>
  <c r="N139" i="886"/>
  <c r="M139" i="886"/>
  <c r="L139" i="886"/>
  <c r="F139" i="886"/>
  <c r="Q138" i="886"/>
  <c r="P138" i="886"/>
  <c r="O138" i="886"/>
  <c r="N138" i="886"/>
  <c r="M138" i="886"/>
  <c r="L138" i="886"/>
  <c r="G138" i="886"/>
  <c r="H138" i="886"/>
  <c r="J138" i="886"/>
  <c r="F138" i="886"/>
  <c r="Q137" i="886"/>
  <c r="P137" i="886"/>
  <c r="O137" i="886"/>
  <c r="N137" i="886"/>
  <c r="M137" i="886"/>
  <c r="L137" i="886"/>
  <c r="F137" i="886"/>
  <c r="Q136" i="886"/>
  <c r="P136" i="886"/>
  <c r="O136" i="886"/>
  <c r="N136" i="886"/>
  <c r="M136" i="886"/>
  <c r="L136" i="886"/>
  <c r="G136" i="886"/>
  <c r="H136" i="886"/>
  <c r="J136" i="886"/>
  <c r="F136" i="886"/>
  <c r="Q135" i="886"/>
  <c r="P135" i="886"/>
  <c r="O135" i="886"/>
  <c r="N135" i="886"/>
  <c r="M135" i="886"/>
  <c r="L135" i="886"/>
  <c r="F135" i="886"/>
  <c r="Q134" i="886"/>
  <c r="P134" i="886"/>
  <c r="O134" i="886"/>
  <c r="N134" i="886"/>
  <c r="M134" i="886"/>
  <c r="L134" i="886"/>
  <c r="G134" i="886"/>
  <c r="H134" i="886"/>
  <c r="J134" i="886"/>
  <c r="F134" i="886"/>
  <c r="Q133" i="886"/>
  <c r="P133" i="886"/>
  <c r="O133" i="886"/>
  <c r="N133" i="886"/>
  <c r="M133" i="886"/>
  <c r="L133" i="886"/>
  <c r="F133" i="886"/>
  <c r="Q132" i="886"/>
  <c r="P132" i="886"/>
  <c r="O132" i="886"/>
  <c r="N132" i="886"/>
  <c r="M132" i="886"/>
  <c r="L132" i="886"/>
  <c r="G132" i="886"/>
  <c r="H132" i="886"/>
  <c r="J132" i="886"/>
  <c r="F132" i="886"/>
  <c r="Q131" i="886"/>
  <c r="P131" i="886"/>
  <c r="O131" i="886"/>
  <c r="N131" i="886"/>
  <c r="M131" i="886"/>
  <c r="L131" i="886"/>
  <c r="F131" i="886"/>
  <c r="Q130" i="886"/>
  <c r="P130" i="886"/>
  <c r="O130" i="886"/>
  <c r="N130" i="886"/>
  <c r="M130" i="886"/>
  <c r="L130" i="886"/>
  <c r="G130" i="886"/>
  <c r="H130" i="886"/>
  <c r="J130" i="886"/>
  <c r="F130" i="886"/>
  <c r="Q129" i="886"/>
  <c r="P129" i="886"/>
  <c r="O129" i="886"/>
  <c r="N129" i="886"/>
  <c r="M129" i="886"/>
  <c r="L129" i="886"/>
  <c r="F129" i="886"/>
  <c r="Q128" i="886"/>
  <c r="P128" i="886"/>
  <c r="O128" i="886"/>
  <c r="N128" i="886"/>
  <c r="M128" i="886"/>
  <c r="L128" i="886"/>
  <c r="G128" i="886"/>
  <c r="H128" i="886"/>
  <c r="J128" i="886"/>
  <c r="F128" i="886"/>
  <c r="Q127" i="886"/>
  <c r="P127" i="886"/>
  <c r="O127" i="886"/>
  <c r="N127" i="886"/>
  <c r="M127" i="886"/>
  <c r="L127" i="886"/>
  <c r="F127" i="886"/>
  <c r="Q126" i="886"/>
  <c r="P126" i="886"/>
  <c r="O126" i="886"/>
  <c r="N126" i="886"/>
  <c r="M126" i="886"/>
  <c r="L126" i="886"/>
  <c r="G126" i="886"/>
  <c r="H126" i="886"/>
  <c r="J126" i="886"/>
  <c r="F126" i="886"/>
  <c r="Q125" i="886"/>
  <c r="P125" i="886"/>
  <c r="O125" i="886"/>
  <c r="N125" i="886"/>
  <c r="M125" i="886"/>
  <c r="L125" i="886"/>
  <c r="F125" i="886"/>
  <c r="Q124" i="886"/>
  <c r="P124" i="886"/>
  <c r="O124" i="886"/>
  <c r="N124" i="886"/>
  <c r="M124" i="886"/>
  <c r="L124" i="886"/>
  <c r="G124" i="886"/>
  <c r="H124" i="886"/>
  <c r="J124" i="886"/>
  <c r="F124" i="886"/>
  <c r="Q123" i="886"/>
  <c r="P123" i="886"/>
  <c r="O123" i="886"/>
  <c r="N123" i="886"/>
  <c r="M123" i="886"/>
  <c r="L123" i="886"/>
  <c r="F123" i="886"/>
  <c r="Q122" i="886"/>
  <c r="P122" i="886"/>
  <c r="O122" i="886"/>
  <c r="N122" i="886"/>
  <c r="M122" i="886"/>
  <c r="L122" i="886"/>
  <c r="G122" i="886"/>
  <c r="H122" i="886"/>
  <c r="J122" i="886"/>
  <c r="F122" i="886"/>
  <c r="Q121" i="886"/>
  <c r="P121" i="886"/>
  <c r="O121" i="886"/>
  <c r="N121" i="886"/>
  <c r="M121" i="886"/>
  <c r="L121" i="886"/>
  <c r="F121" i="886"/>
  <c r="Q120" i="886"/>
  <c r="P120" i="886"/>
  <c r="O120" i="886"/>
  <c r="N120" i="886"/>
  <c r="M120" i="886"/>
  <c r="L120" i="886"/>
  <c r="G120" i="886"/>
  <c r="H120" i="886"/>
  <c r="J120" i="886"/>
  <c r="F120" i="886"/>
  <c r="Q119" i="886"/>
  <c r="P119" i="886"/>
  <c r="O119" i="886"/>
  <c r="N119" i="886"/>
  <c r="M119" i="886"/>
  <c r="L119" i="886"/>
  <c r="F119" i="886"/>
  <c r="Q118" i="886"/>
  <c r="P118" i="886"/>
  <c r="O118" i="886"/>
  <c r="N118" i="886"/>
  <c r="M118" i="886"/>
  <c r="L118" i="886"/>
  <c r="G118" i="886"/>
  <c r="H118" i="886"/>
  <c r="J118" i="886"/>
  <c r="F118" i="886"/>
  <c r="Q117" i="886"/>
  <c r="P117" i="886"/>
  <c r="O117" i="886"/>
  <c r="N117" i="886"/>
  <c r="M117" i="886"/>
  <c r="L117" i="886"/>
  <c r="F117" i="886"/>
  <c r="Q116" i="886"/>
  <c r="P116" i="886"/>
  <c r="O116" i="886"/>
  <c r="N116" i="886"/>
  <c r="M116" i="886"/>
  <c r="L116" i="886"/>
  <c r="G116" i="886"/>
  <c r="H116" i="886"/>
  <c r="J116" i="886"/>
  <c r="F116" i="886"/>
  <c r="Q115" i="886"/>
  <c r="P115" i="886"/>
  <c r="O115" i="886"/>
  <c r="N115" i="886"/>
  <c r="M115" i="886"/>
  <c r="L115" i="886"/>
  <c r="F115" i="886"/>
  <c r="Q114" i="886"/>
  <c r="P114" i="886"/>
  <c r="O114" i="886"/>
  <c r="N114" i="886"/>
  <c r="M114" i="886"/>
  <c r="L114" i="886"/>
  <c r="G114" i="886"/>
  <c r="H114" i="886"/>
  <c r="J114" i="886"/>
  <c r="F114" i="886"/>
  <c r="Q113" i="886"/>
  <c r="P113" i="886"/>
  <c r="O113" i="886"/>
  <c r="N113" i="886"/>
  <c r="M113" i="886"/>
  <c r="L113" i="886"/>
  <c r="F113" i="886"/>
  <c r="Q112" i="886"/>
  <c r="P112" i="886"/>
  <c r="O112" i="886"/>
  <c r="N112" i="886"/>
  <c r="M112" i="886"/>
  <c r="L112" i="886"/>
  <c r="F112" i="886"/>
  <c r="Q111" i="886"/>
  <c r="P111" i="886"/>
  <c r="O111" i="886"/>
  <c r="N111" i="886"/>
  <c r="M111" i="886"/>
  <c r="L111" i="886"/>
  <c r="J111" i="886"/>
  <c r="G111" i="886"/>
  <c r="F111" i="886"/>
  <c r="Q110" i="886"/>
  <c r="P110" i="886"/>
  <c r="O110" i="886"/>
  <c r="N110" i="886"/>
  <c r="M110" i="886"/>
  <c r="L110" i="886"/>
  <c r="G110" i="886"/>
  <c r="J110" i="886"/>
  <c r="Q109" i="886"/>
  <c r="P109" i="886"/>
  <c r="O109" i="886"/>
  <c r="N109" i="886"/>
  <c r="M109" i="886"/>
  <c r="L109" i="886"/>
  <c r="J109" i="886"/>
  <c r="Q108" i="886"/>
  <c r="P108" i="886"/>
  <c r="O108" i="886"/>
  <c r="N108" i="886"/>
  <c r="M108" i="886"/>
  <c r="L108" i="886"/>
  <c r="F108" i="886"/>
  <c r="Q107" i="886"/>
  <c r="P107" i="886"/>
  <c r="O107" i="886"/>
  <c r="N107" i="886"/>
  <c r="M107" i="886"/>
  <c r="L107" i="886"/>
  <c r="Q106" i="886"/>
  <c r="P106" i="886"/>
  <c r="O106" i="886"/>
  <c r="N106" i="886"/>
  <c r="M106" i="886"/>
  <c r="L106" i="886"/>
  <c r="G106" i="886"/>
  <c r="J106" i="886"/>
  <c r="Q105" i="886"/>
  <c r="P105" i="886"/>
  <c r="O105" i="886"/>
  <c r="N105" i="886"/>
  <c r="M105" i="886"/>
  <c r="L105" i="886"/>
  <c r="J105" i="886"/>
  <c r="Q104" i="886"/>
  <c r="P104" i="886"/>
  <c r="O104" i="886"/>
  <c r="N104" i="886"/>
  <c r="M104" i="886"/>
  <c r="L104" i="886"/>
  <c r="Q103" i="886"/>
  <c r="P103" i="886"/>
  <c r="O103" i="886"/>
  <c r="N103" i="886"/>
  <c r="M103" i="886"/>
  <c r="L103" i="886"/>
  <c r="Q102" i="886"/>
  <c r="P102" i="886"/>
  <c r="O102" i="886"/>
  <c r="N102" i="886"/>
  <c r="M102" i="886"/>
  <c r="L102" i="886"/>
  <c r="G102" i="886"/>
  <c r="J102" i="886"/>
  <c r="Q101" i="886"/>
  <c r="P101" i="886"/>
  <c r="O101" i="886"/>
  <c r="N101" i="886"/>
  <c r="M101" i="886"/>
  <c r="L101" i="886"/>
  <c r="J101" i="886"/>
  <c r="Q100" i="886"/>
  <c r="P100" i="886"/>
  <c r="O100" i="886"/>
  <c r="N100" i="886"/>
  <c r="M100" i="886"/>
  <c r="L100" i="886"/>
  <c r="Q99" i="886"/>
  <c r="P99" i="886"/>
  <c r="O99" i="886"/>
  <c r="N99" i="886"/>
  <c r="M99" i="886"/>
  <c r="L99" i="886"/>
  <c r="Q98" i="886"/>
  <c r="P98" i="886"/>
  <c r="O98" i="886"/>
  <c r="N98" i="886"/>
  <c r="M98" i="886"/>
  <c r="L98" i="886"/>
  <c r="G98" i="886"/>
  <c r="J98" i="886"/>
  <c r="Q97" i="886"/>
  <c r="P97" i="886"/>
  <c r="O97" i="886"/>
  <c r="N97" i="886"/>
  <c r="M97" i="886"/>
  <c r="L97" i="886"/>
  <c r="J97" i="886"/>
  <c r="Q96" i="886"/>
  <c r="P96" i="886"/>
  <c r="O96" i="886"/>
  <c r="N96" i="886"/>
  <c r="M96" i="886"/>
  <c r="L96" i="886"/>
  <c r="Q95" i="886"/>
  <c r="P95" i="886"/>
  <c r="O95" i="886"/>
  <c r="N95" i="886"/>
  <c r="M95" i="886"/>
  <c r="L95" i="886"/>
  <c r="Q94" i="886"/>
  <c r="P94" i="886"/>
  <c r="O94" i="886"/>
  <c r="N94" i="886"/>
  <c r="M94" i="886"/>
  <c r="L94" i="886"/>
  <c r="G94" i="886"/>
  <c r="J94" i="886"/>
  <c r="Q93" i="886"/>
  <c r="P93" i="886"/>
  <c r="O93" i="886"/>
  <c r="N93" i="886"/>
  <c r="M93" i="886"/>
  <c r="L93" i="886"/>
  <c r="J93" i="886"/>
  <c r="Q92" i="886"/>
  <c r="P92" i="886"/>
  <c r="O92" i="886"/>
  <c r="N92" i="886"/>
  <c r="M92" i="886"/>
  <c r="L92" i="886"/>
  <c r="Q91" i="886"/>
  <c r="P91" i="886"/>
  <c r="O91" i="886"/>
  <c r="N91" i="886"/>
  <c r="M91" i="886"/>
  <c r="L91" i="886"/>
  <c r="Q90" i="886"/>
  <c r="P90" i="886"/>
  <c r="O90" i="886"/>
  <c r="N90" i="886"/>
  <c r="M90" i="886"/>
  <c r="L90" i="886"/>
  <c r="G90" i="886"/>
  <c r="J90" i="886"/>
  <c r="Q89" i="886"/>
  <c r="P89" i="886"/>
  <c r="O89" i="886"/>
  <c r="N89" i="886"/>
  <c r="M89" i="886"/>
  <c r="L89" i="886"/>
  <c r="J89" i="886"/>
  <c r="Q88" i="886"/>
  <c r="P88" i="886"/>
  <c r="O88" i="886"/>
  <c r="N88" i="886"/>
  <c r="M88" i="886"/>
  <c r="L88" i="886"/>
  <c r="Q87" i="886"/>
  <c r="P87" i="886"/>
  <c r="O87" i="886"/>
  <c r="N87" i="886"/>
  <c r="M87" i="886"/>
  <c r="L87" i="886"/>
  <c r="Q86" i="886"/>
  <c r="P86" i="886"/>
  <c r="O86" i="886"/>
  <c r="N86" i="886"/>
  <c r="M86" i="886"/>
  <c r="L86" i="886"/>
  <c r="G86" i="886"/>
  <c r="J86" i="886"/>
  <c r="Q85" i="886"/>
  <c r="P85" i="886"/>
  <c r="O85" i="886"/>
  <c r="N85" i="886"/>
  <c r="M85" i="886"/>
  <c r="L85" i="886"/>
  <c r="J85" i="886"/>
  <c r="Q84" i="886"/>
  <c r="P84" i="886"/>
  <c r="O84" i="886"/>
  <c r="N84" i="886"/>
  <c r="M84" i="886"/>
  <c r="L84" i="886"/>
  <c r="Q83" i="886"/>
  <c r="P83" i="886"/>
  <c r="O83" i="886"/>
  <c r="N83" i="886"/>
  <c r="M83" i="886"/>
  <c r="L83" i="886"/>
  <c r="H83" i="886"/>
  <c r="J83" i="886"/>
  <c r="F83" i="886"/>
  <c r="Q82" i="886"/>
  <c r="P82" i="886"/>
  <c r="O82" i="886"/>
  <c r="N82" i="886"/>
  <c r="M82" i="886"/>
  <c r="L82" i="886"/>
  <c r="F82" i="886"/>
  <c r="H82" i="886"/>
  <c r="G82" i="886"/>
  <c r="Q81" i="886"/>
  <c r="P81" i="886"/>
  <c r="O81" i="886"/>
  <c r="N81" i="886"/>
  <c r="M81" i="886"/>
  <c r="L81" i="886"/>
  <c r="J81" i="886"/>
  <c r="H81" i="886"/>
  <c r="Q80" i="886"/>
  <c r="P80" i="886"/>
  <c r="O80" i="886"/>
  <c r="N80" i="886"/>
  <c r="M80" i="886"/>
  <c r="L80" i="886"/>
  <c r="Q79" i="886"/>
  <c r="P79" i="886"/>
  <c r="O79" i="886"/>
  <c r="N79" i="886"/>
  <c r="M79" i="886"/>
  <c r="L79" i="886"/>
  <c r="H79" i="886"/>
  <c r="J79" i="886"/>
  <c r="F79" i="886"/>
  <c r="Q78" i="886"/>
  <c r="P78" i="886"/>
  <c r="O78" i="886"/>
  <c r="N78" i="886"/>
  <c r="M78" i="886"/>
  <c r="L78" i="886"/>
  <c r="F78" i="886"/>
  <c r="H78" i="886"/>
  <c r="G78" i="886"/>
  <c r="Q77" i="886"/>
  <c r="P77" i="886"/>
  <c r="O77" i="886"/>
  <c r="N77" i="886"/>
  <c r="M77" i="886"/>
  <c r="L77" i="886"/>
  <c r="J77" i="886"/>
  <c r="H77" i="886"/>
  <c r="Q76" i="886"/>
  <c r="P76" i="886"/>
  <c r="O76" i="886"/>
  <c r="N76" i="886"/>
  <c r="M76" i="886"/>
  <c r="L76" i="886"/>
  <c r="Q75" i="886"/>
  <c r="P75" i="886"/>
  <c r="O75" i="886"/>
  <c r="N75" i="886"/>
  <c r="M75" i="886"/>
  <c r="L75" i="886"/>
  <c r="H75" i="886"/>
  <c r="J75" i="886"/>
  <c r="F75" i="886"/>
  <c r="Q74" i="886"/>
  <c r="P74" i="886"/>
  <c r="O74" i="886"/>
  <c r="N74" i="886"/>
  <c r="M74" i="886"/>
  <c r="L74" i="886"/>
  <c r="F74" i="886"/>
  <c r="H74" i="886"/>
  <c r="G74" i="886"/>
  <c r="Q73" i="886"/>
  <c r="P73" i="886"/>
  <c r="O73" i="886"/>
  <c r="N73" i="886"/>
  <c r="M73" i="886"/>
  <c r="L73" i="886"/>
  <c r="J73" i="886"/>
  <c r="H73" i="886"/>
  <c r="Q72" i="886"/>
  <c r="P72" i="886"/>
  <c r="O72" i="886"/>
  <c r="N72" i="886"/>
  <c r="M72" i="886"/>
  <c r="L72" i="886"/>
  <c r="Q71" i="886"/>
  <c r="P71" i="886"/>
  <c r="O71" i="886"/>
  <c r="N71" i="886"/>
  <c r="M71" i="886"/>
  <c r="L71" i="886"/>
  <c r="I71" i="886"/>
  <c r="J71" i="886"/>
  <c r="F71" i="886"/>
  <c r="E71" i="886"/>
  <c r="Q70" i="886"/>
  <c r="P70" i="886"/>
  <c r="O70" i="886"/>
  <c r="N70" i="886"/>
  <c r="M70" i="886"/>
  <c r="L70" i="886"/>
  <c r="I70" i="886"/>
  <c r="J70" i="886"/>
  <c r="G70" i="886"/>
  <c r="F70" i="886"/>
  <c r="Q69" i="886"/>
  <c r="P69" i="886"/>
  <c r="O69" i="886"/>
  <c r="N69" i="886"/>
  <c r="M69" i="886"/>
  <c r="L69" i="886"/>
  <c r="I69" i="886"/>
  <c r="J69" i="886"/>
  <c r="G69" i="886"/>
  <c r="F69" i="886"/>
  <c r="Q68" i="886"/>
  <c r="P68" i="886"/>
  <c r="O68" i="886"/>
  <c r="N68" i="886"/>
  <c r="M68" i="886"/>
  <c r="L68" i="886"/>
  <c r="I68" i="886"/>
  <c r="J68" i="886"/>
  <c r="G68" i="886"/>
  <c r="F68" i="886"/>
  <c r="Q67" i="886"/>
  <c r="P67" i="886"/>
  <c r="O67" i="886"/>
  <c r="N67" i="886"/>
  <c r="M67" i="886"/>
  <c r="L67" i="886"/>
  <c r="I67" i="886"/>
  <c r="J67" i="886"/>
  <c r="G67" i="886"/>
  <c r="F67" i="886"/>
  <c r="Q66" i="886"/>
  <c r="P66" i="886"/>
  <c r="O66" i="886"/>
  <c r="N66" i="886"/>
  <c r="M66" i="886"/>
  <c r="L66" i="886"/>
  <c r="I66" i="886"/>
  <c r="J66" i="886"/>
  <c r="G66" i="886"/>
  <c r="F66" i="886"/>
  <c r="Q65" i="886"/>
  <c r="P65" i="886"/>
  <c r="O65" i="886"/>
  <c r="N65" i="886"/>
  <c r="M65" i="886"/>
  <c r="L65" i="886"/>
  <c r="I65" i="886"/>
  <c r="J65" i="886"/>
  <c r="G65" i="886"/>
  <c r="F65" i="886"/>
  <c r="Q64" i="886"/>
  <c r="P64" i="886"/>
  <c r="O64" i="886"/>
  <c r="N64" i="886"/>
  <c r="M64" i="886"/>
  <c r="L64" i="886"/>
  <c r="I64" i="886"/>
  <c r="J64" i="886"/>
  <c r="G64" i="886"/>
  <c r="F64" i="886"/>
  <c r="Q63" i="886"/>
  <c r="P63" i="886"/>
  <c r="O63" i="886"/>
  <c r="N63" i="886"/>
  <c r="M63" i="886"/>
  <c r="L63" i="886"/>
  <c r="I63" i="886"/>
  <c r="J63" i="886"/>
  <c r="G63" i="886"/>
  <c r="F63" i="886"/>
  <c r="Q62" i="886"/>
  <c r="P62" i="886"/>
  <c r="O62" i="886"/>
  <c r="N62" i="886"/>
  <c r="M62" i="886"/>
  <c r="L62" i="886"/>
  <c r="I62" i="886"/>
  <c r="J62" i="886"/>
  <c r="G62" i="886"/>
  <c r="F62" i="886"/>
  <c r="Q61" i="886"/>
  <c r="P61" i="886"/>
  <c r="O61" i="886"/>
  <c r="N61" i="886"/>
  <c r="M61" i="886"/>
  <c r="L61" i="886"/>
  <c r="I61" i="886"/>
  <c r="J61" i="886"/>
  <c r="G61" i="886"/>
  <c r="F61" i="886"/>
  <c r="Q60" i="886"/>
  <c r="P60" i="886"/>
  <c r="O60" i="886"/>
  <c r="N60" i="886"/>
  <c r="M60" i="886"/>
  <c r="L60" i="886"/>
  <c r="I60" i="886"/>
  <c r="J60" i="886"/>
  <c r="G60" i="886"/>
  <c r="F60" i="886"/>
  <c r="Q59" i="886"/>
  <c r="P59" i="886"/>
  <c r="O59" i="886"/>
  <c r="N59" i="886"/>
  <c r="M59" i="886"/>
  <c r="L59" i="886"/>
  <c r="I59" i="886"/>
  <c r="J59" i="886"/>
  <c r="G59" i="886"/>
  <c r="F59" i="886"/>
  <c r="Q58" i="886"/>
  <c r="P58" i="886"/>
  <c r="O58" i="886"/>
  <c r="N58" i="886"/>
  <c r="M58" i="886"/>
  <c r="L58" i="886"/>
  <c r="I58" i="886"/>
  <c r="J58" i="886"/>
  <c r="G58" i="886"/>
  <c r="F58" i="886"/>
  <c r="Q57" i="886"/>
  <c r="P57" i="886"/>
  <c r="O57" i="886"/>
  <c r="N57" i="886"/>
  <c r="M57" i="886"/>
  <c r="L57" i="886"/>
  <c r="I57" i="886"/>
  <c r="J57" i="886"/>
  <c r="G57" i="886"/>
  <c r="F57" i="886"/>
  <c r="Q56" i="886"/>
  <c r="P56" i="886"/>
  <c r="O56" i="886"/>
  <c r="N56" i="886"/>
  <c r="M56" i="886"/>
  <c r="L56" i="886"/>
  <c r="I56" i="886"/>
  <c r="J56" i="886"/>
  <c r="G56" i="886"/>
  <c r="F56" i="886"/>
  <c r="Q55" i="886"/>
  <c r="P55" i="886"/>
  <c r="O55" i="886"/>
  <c r="N55" i="886"/>
  <c r="M55" i="886"/>
  <c r="L55" i="886"/>
  <c r="I55" i="886"/>
  <c r="J55" i="886"/>
  <c r="G55" i="886"/>
  <c r="F55" i="886"/>
  <c r="Q54" i="886"/>
  <c r="P54" i="886"/>
  <c r="O54" i="886"/>
  <c r="N54" i="886"/>
  <c r="M54" i="886"/>
  <c r="L54" i="886"/>
  <c r="I54" i="886"/>
  <c r="J54" i="886"/>
  <c r="G54" i="886"/>
  <c r="F54" i="886"/>
  <c r="Q53" i="886"/>
  <c r="P53" i="886"/>
  <c r="O53" i="886"/>
  <c r="N53" i="886"/>
  <c r="M53" i="886"/>
  <c r="L53" i="886"/>
  <c r="I53" i="886"/>
  <c r="J53" i="886"/>
  <c r="G53" i="886"/>
  <c r="F53" i="886"/>
  <c r="Q52" i="886"/>
  <c r="P52" i="886"/>
  <c r="O52" i="886"/>
  <c r="N52" i="886"/>
  <c r="M52" i="886"/>
  <c r="L52" i="886"/>
  <c r="I52" i="886"/>
  <c r="J52" i="886"/>
  <c r="G52" i="886"/>
  <c r="F52" i="886"/>
  <c r="Q51" i="886"/>
  <c r="P51" i="886"/>
  <c r="O51" i="886"/>
  <c r="N51" i="886"/>
  <c r="M51" i="886"/>
  <c r="L51" i="886"/>
  <c r="I51" i="886"/>
  <c r="J51" i="886"/>
  <c r="G51" i="886"/>
  <c r="F51" i="886"/>
  <c r="Q50" i="886"/>
  <c r="P50" i="886"/>
  <c r="O50" i="886"/>
  <c r="N50" i="886"/>
  <c r="M50" i="886"/>
  <c r="L50" i="886"/>
  <c r="I50" i="886"/>
  <c r="J50" i="886"/>
  <c r="G50" i="886"/>
  <c r="F50" i="886"/>
  <c r="Q49" i="886"/>
  <c r="P49" i="886"/>
  <c r="O49" i="886"/>
  <c r="N49" i="886"/>
  <c r="M49" i="886"/>
  <c r="L49" i="886"/>
  <c r="I49" i="886"/>
  <c r="J49" i="886"/>
  <c r="G49" i="886"/>
  <c r="F49" i="886"/>
  <c r="Q48" i="886"/>
  <c r="P48" i="886"/>
  <c r="O48" i="886"/>
  <c r="N48" i="886"/>
  <c r="M48" i="886"/>
  <c r="L48" i="886"/>
  <c r="I48" i="886"/>
  <c r="J48" i="886"/>
  <c r="G48" i="886"/>
  <c r="F48" i="886"/>
  <c r="Q47" i="886"/>
  <c r="P47" i="886"/>
  <c r="O47" i="886"/>
  <c r="N47" i="886"/>
  <c r="M47" i="886"/>
  <c r="L47" i="886"/>
  <c r="I47" i="886"/>
  <c r="J47" i="886"/>
  <c r="G47" i="886"/>
  <c r="F47" i="886"/>
  <c r="Q46" i="886"/>
  <c r="P46" i="886"/>
  <c r="O46" i="886"/>
  <c r="N46" i="886"/>
  <c r="M46" i="886"/>
  <c r="L46" i="886"/>
  <c r="I46" i="886"/>
  <c r="J46" i="886"/>
  <c r="G46" i="886"/>
  <c r="F46" i="886"/>
  <c r="Q45" i="886"/>
  <c r="P45" i="886"/>
  <c r="O45" i="886"/>
  <c r="N45" i="886"/>
  <c r="M45" i="886"/>
  <c r="L45" i="886"/>
  <c r="I45" i="886"/>
  <c r="J45" i="886"/>
  <c r="G45" i="886"/>
  <c r="F45" i="886"/>
  <c r="Q44" i="886"/>
  <c r="P44" i="886"/>
  <c r="J44" i="886"/>
  <c r="O44" i="886"/>
  <c r="N44" i="886"/>
  <c r="G44" i="886"/>
  <c r="M44" i="886"/>
  <c r="L44" i="886"/>
  <c r="H44" i="886"/>
  <c r="E44" i="886"/>
  <c r="Q43" i="886"/>
  <c r="P43" i="886"/>
  <c r="J43" i="886"/>
  <c r="O43" i="886"/>
  <c r="N43" i="886"/>
  <c r="M43" i="886"/>
  <c r="F43" i="886"/>
  <c r="L43" i="886"/>
  <c r="E43" i="886"/>
  <c r="Q42" i="886"/>
  <c r="P42" i="886"/>
  <c r="O42" i="886"/>
  <c r="N42" i="886"/>
  <c r="M42" i="886"/>
  <c r="L42" i="886"/>
  <c r="Q41" i="886"/>
  <c r="J41" i="886"/>
  <c r="P41" i="886"/>
  <c r="O41" i="886"/>
  <c r="N41" i="886"/>
  <c r="G41" i="886"/>
  <c r="M41" i="886"/>
  <c r="L41" i="886"/>
  <c r="E41" i="886"/>
  <c r="H41" i="886"/>
  <c r="Q40" i="886"/>
  <c r="P40" i="886"/>
  <c r="J40" i="886"/>
  <c r="O40" i="886"/>
  <c r="N40" i="886"/>
  <c r="G40" i="886"/>
  <c r="M40" i="886"/>
  <c r="L40" i="886"/>
  <c r="H40" i="886"/>
  <c r="E40" i="886"/>
  <c r="Q39" i="886"/>
  <c r="P39" i="886"/>
  <c r="J39" i="886"/>
  <c r="O39" i="886"/>
  <c r="N39" i="886"/>
  <c r="M39" i="886"/>
  <c r="F39" i="886"/>
  <c r="L39" i="886"/>
  <c r="E39" i="886"/>
  <c r="Q38" i="886"/>
  <c r="P38" i="886"/>
  <c r="O38" i="886"/>
  <c r="N38" i="886"/>
  <c r="M38" i="886"/>
  <c r="L38" i="886"/>
  <c r="Q37" i="886"/>
  <c r="J37" i="886"/>
  <c r="P37" i="886"/>
  <c r="O37" i="886"/>
  <c r="N37" i="886"/>
  <c r="G37" i="886"/>
  <c r="M37" i="886"/>
  <c r="L37" i="886"/>
  <c r="E37" i="886"/>
  <c r="H37" i="886"/>
  <c r="Q36" i="886"/>
  <c r="P36" i="886"/>
  <c r="J36" i="886"/>
  <c r="O36" i="886"/>
  <c r="N36" i="886"/>
  <c r="G36" i="886"/>
  <c r="M36" i="886"/>
  <c r="L36" i="886"/>
  <c r="H36" i="886"/>
  <c r="E36" i="886"/>
  <c r="Q35" i="886"/>
  <c r="P35" i="886"/>
  <c r="J35" i="886"/>
  <c r="O35" i="886"/>
  <c r="N35" i="886"/>
  <c r="M35" i="886"/>
  <c r="F35" i="886"/>
  <c r="L35" i="886"/>
  <c r="E35" i="886"/>
  <c r="Q34" i="886"/>
  <c r="P34" i="886"/>
  <c r="O34" i="886"/>
  <c r="N34" i="886"/>
  <c r="M34" i="886"/>
  <c r="L34" i="886"/>
  <c r="Q33" i="886"/>
  <c r="J33" i="886"/>
  <c r="P33" i="886"/>
  <c r="O33" i="886"/>
  <c r="N33" i="886"/>
  <c r="G33" i="886"/>
  <c r="M33" i="886"/>
  <c r="L33" i="886"/>
  <c r="E33" i="886"/>
  <c r="H33" i="886"/>
  <c r="Q32" i="886"/>
  <c r="P32" i="886"/>
  <c r="J32" i="886"/>
  <c r="O32" i="886"/>
  <c r="N32" i="886"/>
  <c r="G32" i="886"/>
  <c r="M32" i="886"/>
  <c r="L32" i="886"/>
  <c r="F32" i="886"/>
  <c r="H32" i="886"/>
  <c r="E32" i="886"/>
  <c r="Q31" i="886"/>
  <c r="P31" i="886"/>
  <c r="J31" i="886"/>
  <c r="O31" i="886"/>
  <c r="N31" i="886"/>
  <c r="M31" i="886"/>
  <c r="F31" i="886"/>
  <c r="L31" i="886"/>
  <c r="E31" i="886"/>
  <c r="Q30" i="886"/>
  <c r="P30" i="886"/>
  <c r="O30" i="886"/>
  <c r="N30" i="886"/>
  <c r="M30" i="886"/>
  <c r="L30" i="886"/>
  <c r="Q29" i="886"/>
  <c r="J29" i="886"/>
  <c r="P29" i="886"/>
  <c r="O29" i="886"/>
  <c r="N29" i="886"/>
  <c r="G29" i="886"/>
  <c r="M29" i="886"/>
  <c r="L29" i="886"/>
  <c r="E29" i="886"/>
  <c r="H29" i="886"/>
  <c r="Q28" i="886"/>
  <c r="P28" i="886"/>
  <c r="J28" i="886"/>
  <c r="O28" i="886"/>
  <c r="N28" i="886"/>
  <c r="G28" i="886"/>
  <c r="M28" i="886"/>
  <c r="L28" i="886"/>
  <c r="F28" i="886"/>
  <c r="H28" i="886"/>
  <c r="E28" i="886"/>
  <c r="Q27" i="886"/>
  <c r="P27" i="886"/>
  <c r="J27" i="886"/>
  <c r="O27" i="886"/>
  <c r="N27" i="886"/>
  <c r="M27" i="886"/>
  <c r="F27" i="886"/>
  <c r="L27" i="886"/>
  <c r="E27" i="886"/>
  <c r="Q26" i="886"/>
  <c r="P26" i="886"/>
  <c r="O26" i="886"/>
  <c r="N26" i="886"/>
  <c r="M26" i="886"/>
  <c r="L26" i="886"/>
  <c r="Q25" i="886"/>
  <c r="J25" i="886"/>
  <c r="P25" i="886"/>
  <c r="O25" i="886"/>
  <c r="N25" i="886"/>
  <c r="G25" i="886"/>
  <c r="M25" i="886"/>
  <c r="L25" i="886"/>
  <c r="E25" i="886"/>
  <c r="H25" i="886"/>
  <c r="Q24" i="886"/>
  <c r="P24" i="886"/>
  <c r="J24" i="886"/>
  <c r="O24" i="886"/>
  <c r="N24" i="886"/>
  <c r="G24" i="886"/>
  <c r="M24" i="886"/>
  <c r="L24" i="886"/>
  <c r="F24" i="886"/>
  <c r="H24" i="886"/>
  <c r="E24" i="886"/>
  <c r="Q23" i="886"/>
  <c r="P23" i="886"/>
  <c r="J23" i="886"/>
  <c r="O23" i="886"/>
  <c r="N23" i="886"/>
  <c r="M23" i="886"/>
  <c r="F23" i="886"/>
  <c r="L23" i="886"/>
  <c r="E23" i="886"/>
  <c r="Q22" i="886"/>
  <c r="P22" i="886"/>
  <c r="O22" i="886"/>
  <c r="N22" i="886"/>
  <c r="M22" i="886"/>
  <c r="L22" i="886"/>
  <c r="Q21" i="886"/>
  <c r="J21" i="886"/>
  <c r="P21" i="886"/>
  <c r="O21" i="886"/>
  <c r="N21" i="886"/>
  <c r="G21" i="886"/>
  <c r="M21" i="886"/>
  <c r="L21" i="886"/>
  <c r="E21" i="886"/>
  <c r="H21" i="886"/>
  <c r="Q20" i="886"/>
  <c r="P20" i="886"/>
  <c r="J20" i="886"/>
  <c r="O20" i="886"/>
  <c r="N20" i="886"/>
  <c r="G20" i="886"/>
  <c r="M20" i="886"/>
  <c r="L20" i="886"/>
  <c r="F20" i="886"/>
  <c r="H20" i="886"/>
  <c r="E20" i="886"/>
  <c r="Q19" i="886"/>
  <c r="P19" i="886"/>
  <c r="J19" i="886"/>
  <c r="O19" i="886"/>
  <c r="N19" i="886"/>
  <c r="M19" i="886"/>
  <c r="F19" i="886"/>
  <c r="L19" i="886"/>
  <c r="E19" i="886"/>
  <c r="Q18" i="886"/>
  <c r="P18" i="886"/>
  <c r="O18" i="886"/>
  <c r="N18" i="886"/>
  <c r="M18" i="886"/>
  <c r="L18" i="886"/>
  <c r="Q17" i="886"/>
  <c r="J17" i="886"/>
  <c r="P17" i="886"/>
  <c r="O17" i="886"/>
  <c r="N17" i="886"/>
  <c r="G17" i="886"/>
  <c r="M17" i="886"/>
  <c r="L17" i="886"/>
  <c r="E17" i="886"/>
  <c r="H17" i="886"/>
  <c r="Q16" i="886"/>
  <c r="P16" i="886"/>
  <c r="J16" i="886"/>
  <c r="O16" i="886"/>
  <c r="N16" i="886"/>
  <c r="G16" i="886"/>
  <c r="M16" i="886"/>
  <c r="L16" i="886"/>
  <c r="F16" i="886"/>
  <c r="H16" i="886"/>
  <c r="E16" i="886"/>
  <c r="Q15" i="886"/>
  <c r="P15" i="886"/>
  <c r="O15" i="886"/>
  <c r="N15" i="886"/>
  <c r="G15" i="886"/>
  <c r="M15" i="886"/>
  <c r="L15" i="886"/>
  <c r="E15" i="886"/>
  <c r="H15" i="886"/>
  <c r="Q14" i="886"/>
  <c r="P14" i="886"/>
  <c r="J14" i="886"/>
  <c r="O14" i="886"/>
  <c r="N14" i="886"/>
  <c r="G14" i="886"/>
  <c r="M14" i="886"/>
  <c r="L14" i="886"/>
  <c r="F14" i="886"/>
  <c r="H14" i="886"/>
  <c r="E14" i="886"/>
  <c r="C9" i="886"/>
  <c r="M7" i="886"/>
  <c r="V5" i="886"/>
  <c r="V4" i="886"/>
  <c r="S1" i="886"/>
  <c r="Q203" i="885"/>
  <c r="P203" i="885"/>
  <c r="O203" i="885"/>
  <c r="N203" i="885"/>
  <c r="M203" i="885"/>
  <c r="L203" i="885"/>
  <c r="H203" i="885"/>
  <c r="J203" i="885"/>
  <c r="F203" i="885"/>
  <c r="E203" i="885"/>
  <c r="Q202" i="885"/>
  <c r="P202" i="885"/>
  <c r="O202" i="885"/>
  <c r="N202" i="885"/>
  <c r="M202" i="885"/>
  <c r="L202" i="885"/>
  <c r="G202" i="885"/>
  <c r="J202" i="885"/>
  <c r="H202" i="885"/>
  <c r="Q201" i="885"/>
  <c r="P201" i="885"/>
  <c r="O201" i="885"/>
  <c r="N201" i="885"/>
  <c r="M201" i="885"/>
  <c r="L201" i="885"/>
  <c r="H201" i="885"/>
  <c r="J201" i="885"/>
  <c r="Q200" i="885"/>
  <c r="P200" i="885"/>
  <c r="O200" i="885"/>
  <c r="N200" i="885"/>
  <c r="M200" i="885"/>
  <c r="L200" i="885"/>
  <c r="Q199" i="885"/>
  <c r="P199" i="885"/>
  <c r="O199" i="885"/>
  <c r="N199" i="885"/>
  <c r="M199" i="885"/>
  <c r="L199" i="885"/>
  <c r="J199" i="885"/>
  <c r="H199" i="885"/>
  <c r="G199" i="885"/>
  <c r="Q198" i="885"/>
  <c r="P198" i="885"/>
  <c r="O198" i="885"/>
  <c r="N198" i="885"/>
  <c r="M198" i="885"/>
  <c r="L198" i="885"/>
  <c r="G198" i="885"/>
  <c r="J198" i="885"/>
  <c r="H198" i="885"/>
  <c r="Q197" i="885"/>
  <c r="P197" i="885"/>
  <c r="O197" i="885"/>
  <c r="N197" i="885"/>
  <c r="M197" i="885"/>
  <c r="L197" i="885"/>
  <c r="H197" i="885"/>
  <c r="J197" i="885"/>
  <c r="Q196" i="885"/>
  <c r="P196" i="885"/>
  <c r="O196" i="885"/>
  <c r="N196" i="885"/>
  <c r="M196" i="885"/>
  <c r="L196" i="885"/>
  <c r="Q195" i="885"/>
  <c r="P195" i="885"/>
  <c r="O195" i="885"/>
  <c r="N195" i="885"/>
  <c r="M195" i="885"/>
  <c r="L195" i="885"/>
  <c r="J195" i="885"/>
  <c r="H195" i="885"/>
  <c r="G195" i="885"/>
  <c r="Q194" i="885"/>
  <c r="P194" i="885"/>
  <c r="O194" i="885"/>
  <c r="N194" i="885"/>
  <c r="M194" i="885"/>
  <c r="L194" i="885"/>
  <c r="G194" i="885"/>
  <c r="J194" i="885"/>
  <c r="H194" i="885"/>
  <c r="Q193" i="885"/>
  <c r="P193" i="885"/>
  <c r="O193" i="885"/>
  <c r="N193" i="885"/>
  <c r="M193" i="885"/>
  <c r="L193" i="885"/>
  <c r="Q192" i="885"/>
  <c r="P192" i="885"/>
  <c r="O192" i="885"/>
  <c r="N192" i="885"/>
  <c r="M192" i="885"/>
  <c r="L192" i="885"/>
  <c r="G192" i="885"/>
  <c r="Q191" i="885"/>
  <c r="P191" i="885"/>
  <c r="O191" i="885"/>
  <c r="N191" i="885"/>
  <c r="M191" i="885"/>
  <c r="L191" i="885"/>
  <c r="J191" i="885"/>
  <c r="H191" i="885"/>
  <c r="G191" i="885"/>
  <c r="Q190" i="885"/>
  <c r="P190" i="885"/>
  <c r="O190" i="885"/>
  <c r="N190" i="885"/>
  <c r="M190" i="885"/>
  <c r="L190" i="885"/>
  <c r="G190" i="885"/>
  <c r="J190" i="885"/>
  <c r="H190" i="885"/>
  <c r="Q189" i="885"/>
  <c r="P189" i="885"/>
  <c r="O189" i="885"/>
  <c r="N189" i="885"/>
  <c r="M189" i="885"/>
  <c r="L189" i="885"/>
  <c r="G189" i="885"/>
  <c r="H189" i="885"/>
  <c r="Q188" i="885"/>
  <c r="P188" i="885"/>
  <c r="O188" i="885"/>
  <c r="N188" i="885"/>
  <c r="M188" i="885"/>
  <c r="L188" i="885"/>
  <c r="G188" i="885"/>
  <c r="Q187" i="885"/>
  <c r="P187" i="885"/>
  <c r="O187" i="885"/>
  <c r="N187" i="885"/>
  <c r="M187" i="885"/>
  <c r="L187" i="885"/>
  <c r="G187" i="885"/>
  <c r="H187" i="885"/>
  <c r="Q186" i="885"/>
  <c r="P186" i="885"/>
  <c r="O186" i="885"/>
  <c r="N186" i="885"/>
  <c r="M186" i="885"/>
  <c r="L186" i="885"/>
  <c r="G186" i="885"/>
  <c r="Q185" i="885"/>
  <c r="P185" i="885"/>
  <c r="O185" i="885"/>
  <c r="N185" i="885"/>
  <c r="M185" i="885"/>
  <c r="L185" i="885"/>
  <c r="G185" i="885"/>
  <c r="H185" i="885"/>
  <c r="Q184" i="885"/>
  <c r="P184" i="885"/>
  <c r="O184" i="885"/>
  <c r="N184" i="885"/>
  <c r="M184" i="885"/>
  <c r="L184" i="885"/>
  <c r="G184" i="885"/>
  <c r="Q183" i="885"/>
  <c r="P183" i="885"/>
  <c r="O183" i="885"/>
  <c r="N183" i="885"/>
  <c r="M183" i="885"/>
  <c r="L183" i="885"/>
  <c r="G183" i="885"/>
  <c r="H183" i="885"/>
  <c r="Q182" i="885"/>
  <c r="P182" i="885"/>
  <c r="O182" i="885"/>
  <c r="N182" i="885"/>
  <c r="M182" i="885"/>
  <c r="L182" i="885"/>
  <c r="G182" i="885"/>
  <c r="Q181" i="885"/>
  <c r="P181" i="885"/>
  <c r="O181" i="885"/>
  <c r="N181" i="885"/>
  <c r="M181" i="885"/>
  <c r="L181" i="885"/>
  <c r="G181" i="885"/>
  <c r="H181" i="885"/>
  <c r="Q180" i="885"/>
  <c r="P180" i="885"/>
  <c r="O180" i="885"/>
  <c r="N180" i="885"/>
  <c r="M180" i="885"/>
  <c r="L180" i="885"/>
  <c r="G180" i="885"/>
  <c r="Q179" i="885"/>
  <c r="P179" i="885"/>
  <c r="O179" i="885"/>
  <c r="N179" i="885"/>
  <c r="M179" i="885"/>
  <c r="L179" i="885"/>
  <c r="G179" i="885"/>
  <c r="Q178" i="885"/>
  <c r="P178" i="885"/>
  <c r="O178" i="885"/>
  <c r="N178" i="885"/>
  <c r="M178" i="885"/>
  <c r="L178" i="885"/>
  <c r="G178" i="885"/>
  <c r="Q177" i="885"/>
  <c r="P177" i="885"/>
  <c r="O177" i="885"/>
  <c r="N177" i="885"/>
  <c r="M177" i="885"/>
  <c r="L177" i="885"/>
  <c r="Q176" i="885"/>
  <c r="P176" i="885"/>
  <c r="O176" i="885"/>
  <c r="N176" i="885"/>
  <c r="M176" i="885"/>
  <c r="L176" i="885"/>
  <c r="G176" i="885"/>
  <c r="Q175" i="885"/>
  <c r="P175" i="885"/>
  <c r="O175" i="885"/>
  <c r="N175" i="885"/>
  <c r="M175" i="885"/>
  <c r="L175" i="885"/>
  <c r="H175" i="885"/>
  <c r="G175" i="885"/>
  <c r="Q174" i="885"/>
  <c r="P174" i="885"/>
  <c r="O174" i="885"/>
  <c r="N174" i="885"/>
  <c r="M174" i="885"/>
  <c r="L174" i="885"/>
  <c r="H174" i="885"/>
  <c r="G174" i="885"/>
  <c r="Q173" i="885"/>
  <c r="P173" i="885"/>
  <c r="O173" i="885"/>
  <c r="N173" i="885"/>
  <c r="M173" i="885"/>
  <c r="L173" i="885"/>
  <c r="H173" i="885"/>
  <c r="G173" i="885"/>
  <c r="Q172" i="885"/>
  <c r="P172" i="885"/>
  <c r="O172" i="885"/>
  <c r="N172" i="885"/>
  <c r="M172" i="885"/>
  <c r="L172" i="885"/>
  <c r="H172" i="885"/>
  <c r="G172" i="885"/>
  <c r="Q171" i="885"/>
  <c r="P171" i="885"/>
  <c r="O171" i="885"/>
  <c r="N171" i="885"/>
  <c r="M171" i="885"/>
  <c r="L171" i="885"/>
  <c r="H171" i="885"/>
  <c r="G171" i="885"/>
  <c r="Q170" i="885"/>
  <c r="P170" i="885"/>
  <c r="O170" i="885"/>
  <c r="N170" i="885"/>
  <c r="M170" i="885"/>
  <c r="L170" i="885"/>
  <c r="H170" i="885"/>
  <c r="G170" i="885"/>
  <c r="Q169" i="885"/>
  <c r="P169" i="885"/>
  <c r="O169" i="885"/>
  <c r="N169" i="885"/>
  <c r="M169" i="885"/>
  <c r="L169" i="885"/>
  <c r="H169" i="885"/>
  <c r="G169" i="885"/>
  <c r="Q168" i="885"/>
  <c r="P168" i="885"/>
  <c r="O168" i="885"/>
  <c r="N168" i="885"/>
  <c r="M168" i="885"/>
  <c r="L168" i="885"/>
  <c r="H168" i="885"/>
  <c r="G168" i="885"/>
  <c r="Q167" i="885"/>
  <c r="P167" i="885"/>
  <c r="O167" i="885"/>
  <c r="N167" i="885"/>
  <c r="H167" i="885"/>
  <c r="M167" i="885"/>
  <c r="L167" i="885"/>
  <c r="G167" i="885"/>
  <c r="Q166" i="885"/>
  <c r="P166" i="885"/>
  <c r="O166" i="885"/>
  <c r="N166" i="885"/>
  <c r="H166" i="885"/>
  <c r="M166" i="885"/>
  <c r="L166" i="885"/>
  <c r="G166" i="885"/>
  <c r="Q165" i="885"/>
  <c r="P165" i="885"/>
  <c r="O165" i="885"/>
  <c r="N165" i="885"/>
  <c r="H165" i="885"/>
  <c r="M165" i="885"/>
  <c r="L165" i="885"/>
  <c r="G165" i="885"/>
  <c r="Q164" i="885"/>
  <c r="P164" i="885"/>
  <c r="O164" i="885"/>
  <c r="N164" i="885"/>
  <c r="M164" i="885"/>
  <c r="L164" i="885"/>
  <c r="Q163" i="885"/>
  <c r="P163" i="885"/>
  <c r="O163" i="885"/>
  <c r="N163" i="885"/>
  <c r="M163" i="885"/>
  <c r="L163" i="885"/>
  <c r="G163" i="885"/>
  <c r="Q162" i="885"/>
  <c r="P162" i="885"/>
  <c r="O162" i="885"/>
  <c r="N162" i="885"/>
  <c r="M162" i="885"/>
  <c r="L162" i="885"/>
  <c r="H162" i="885"/>
  <c r="Q161" i="885"/>
  <c r="P161" i="885"/>
  <c r="O161" i="885"/>
  <c r="N161" i="885"/>
  <c r="M161" i="885"/>
  <c r="L161" i="885"/>
  <c r="G161" i="885"/>
  <c r="Q160" i="885"/>
  <c r="P160" i="885"/>
  <c r="O160" i="885"/>
  <c r="N160" i="885"/>
  <c r="M160" i="885"/>
  <c r="L160" i="885"/>
  <c r="Q159" i="885"/>
  <c r="P159" i="885"/>
  <c r="O159" i="885"/>
  <c r="N159" i="885"/>
  <c r="M159" i="885"/>
  <c r="L159" i="885"/>
  <c r="G159" i="885"/>
  <c r="Q158" i="885"/>
  <c r="P158" i="885"/>
  <c r="O158" i="885"/>
  <c r="N158" i="885"/>
  <c r="M158" i="885"/>
  <c r="L158" i="885"/>
  <c r="H158" i="885"/>
  <c r="Q157" i="885"/>
  <c r="P157" i="885"/>
  <c r="O157" i="885"/>
  <c r="N157" i="885"/>
  <c r="M157" i="885"/>
  <c r="L157" i="885"/>
  <c r="J157" i="885"/>
  <c r="E157" i="885"/>
  <c r="Q156" i="885"/>
  <c r="P156" i="885"/>
  <c r="O156" i="885"/>
  <c r="N156" i="885"/>
  <c r="M156" i="885"/>
  <c r="L156" i="885"/>
  <c r="Q155" i="885"/>
  <c r="P155" i="885"/>
  <c r="O155" i="885"/>
  <c r="N155" i="885"/>
  <c r="M155" i="885"/>
  <c r="L155" i="885"/>
  <c r="J155" i="885"/>
  <c r="Q154" i="885"/>
  <c r="P154" i="885"/>
  <c r="O154" i="885"/>
  <c r="N154" i="885"/>
  <c r="M154" i="885"/>
  <c r="L154" i="885"/>
  <c r="H154" i="885"/>
  <c r="Q153" i="885"/>
  <c r="P153" i="885"/>
  <c r="O153" i="885"/>
  <c r="N153" i="885"/>
  <c r="M153" i="885"/>
  <c r="L153" i="885"/>
  <c r="J153" i="885"/>
  <c r="E153" i="885"/>
  <c r="Q152" i="885"/>
  <c r="P152" i="885"/>
  <c r="O152" i="885"/>
  <c r="N152" i="885"/>
  <c r="M152" i="885"/>
  <c r="L152" i="885"/>
  <c r="J152" i="885"/>
  <c r="Q151" i="885"/>
  <c r="P151" i="885"/>
  <c r="O151" i="885"/>
  <c r="N151" i="885"/>
  <c r="M151" i="885"/>
  <c r="L151" i="885"/>
  <c r="G151" i="885"/>
  <c r="Q150" i="885"/>
  <c r="P150" i="885"/>
  <c r="O150" i="885"/>
  <c r="N150" i="885"/>
  <c r="M150" i="885"/>
  <c r="L150" i="885"/>
  <c r="H150" i="885"/>
  <c r="Q149" i="885"/>
  <c r="P149" i="885"/>
  <c r="O149" i="885"/>
  <c r="N149" i="885"/>
  <c r="M149" i="885"/>
  <c r="L149" i="885"/>
  <c r="J149" i="885"/>
  <c r="E149" i="885"/>
  <c r="Q148" i="885"/>
  <c r="P148" i="885"/>
  <c r="O148" i="885"/>
  <c r="N148" i="885"/>
  <c r="M148" i="885"/>
  <c r="L148" i="885"/>
  <c r="J148" i="885"/>
  <c r="Q147" i="885"/>
  <c r="P147" i="885"/>
  <c r="O147" i="885"/>
  <c r="N147" i="885"/>
  <c r="M147" i="885"/>
  <c r="L147" i="885"/>
  <c r="J147" i="885"/>
  <c r="Q146" i="885"/>
  <c r="P146" i="885"/>
  <c r="O146" i="885"/>
  <c r="N146" i="885"/>
  <c r="M146" i="885"/>
  <c r="L146" i="885"/>
  <c r="Q145" i="885"/>
  <c r="J145" i="885"/>
  <c r="P145" i="885"/>
  <c r="O145" i="885"/>
  <c r="N145" i="885"/>
  <c r="M145" i="885"/>
  <c r="L145" i="885"/>
  <c r="E145" i="885"/>
  <c r="Q144" i="885"/>
  <c r="J144" i="885"/>
  <c r="P144" i="885"/>
  <c r="O144" i="885"/>
  <c r="N144" i="885"/>
  <c r="G144" i="885"/>
  <c r="M144" i="885"/>
  <c r="L144" i="885"/>
  <c r="E144" i="885"/>
  <c r="Q143" i="885"/>
  <c r="P143" i="885"/>
  <c r="O143" i="885"/>
  <c r="N143" i="885"/>
  <c r="M143" i="885"/>
  <c r="L143" i="885"/>
  <c r="J143" i="885"/>
  <c r="G143" i="885"/>
  <c r="Q142" i="885"/>
  <c r="P142" i="885"/>
  <c r="O142" i="885"/>
  <c r="N142" i="885"/>
  <c r="M142" i="885"/>
  <c r="L142" i="885"/>
  <c r="Q141" i="885"/>
  <c r="P141" i="885"/>
  <c r="O141" i="885"/>
  <c r="N141" i="885"/>
  <c r="M141" i="885"/>
  <c r="L141" i="885"/>
  <c r="Q140" i="885"/>
  <c r="P140" i="885"/>
  <c r="O140" i="885"/>
  <c r="N140" i="885"/>
  <c r="G140" i="885"/>
  <c r="M140" i="885"/>
  <c r="L140" i="885"/>
  <c r="E140" i="885"/>
  <c r="Q139" i="885"/>
  <c r="P139" i="885"/>
  <c r="O139" i="885"/>
  <c r="N139" i="885"/>
  <c r="G139" i="885"/>
  <c r="M139" i="885"/>
  <c r="L139" i="885"/>
  <c r="Q138" i="885"/>
  <c r="P138" i="885"/>
  <c r="O138" i="885"/>
  <c r="N138" i="885"/>
  <c r="M138" i="885"/>
  <c r="L138" i="885"/>
  <c r="Q137" i="885"/>
  <c r="P137" i="885"/>
  <c r="O137" i="885"/>
  <c r="N137" i="885"/>
  <c r="M137" i="885"/>
  <c r="L137" i="885"/>
  <c r="J137" i="885"/>
  <c r="E137" i="885"/>
  <c r="Q136" i="885"/>
  <c r="P136" i="885"/>
  <c r="O136" i="885"/>
  <c r="N136" i="885"/>
  <c r="M136" i="885"/>
  <c r="L136" i="885"/>
  <c r="J136" i="885"/>
  <c r="Q135" i="885"/>
  <c r="P135" i="885"/>
  <c r="O135" i="885"/>
  <c r="N135" i="885"/>
  <c r="M135" i="885"/>
  <c r="L135" i="885"/>
  <c r="J135" i="885"/>
  <c r="Q134" i="885"/>
  <c r="P134" i="885"/>
  <c r="O134" i="885"/>
  <c r="N134" i="885"/>
  <c r="M134" i="885"/>
  <c r="L134" i="885"/>
  <c r="Q133" i="885"/>
  <c r="J133" i="885"/>
  <c r="P133" i="885"/>
  <c r="O133" i="885"/>
  <c r="N133" i="885"/>
  <c r="M133" i="885"/>
  <c r="L133" i="885"/>
  <c r="E133" i="885"/>
  <c r="Q132" i="885"/>
  <c r="J132" i="885"/>
  <c r="P132" i="885"/>
  <c r="O132" i="885"/>
  <c r="N132" i="885"/>
  <c r="G132" i="885"/>
  <c r="M132" i="885"/>
  <c r="L132" i="885"/>
  <c r="E132" i="885"/>
  <c r="Q131" i="885"/>
  <c r="P131" i="885"/>
  <c r="O131" i="885"/>
  <c r="N131" i="885"/>
  <c r="G131" i="885"/>
  <c r="M131" i="885"/>
  <c r="L131" i="885"/>
  <c r="Q130" i="885"/>
  <c r="P130" i="885"/>
  <c r="O130" i="885"/>
  <c r="N130" i="885"/>
  <c r="M130" i="885"/>
  <c r="L130" i="885"/>
  <c r="Q129" i="885"/>
  <c r="P129" i="885"/>
  <c r="O129" i="885"/>
  <c r="N129" i="885"/>
  <c r="M129" i="885"/>
  <c r="L129" i="885"/>
  <c r="E129" i="885"/>
  <c r="J129" i="885"/>
  <c r="Q128" i="885"/>
  <c r="P128" i="885"/>
  <c r="O128" i="885"/>
  <c r="N128" i="885"/>
  <c r="M128" i="885"/>
  <c r="L128" i="885"/>
  <c r="Q127" i="885"/>
  <c r="P127" i="885"/>
  <c r="O127" i="885"/>
  <c r="N127" i="885"/>
  <c r="M127" i="885"/>
  <c r="L127" i="885"/>
  <c r="Q126" i="885"/>
  <c r="P126" i="885"/>
  <c r="O126" i="885"/>
  <c r="N126" i="885"/>
  <c r="M126" i="885"/>
  <c r="L126" i="885"/>
  <c r="E126" i="885"/>
  <c r="Q125" i="885"/>
  <c r="P125" i="885"/>
  <c r="O125" i="885"/>
  <c r="N125" i="885"/>
  <c r="M125" i="885"/>
  <c r="L125" i="885"/>
  <c r="Q124" i="885"/>
  <c r="P124" i="885"/>
  <c r="O124" i="885"/>
  <c r="N124" i="885"/>
  <c r="M124" i="885"/>
  <c r="L124" i="885"/>
  <c r="G124" i="885"/>
  <c r="Q123" i="885"/>
  <c r="P123" i="885"/>
  <c r="O123" i="885"/>
  <c r="N123" i="885"/>
  <c r="M123" i="885"/>
  <c r="L123" i="885"/>
  <c r="Q122" i="885"/>
  <c r="J122" i="885"/>
  <c r="P122" i="885"/>
  <c r="O122" i="885"/>
  <c r="N122" i="885"/>
  <c r="M122" i="885"/>
  <c r="L122" i="885"/>
  <c r="E122" i="885"/>
  <c r="Q121" i="885"/>
  <c r="J121" i="885"/>
  <c r="P121" i="885"/>
  <c r="O121" i="885"/>
  <c r="N121" i="885"/>
  <c r="M121" i="885"/>
  <c r="L121" i="885"/>
  <c r="E121" i="885"/>
  <c r="Q120" i="885"/>
  <c r="J120" i="885"/>
  <c r="P120" i="885"/>
  <c r="O120" i="885"/>
  <c r="N120" i="885"/>
  <c r="G120" i="885"/>
  <c r="M120" i="885"/>
  <c r="L120" i="885"/>
  <c r="Q119" i="885"/>
  <c r="P119" i="885"/>
  <c r="O119" i="885"/>
  <c r="N119" i="885"/>
  <c r="M119" i="885"/>
  <c r="L119" i="885"/>
  <c r="Q118" i="885"/>
  <c r="P118" i="885"/>
  <c r="O118" i="885"/>
  <c r="N118" i="885"/>
  <c r="M118" i="885"/>
  <c r="L118" i="885"/>
  <c r="Q117" i="885"/>
  <c r="J117" i="885"/>
  <c r="P117" i="885"/>
  <c r="O117" i="885"/>
  <c r="N117" i="885"/>
  <c r="M117" i="885"/>
  <c r="L117" i="885"/>
  <c r="E117" i="885"/>
  <c r="Q116" i="885"/>
  <c r="J116" i="885"/>
  <c r="P116" i="885"/>
  <c r="O116" i="885"/>
  <c r="N116" i="885"/>
  <c r="G116" i="885"/>
  <c r="M116" i="885"/>
  <c r="L116" i="885"/>
  <c r="Q115" i="885"/>
  <c r="P115" i="885"/>
  <c r="O115" i="885"/>
  <c r="N115" i="885"/>
  <c r="M115" i="885"/>
  <c r="L115" i="885"/>
  <c r="Q114" i="885"/>
  <c r="P114" i="885"/>
  <c r="O114" i="885"/>
  <c r="N114" i="885"/>
  <c r="M114" i="885"/>
  <c r="L114" i="885"/>
  <c r="Q113" i="885"/>
  <c r="J113" i="885"/>
  <c r="P113" i="885"/>
  <c r="O113" i="885"/>
  <c r="N113" i="885"/>
  <c r="M113" i="885"/>
  <c r="L113" i="885"/>
  <c r="E113" i="885"/>
  <c r="Q112" i="885"/>
  <c r="P112" i="885"/>
  <c r="O112" i="885"/>
  <c r="N112" i="885"/>
  <c r="G112" i="885"/>
  <c r="M112" i="885"/>
  <c r="L112" i="885"/>
  <c r="J112" i="885"/>
  <c r="Q111" i="885"/>
  <c r="P111" i="885"/>
  <c r="O111" i="885"/>
  <c r="N111" i="885"/>
  <c r="M111" i="885"/>
  <c r="L111" i="885"/>
  <c r="Q110" i="885"/>
  <c r="P110" i="885"/>
  <c r="O110" i="885"/>
  <c r="N110" i="885"/>
  <c r="M110" i="885"/>
  <c r="L110" i="885"/>
  <c r="Q109" i="885"/>
  <c r="P109" i="885"/>
  <c r="O109" i="885"/>
  <c r="N109" i="885"/>
  <c r="M109" i="885"/>
  <c r="L109" i="885"/>
  <c r="Q108" i="885"/>
  <c r="P108" i="885"/>
  <c r="O108" i="885"/>
  <c r="N108" i="885"/>
  <c r="M108" i="885"/>
  <c r="L108" i="885"/>
  <c r="E108" i="885"/>
  <c r="Q107" i="885"/>
  <c r="P107" i="885"/>
  <c r="O107" i="885"/>
  <c r="N107" i="885"/>
  <c r="M107" i="885"/>
  <c r="L107" i="885"/>
  <c r="E107" i="885"/>
  <c r="J107" i="885"/>
  <c r="Q106" i="885"/>
  <c r="P106" i="885"/>
  <c r="O106" i="885"/>
  <c r="N106" i="885"/>
  <c r="M106" i="885"/>
  <c r="L106" i="885"/>
  <c r="G106" i="885"/>
  <c r="Q105" i="885"/>
  <c r="P105" i="885"/>
  <c r="O105" i="885"/>
  <c r="N105" i="885"/>
  <c r="M105" i="885"/>
  <c r="L105" i="885"/>
  <c r="Q104" i="885"/>
  <c r="P104" i="885"/>
  <c r="O104" i="885"/>
  <c r="N104" i="885"/>
  <c r="M104" i="885"/>
  <c r="L104" i="885"/>
  <c r="Q103" i="885"/>
  <c r="P103" i="885"/>
  <c r="O103" i="885"/>
  <c r="N103" i="885"/>
  <c r="M103" i="885"/>
  <c r="L103" i="885"/>
  <c r="Q102" i="885"/>
  <c r="P102" i="885"/>
  <c r="O102" i="885"/>
  <c r="N102" i="885"/>
  <c r="M102" i="885"/>
  <c r="L102" i="885"/>
  <c r="Q101" i="885"/>
  <c r="P101" i="885"/>
  <c r="O101" i="885"/>
  <c r="N101" i="885"/>
  <c r="M101" i="885"/>
  <c r="L101" i="885"/>
  <c r="Q100" i="885"/>
  <c r="P100" i="885"/>
  <c r="O100" i="885"/>
  <c r="N100" i="885"/>
  <c r="M100" i="885"/>
  <c r="L100" i="885"/>
  <c r="Q99" i="885"/>
  <c r="P99" i="885"/>
  <c r="O99" i="885"/>
  <c r="N99" i="885"/>
  <c r="M99" i="885"/>
  <c r="L99" i="885"/>
  <c r="J99" i="885"/>
  <c r="E99" i="885"/>
  <c r="Q98" i="885"/>
  <c r="P98" i="885"/>
  <c r="O98" i="885"/>
  <c r="G98" i="885"/>
  <c r="N98" i="885"/>
  <c r="M98" i="885"/>
  <c r="L98" i="885"/>
  <c r="E98" i="885"/>
  <c r="J98" i="885"/>
  <c r="Q97" i="885"/>
  <c r="P97" i="885"/>
  <c r="O97" i="885"/>
  <c r="N97" i="885"/>
  <c r="M97" i="885"/>
  <c r="L97" i="885"/>
  <c r="Q96" i="885"/>
  <c r="P96" i="885"/>
  <c r="O96" i="885"/>
  <c r="N96" i="885"/>
  <c r="M96" i="885"/>
  <c r="L96" i="885"/>
  <c r="J96" i="885"/>
  <c r="E96" i="885"/>
  <c r="Q95" i="885"/>
  <c r="P95" i="885"/>
  <c r="O95" i="885"/>
  <c r="N95" i="885"/>
  <c r="M95" i="885"/>
  <c r="L95" i="885"/>
  <c r="E95" i="885"/>
  <c r="Q94" i="885"/>
  <c r="P94" i="885"/>
  <c r="O94" i="885"/>
  <c r="N94" i="885"/>
  <c r="M94" i="885"/>
  <c r="L94" i="885"/>
  <c r="Q93" i="885"/>
  <c r="P93" i="885"/>
  <c r="O93" i="885"/>
  <c r="N93" i="885"/>
  <c r="M93" i="885"/>
  <c r="L93" i="885"/>
  <c r="Q92" i="885"/>
  <c r="P92" i="885"/>
  <c r="O92" i="885"/>
  <c r="N92" i="885"/>
  <c r="M92" i="885"/>
  <c r="L92" i="885"/>
  <c r="Q91" i="885"/>
  <c r="P91" i="885"/>
  <c r="O91" i="885"/>
  <c r="N91" i="885"/>
  <c r="M91" i="885"/>
  <c r="L91" i="885"/>
  <c r="E91" i="885"/>
  <c r="Q90" i="885"/>
  <c r="J90" i="885"/>
  <c r="P90" i="885"/>
  <c r="O90" i="885"/>
  <c r="N90" i="885"/>
  <c r="G90" i="885"/>
  <c r="M90" i="885"/>
  <c r="L90" i="885"/>
  <c r="E90" i="885"/>
  <c r="Q89" i="885"/>
  <c r="P89" i="885"/>
  <c r="O89" i="885"/>
  <c r="N89" i="885"/>
  <c r="M89" i="885"/>
  <c r="L89" i="885"/>
  <c r="Q88" i="885"/>
  <c r="J88" i="885"/>
  <c r="P88" i="885"/>
  <c r="O88" i="885"/>
  <c r="N88" i="885"/>
  <c r="M88" i="885"/>
  <c r="L88" i="885"/>
  <c r="E88" i="885"/>
  <c r="Q87" i="885"/>
  <c r="P87" i="885"/>
  <c r="O87" i="885"/>
  <c r="N87" i="885"/>
  <c r="M87" i="885"/>
  <c r="L87" i="885"/>
  <c r="E87" i="885"/>
  <c r="Q86" i="885"/>
  <c r="P86" i="885"/>
  <c r="O86" i="885"/>
  <c r="N86" i="885"/>
  <c r="M86" i="885"/>
  <c r="L86" i="885"/>
  <c r="Q85" i="885"/>
  <c r="P85" i="885"/>
  <c r="O85" i="885"/>
  <c r="N85" i="885"/>
  <c r="M85" i="885"/>
  <c r="L85" i="885"/>
  <c r="F85" i="885"/>
  <c r="Q84" i="885"/>
  <c r="P84" i="885"/>
  <c r="O84" i="885"/>
  <c r="N84" i="885"/>
  <c r="M84" i="885"/>
  <c r="L84" i="885"/>
  <c r="Q83" i="885"/>
  <c r="P83" i="885"/>
  <c r="O83" i="885"/>
  <c r="N83" i="885"/>
  <c r="M83" i="885"/>
  <c r="L83" i="885"/>
  <c r="J83" i="885"/>
  <c r="E83" i="885"/>
  <c r="Q82" i="885"/>
  <c r="P82" i="885"/>
  <c r="O82" i="885"/>
  <c r="G82" i="885"/>
  <c r="N82" i="885"/>
  <c r="M82" i="885"/>
  <c r="L82" i="885"/>
  <c r="E82" i="885"/>
  <c r="Q81" i="885"/>
  <c r="P81" i="885"/>
  <c r="O81" i="885"/>
  <c r="N81" i="885"/>
  <c r="M81" i="885"/>
  <c r="L81" i="885"/>
  <c r="Q80" i="885"/>
  <c r="P80" i="885"/>
  <c r="O80" i="885"/>
  <c r="N80" i="885"/>
  <c r="M80" i="885"/>
  <c r="L80" i="885"/>
  <c r="Q79" i="885"/>
  <c r="P79" i="885"/>
  <c r="O79" i="885"/>
  <c r="N79" i="885"/>
  <c r="M79" i="885"/>
  <c r="L79" i="885"/>
  <c r="Q78" i="885"/>
  <c r="P78" i="885"/>
  <c r="O78" i="885"/>
  <c r="N78" i="885"/>
  <c r="M78" i="885"/>
  <c r="L78" i="885"/>
  <c r="Q77" i="885"/>
  <c r="P77" i="885"/>
  <c r="O77" i="885"/>
  <c r="N77" i="885"/>
  <c r="M77" i="885"/>
  <c r="L77" i="885"/>
  <c r="Q76" i="885"/>
  <c r="P76" i="885"/>
  <c r="O76" i="885"/>
  <c r="N76" i="885"/>
  <c r="G76" i="885"/>
  <c r="M76" i="885"/>
  <c r="L76" i="885"/>
  <c r="Q75" i="885"/>
  <c r="P75" i="885"/>
  <c r="O75" i="885"/>
  <c r="N75" i="885"/>
  <c r="M75" i="885"/>
  <c r="L75" i="885"/>
  <c r="Q74" i="885"/>
  <c r="P74" i="885"/>
  <c r="O74" i="885"/>
  <c r="N74" i="885"/>
  <c r="G74" i="885"/>
  <c r="M74" i="885"/>
  <c r="L74" i="885"/>
  <c r="Q73" i="885"/>
  <c r="J73" i="885"/>
  <c r="P73" i="885"/>
  <c r="O73" i="885"/>
  <c r="N73" i="885"/>
  <c r="M73" i="885"/>
  <c r="L73" i="885"/>
  <c r="Q72" i="885"/>
  <c r="P72" i="885"/>
  <c r="O72" i="885"/>
  <c r="N72" i="885"/>
  <c r="M72" i="885"/>
  <c r="L72" i="885"/>
  <c r="G72" i="885"/>
  <c r="Q71" i="885"/>
  <c r="P71" i="885"/>
  <c r="O71" i="885"/>
  <c r="N71" i="885"/>
  <c r="M71" i="885"/>
  <c r="L71" i="885"/>
  <c r="Q70" i="885"/>
  <c r="P70" i="885"/>
  <c r="O70" i="885"/>
  <c r="N70" i="885"/>
  <c r="M70" i="885"/>
  <c r="L70" i="885"/>
  <c r="Q69" i="885"/>
  <c r="P69" i="885"/>
  <c r="O69" i="885"/>
  <c r="N69" i="885"/>
  <c r="M69" i="885"/>
  <c r="L69" i="885"/>
  <c r="J69" i="885"/>
  <c r="Q68" i="885"/>
  <c r="P68" i="885"/>
  <c r="O68" i="885"/>
  <c r="N68" i="885"/>
  <c r="G68" i="885"/>
  <c r="M68" i="885"/>
  <c r="L68" i="885"/>
  <c r="Q67" i="885"/>
  <c r="J67" i="885"/>
  <c r="P67" i="885"/>
  <c r="O67" i="885"/>
  <c r="N67" i="885"/>
  <c r="G67" i="885"/>
  <c r="M67" i="885"/>
  <c r="L67" i="885"/>
  <c r="Q66" i="885"/>
  <c r="P66" i="885"/>
  <c r="O66" i="885"/>
  <c r="N66" i="885"/>
  <c r="M66" i="885"/>
  <c r="L66" i="885"/>
  <c r="G66" i="885"/>
  <c r="Q65" i="885"/>
  <c r="J65" i="885"/>
  <c r="P65" i="885"/>
  <c r="O65" i="885"/>
  <c r="N65" i="885"/>
  <c r="M65" i="885"/>
  <c r="F65" i="885"/>
  <c r="L65" i="885"/>
  <c r="Q64" i="885"/>
  <c r="P64" i="885"/>
  <c r="O64" i="885"/>
  <c r="N64" i="885"/>
  <c r="M64" i="885"/>
  <c r="L64" i="885"/>
  <c r="G64" i="885"/>
  <c r="Q63" i="885"/>
  <c r="P63" i="885"/>
  <c r="O63" i="885"/>
  <c r="N63" i="885"/>
  <c r="M63" i="885"/>
  <c r="L63" i="885"/>
  <c r="G63" i="885"/>
  <c r="Q62" i="885"/>
  <c r="P62" i="885"/>
  <c r="O62" i="885"/>
  <c r="N62" i="885"/>
  <c r="M62" i="885"/>
  <c r="L62" i="885"/>
  <c r="Q61" i="885"/>
  <c r="J61" i="885"/>
  <c r="P61" i="885"/>
  <c r="O61" i="885"/>
  <c r="N61" i="885"/>
  <c r="M61" i="885"/>
  <c r="F61" i="885"/>
  <c r="L61" i="885"/>
  <c r="Q60" i="885"/>
  <c r="P60" i="885"/>
  <c r="O60" i="885"/>
  <c r="N60" i="885"/>
  <c r="M60" i="885"/>
  <c r="L60" i="885"/>
  <c r="G60" i="885"/>
  <c r="Q59" i="885"/>
  <c r="J59" i="885"/>
  <c r="P59" i="885"/>
  <c r="O59" i="885"/>
  <c r="N59" i="885"/>
  <c r="G59" i="885"/>
  <c r="M59" i="885"/>
  <c r="L59" i="885"/>
  <c r="Q58" i="885"/>
  <c r="P58" i="885"/>
  <c r="O58" i="885"/>
  <c r="N58" i="885"/>
  <c r="M58" i="885"/>
  <c r="L58" i="885"/>
  <c r="G58" i="885"/>
  <c r="Q57" i="885"/>
  <c r="P57" i="885"/>
  <c r="O57" i="885"/>
  <c r="N57" i="885"/>
  <c r="M57" i="885"/>
  <c r="L57" i="885"/>
  <c r="Q56" i="885"/>
  <c r="P56" i="885"/>
  <c r="O56" i="885"/>
  <c r="G56" i="885"/>
  <c r="N56" i="885"/>
  <c r="M56" i="885"/>
  <c r="L56" i="885"/>
  <c r="Q55" i="885"/>
  <c r="P55" i="885"/>
  <c r="O55" i="885"/>
  <c r="N55" i="885"/>
  <c r="M55" i="885"/>
  <c r="L55" i="885"/>
  <c r="Q54" i="885"/>
  <c r="P54" i="885"/>
  <c r="O54" i="885"/>
  <c r="G54" i="885"/>
  <c r="N54" i="885"/>
  <c r="M54" i="885"/>
  <c r="L54" i="885"/>
  <c r="J54" i="885"/>
  <c r="Q53" i="885"/>
  <c r="P53" i="885"/>
  <c r="O53" i="885"/>
  <c r="N53" i="885"/>
  <c r="M53" i="885"/>
  <c r="L53" i="885"/>
  <c r="J53" i="885"/>
  <c r="Q52" i="885"/>
  <c r="P52" i="885"/>
  <c r="O52" i="885"/>
  <c r="N52" i="885"/>
  <c r="G52" i="885"/>
  <c r="M52" i="885"/>
  <c r="L52" i="885"/>
  <c r="Q51" i="885"/>
  <c r="J51" i="885"/>
  <c r="P51" i="885"/>
  <c r="O51" i="885"/>
  <c r="N51" i="885"/>
  <c r="G51" i="885"/>
  <c r="M51" i="885"/>
  <c r="L51" i="885"/>
  <c r="Q50" i="885"/>
  <c r="J50" i="885"/>
  <c r="P50" i="885"/>
  <c r="O50" i="885"/>
  <c r="N50" i="885"/>
  <c r="G50" i="885"/>
  <c r="M50" i="885"/>
  <c r="L50" i="885"/>
  <c r="Q49" i="885"/>
  <c r="J49" i="885"/>
  <c r="P49" i="885"/>
  <c r="O49" i="885"/>
  <c r="N49" i="885"/>
  <c r="M49" i="885"/>
  <c r="F49" i="885"/>
  <c r="L49" i="885"/>
  <c r="Q48" i="885"/>
  <c r="P48" i="885"/>
  <c r="O48" i="885"/>
  <c r="N48" i="885"/>
  <c r="M48" i="885"/>
  <c r="F48" i="885"/>
  <c r="L48" i="885"/>
  <c r="G48" i="885"/>
  <c r="Q47" i="885"/>
  <c r="P47" i="885"/>
  <c r="O47" i="885"/>
  <c r="N47" i="885"/>
  <c r="G47" i="885"/>
  <c r="M47" i="885"/>
  <c r="L47" i="885"/>
  <c r="Q46" i="885"/>
  <c r="P46" i="885"/>
  <c r="O46" i="885"/>
  <c r="N46" i="885"/>
  <c r="M46" i="885"/>
  <c r="L46" i="885"/>
  <c r="Q45" i="885"/>
  <c r="P45" i="885"/>
  <c r="O45" i="885"/>
  <c r="N45" i="885"/>
  <c r="M45" i="885"/>
  <c r="L45" i="885"/>
  <c r="Q44" i="885"/>
  <c r="P44" i="885"/>
  <c r="O44" i="885"/>
  <c r="N44" i="885"/>
  <c r="M44" i="885"/>
  <c r="L44" i="885"/>
  <c r="Q43" i="885"/>
  <c r="P43" i="885"/>
  <c r="O43" i="885"/>
  <c r="N43" i="885"/>
  <c r="M43" i="885"/>
  <c r="L43" i="885"/>
  <c r="J43" i="885"/>
  <c r="G43" i="885"/>
  <c r="Q42" i="885"/>
  <c r="P42" i="885"/>
  <c r="O42" i="885"/>
  <c r="N42" i="885"/>
  <c r="G42" i="885"/>
  <c r="M42" i="885"/>
  <c r="L42" i="885"/>
  <c r="Q41" i="885"/>
  <c r="P41" i="885"/>
  <c r="O41" i="885"/>
  <c r="N41" i="885"/>
  <c r="G41" i="885"/>
  <c r="M41" i="885"/>
  <c r="L41" i="885"/>
  <c r="Q40" i="885"/>
  <c r="P40" i="885"/>
  <c r="O40" i="885"/>
  <c r="N40" i="885"/>
  <c r="G40" i="885"/>
  <c r="M40" i="885"/>
  <c r="L40" i="885"/>
  <c r="Q39" i="885"/>
  <c r="P39" i="885"/>
  <c r="O39" i="885"/>
  <c r="N39" i="885"/>
  <c r="M39" i="885"/>
  <c r="L39" i="885"/>
  <c r="Q38" i="885"/>
  <c r="P38" i="885"/>
  <c r="O38" i="885"/>
  <c r="N38" i="885"/>
  <c r="G38" i="885"/>
  <c r="M38" i="885"/>
  <c r="L38" i="885"/>
  <c r="Q37" i="885"/>
  <c r="P37" i="885"/>
  <c r="O37" i="885"/>
  <c r="N37" i="885"/>
  <c r="M37" i="885"/>
  <c r="L37" i="885"/>
  <c r="Q36" i="885"/>
  <c r="P36" i="885"/>
  <c r="O36" i="885"/>
  <c r="N36" i="885"/>
  <c r="G36" i="885"/>
  <c r="M36" i="885"/>
  <c r="L36" i="885"/>
  <c r="Q35" i="885"/>
  <c r="P35" i="885"/>
  <c r="O35" i="885"/>
  <c r="N35" i="885"/>
  <c r="M35" i="885"/>
  <c r="L35" i="885"/>
  <c r="Q34" i="885"/>
  <c r="P34" i="885"/>
  <c r="O34" i="885"/>
  <c r="N34" i="885"/>
  <c r="M34" i="885"/>
  <c r="L34" i="885"/>
  <c r="G34" i="885"/>
  <c r="Q33" i="885"/>
  <c r="P33" i="885"/>
  <c r="O33" i="885"/>
  <c r="N33" i="885"/>
  <c r="M33" i="885"/>
  <c r="L33" i="885"/>
  <c r="Q32" i="885"/>
  <c r="P32" i="885"/>
  <c r="O32" i="885"/>
  <c r="N32" i="885"/>
  <c r="M32" i="885"/>
  <c r="L32" i="885"/>
  <c r="G32" i="885"/>
  <c r="Q31" i="885"/>
  <c r="P31" i="885"/>
  <c r="O31" i="885"/>
  <c r="N31" i="885"/>
  <c r="M31" i="885"/>
  <c r="L31" i="885"/>
  <c r="Q30" i="885"/>
  <c r="P30" i="885"/>
  <c r="O30" i="885"/>
  <c r="N30" i="885"/>
  <c r="G30" i="885"/>
  <c r="M30" i="885"/>
  <c r="L30" i="885"/>
  <c r="Q29" i="885"/>
  <c r="P29" i="885"/>
  <c r="O29" i="885"/>
  <c r="N29" i="885"/>
  <c r="M29" i="885"/>
  <c r="L29" i="885"/>
  <c r="Q28" i="885"/>
  <c r="P28" i="885"/>
  <c r="O28" i="885"/>
  <c r="N28" i="885"/>
  <c r="G28" i="885"/>
  <c r="M28" i="885"/>
  <c r="L28" i="885"/>
  <c r="Q27" i="885"/>
  <c r="P27" i="885"/>
  <c r="O27" i="885"/>
  <c r="N27" i="885"/>
  <c r="M27" i="885"/>
  <c r="L27" i="885"/>
  <c r="Q26" i="885"/>
  <c r="P26" i="885"/>
  <c r="O26" i="885"/>
  <c r="N26" i="885"/>
  <c r="M26" i="885"/>
  <c r="L26" i="885"/>
  <c r="G26" i="885"/>
  <c r="Q25" i="885"/>
  <c r="P25" i="885"/>
  <c r="O25" i="885"/>
  <c r="N25" i="885"/>
  <c r="M25" i="885"/>
  <c r="L25" i="885"/>
  <c r="Q24" i="885"/>
  <c r="P24" i="885"/>
  <c r="O24" i="885"/>
  <c r="N24" i="885"/>
  <c r="M24" i="885"/>
  <c r="L24" i="885"/>
  <c r="G24" i="885"/>
  <c r="Q23" i="885"/>
  <c r="P23" i="885"/>
  <c r="O23" i="885"/>
  <c r="N23" i="885"/>
  <c r="M23" i="885"/>
  <c r="L23" i="885"/>
  <c r="Q22" i="885"/>
  <c r="P22" i="885"/>
  <c r="O22" i="885"/>
  <c r="N22" i="885"/>
  <c r="G22" i="885"/>
  <c r="M22" i="885"/>
  <c r="L22" i="885"/>
  <c r="Q21" i="885"/>
  <c r="P21" i="885"/>
  <c r="O21" i="885"/>
  <c r="N21" i="885"/>
  <c r="M21" i="885"/>
  <c r="L21" i="885"/>
  <c r="Q20" i="885"/>
  <c r="P20" i="885"/>
  <c r="O20" i="885"/>
  <c r="N20" i="885"/>
  <c r="G20" i="885"/>
  <c r="M20" i="885"/>
  <c r="L20" i="885"/>
  <c r="Q19" i="885"/>
  <c r="P19" i="885"/>
  <c r="O19" i="885"/>
  <c r="N19" i="885"/>
  <c r="M19" i="885"/>
  <c r="L19" i="885"/>
  <c r="Q18" i="885"/>
  <c r="P18" i="885"/>
  <c r="O18" i="885"/>
  <c r="N18" i="885"/>
  <c r="M18" i="885"/>
  <c r="L18" i="885"/>
  <c r="Q17" i="885"/>
  <c r="P17" i="885"/>
  <c r="O17" i="885"/>
  <c r="N17" i="885"/>
  <c r="M17" i="885"/>
  <c r="L17" i="885"/>
  <c r="Q16" i="885"/>
  <c r="P16" i="885"/>
  <c r="O16" i="885"/>
  <c r="N16" i="885"/>
  <c r="M16" i="885"/>
  <c r="L16" i="885"/>
  <c r="G16" i="885"/>
  <c r="Q15" i="885"/>
  <c r="P15" i="885"/>
  <c r="O15" i="885"/>
  <c r="N15" i="885"/>
  <c r="M15" i="885"/>
  <c r="L15" i="885"/>
  <c r="Q14" i="885"/>
  <c r="P14" i="885"/>
  <c r="O14" i="885"/>
  <c r="N14" i="885"/>
  <c r="M14" i="885"/>
  <c r="F57" i="885"/>
  <c r="L14" i="885"/>
  <c r="G14" i="885"/>
  <c r="C9" i="885"/>
  <c r="M7" i="885"/>
  <c r="V5" i="885"/>
  <c r="V4" i="885"/>
  <c r="S1" i="885"/>
  <c r="Q203" i="884"/>
  <c r="P203" i="884"/>
  <c r="O203" i="884"/>
  <c r="N203" i="884"/>
  <c r="M203" i="884"/>
  <c r="L203" i="884"/>
  <c r="I203" i="884"/>
  <c r="H203" i="884"/>
  <c r="J203" i="884"/>
  <c r="G203" i="884"/>
  <c r="F203" i="884"/>
  <c r="E203" i="884"/>
  <c r="Q202" i="884"/>
  <c r="P202" i="884"/>
  <c r="O202" i="884"/>
  <c r="N202" i="884"/>
  <c r="M202" i="884"/>
  <c r="L202" i="884"/>
  <c r="I202" i="884"/>
  <c r="H202" i="884"/>
  <c r="J202" i="884"/>
  <c r="G202" i="884"/>
  <c r="F202" i="884"/>
  <c r="E202" i="884"/>
  <c r="Q201" i="884"/>
  <c r="P201" i="884"/>
  <c r="O201" i="884"/>
  <c r="N201" i="884"/>
  <c r="M201" i="884"/>
  <c r="L201" i="884"/>
  <c r="I201" i="884"/>
  <c r="H201" i="884"/>
  <c r="J201" i="884"/>
  <c r="G201" i="884"/>
  <c r="F201" i="884"/>
  <c r="E201" i="884"/>
  <c r="Q200" i="884"/>
  <c r="P200" i="884"/>
  <c r="O200" i="884"/>
  <c r="N200" i="884"/>
  <c r="M200" i="884"/>
  <c r="L200" i="884"/>
  <c r="I200" i="884"/>
  <c r="H200" i="884"/>
  <c r="J200" i="884"/>
  <c r="G200" i="884"/>
  <c r="F200" i="884"/>
  <c r="E200" i="884"/>
  <c r="Q199" i="884"/>
  <c r="P199" i="884"/>
  <c r="O199" i="884"/>
  <c r="N199" i="884"/>
  <c r="M199" i="884"/>
  <c r="L199" i="884"/>
  <c r="I199" i="884"/>
  <c r="H199" i="884"/>
  <c r="J199" i="884"/>
  <c r="G199" i="884"/>
  <c r="F199" i="884"/>
  <c r="E199" i="884"/>
  <c r="Q198" i="884"/>
  <c r="P198" i="884"/>
  <c r="O198" i="884"/>
  <c r="N198" i="884"/>
  <c r="M198" i="884"/>
  <c r="L198" i="884"/>
  <c r="I198" i="884"/>
  <c r="H198" i="884"/>
  <c r="J198" i="884"/>
  <c r="G198" i="884"/>
  <c r="F198" i="884"/>
  <c r="E198" i="884"/>
  <c r="Q197" i="884"/>
  <c r="P197" i="884"/>
  <c r="O197" i="884"/>
  <c r="N197" i="884"/>
  <c r="M197" i="884"/>
  <c r="L197" i="884"/>
  <c r="I197" i="884"/>
  <c r="H197" i="884"/>
  <c r="J197" i="884"/>
  <c r="G197" i="884"/>
  <c r="F197" i="884"/>
  <c r="E197" i="884"/>
  <c r="Q196" i="884"/>
  <c r="P196" i="884"/>
  <c r="O196" i="884"/>
  <c r="N196" i="884"/>
  <c r="M196" i="884"/>
  <c r="L196" i="884"/>
  <c r="I196" i="884"/>
  <c r="H196" i="884"/>
  <c r="J196" i="884"/>
  <c r="G196" i="884"/>
  <c r="F196" i="884"/>
  <c r="E196" i="884"/>
  <c r="Q195" i="884"/>
  <c r="P195" i="884"/>
  <c r="O195" i="884"/>
  <c r="N195" i="884"/>
  <c r="M195" i="884"/>
  <c r="L195" i="884"/>
  <c r="I195" i="884"/>
  <c r="H195" i="884"/>
  <c r="J195" i="884"/>
  <c r="G195" i="884"/>
  <c r="F195" i="884"/>
  <c r="E195" i="884"/>
  <c r="Q194" i="884"/>
  <c r="P194" i="884"/>
  <c r="O194" i="884"/>
  <c r="N194" i="884"/>
  <c r="M194" i="884"/>
  <c r="L194" i="884"/>
  <c r="I194" i="884"/>
  <c r="H194" i="884"/>
  <c r="J194" i="884"/>
  <c r="G194" i="884"/>
  <c r="F194" i="884"/>
  <c r="E194" i="884"/>
  <c r="Q193" i="884"/>
  <c r="P193" i="884"/>
  <c r="O193" i="884"/>
  <c r="N193" i="884"/>
  <c r="M193" i="884"/>
  <c r="L193" i="884"/>
  <c r="I193" i="884"/>
  <c r="H193" i="884"/>
  <c r="J193" i="884"/>
  <c r="G193" i="884"/>
  <c r="F193" i="884"/>
  <c r="E193" i="884"/>
  <c r="Q192" i="884"/>
  <c r="P192" i="884"/>
  <c r="O192" i="884"/>
  <c r="N192" i="884"/>
  <c r="M192" i="884"/>
  <c r="L192" i="884"/>
  <c r="I192" i="884"/>
  <c r="H192" i="884"/>
  <c r="J192" i="884"/>
  <c r="G192" i="884"/>
  <c r="F192" i="884"/>
  <c r="E192" i="884"/>
  <c r="Q191" i="884"/>
  <c r="P191" i="884"/>
  <c r="O191" i="884"/>
  <c r="N191" i="884"/>
  <c r="M191" i="884"/>
  <c r="L191" i="884"/>
  <c r="I191" i="884"/>
  <c r="H191" i="884"/>
  <c r="J191" i="884"/>
  <c r="G191" i="884"/>
  <c r="F191" i="884"/>
  <c r="E191" i="884"/>
  <c r="Q190" i="884"/>
  <c r="P190" i="884"/>
  <c r="O190" i="884"/>
  <c r="N190" i="884"/>
  <c r="M190" i="884"/>
  <c r="L190" i="884"/>
  <c r="I190" i="884"/>
  <c r="H190" i="884"/>
  <c r="J190" i="884"/>
  <c r="G190" i="884"/>
  <c r="F190" i="884"/>
  <c r="E190" i="884"/>
  <c r="Q189" i="884"/>
  <c r="P189" i="884"/>
  <c r="O189" i="884"/>
  <c r="N189" i="884"/>
  <c r="M189" i="884"/>
  <c r="L189" i="884"/>
  <c r="I189" i="884"/>
  <c r="H189" i="884"/>
  <c r="J189" i="884"/>
  <c r="G189" i="884"/>
  <c r="F189" i="884"/>
  <c r="E189" i="884"/>
  <c r="Q188" i="884"/>
  <c r="P188" i="884"/>
  <c r="O188" i="884"/>
  <c r="N188" i="884"/>
  <c r="M188" i="884"/>
  <c r="L188" i="884"/>
  <c r="I188" i="884"/>
  <c r="H188" i="884"/>
  <c r="J188" i="884"/>
  <c r="G188" i="884"/>
  <c r="F188" i="884"/>
  <c r="E188" i="884"/>
  <c r="Q187" i="884"/>
  <c r="P187" i="884"/>
  <c r="O187" i="884"/>
  <c r="N187" i="884"/>
  <c r="M187" i="884"/>
  <c r="L187" i="884"/>
  <c r="I187" i="884"/>
  <c r="H187" i="884"/>
  <c r="J187" i="884"/>
  <c r="G187" i="884"/>
  <c r="F187" i="884"/>
  <c r="E187" i="884"/>
  <c r="Q186" i="884"/>
  <c r="P186" i="884"/>
  <c r="O186" i="884"/>
  <c r="N186" i="884"/>
  <c r="M186" i="884"/>
  <c r="L186" i="884"/>
  <c r="I186" i="884"/>
  <c r="H186" i="884"/>
  <c r="J186" i="884"/>
  <c r="G186" i="884"/>
  <c r="F186" i="884"/>
  <c r="E186" i="884"/>
  <c r="Q185" i="884"/>
  <c r="P185" i="884"/>
  <c r="O185" i="884"/>
  <c r="N185" i="884"/>
  <c r="M185" i="884"/>
  <c r="L185" i="884"/>
  <c r="I185" i="884"/>
  <c r="H185" i="884"/>
  <c r="J185" i="884"/>
  <c r="G185" i="884"/>
  <c r="F185" i="884"/>
  <c r="E185" i="884"/>
  <c r="Q184" i="884"/>
  <c r="P184" i="884"/>
  <c r="O184" i="884"/>
  <c r="N184" i="884"/>
  <c r="M184" i="884"/>
  <c r="L184" i="884"/>
  <c r="I184" i="884"/>
  <c r="H184" i="884"/>
  <c r="J184" i="884"/>
  <c r="G184" i="884"/>
  <c r="F184" i="884"/>
  <c r="E184" i="884"/>
  <c r="Q183" i="884"/>
  <c r="P183" i="884"/>
  <c r="O183" i="884"/>
  <c r="N183" i="884"/>
  <c r="M183" i="884"/>
  <c r="L183" i="884"/>
  <c r="I183" i="884"/>
  <c r="H183" i="884"/>
  <c r="J183" i="884"/>
  <c r="G183" i="884"/>
  <c r="F183" i="884"/>
  <c r="E183" i="884"/>
  <c r="Q182" i="884"/>
  <c r="P182" i="884"/>
  <c r="O182" i="884"/>
  <c r="N182" i="884"/>
  <c r="M182" i="884"/>
  <c r="L182" i="884"/>
  <c r="I182" i="884"/>
  <c r="H182" i="884"/>
  <c r="J182" i="884"/>
  <c r="G182" i="884"/>
  <c r="F182" i="884"/>
  <c r="E182" i="884"/>
  <c r="Q181" i="884"/>
  <c r="P181" i="884"/>
  <c r="O181" i="884"/>
  <c r="N181" i="884"/>
  <c r="M181" i="884"/>
  <c r="L181" i="884"/>
  <c r="I181" i="884"/>
  <c r="H181" i="884"/>
  <c r="J181" i="884"/>
  <c r="G181" i="884"/>
  <c r="F181" i="884"/>
  <c r="E181" i="884"/>
  <c r="Q180" i="884"/>
  <c r="P180" i="884"/>
  <c r="O180" i="884"/>
  <c r="N180" i="884"/>
  <c r="M180" i="884"/>
  <c r="L180" i="884"/>
  <c r="I180" i="884"/>
  <c r="H180" i="884"/>
  <c r="J180" i="884"/>
  <c r="G180" i="884"/>
  <c r="F180" i="884"/>
  <c r="E180" i="884"/>
  <c r="Q179" i="884"/>
  <c r="P179" i="884"/>
  <c r="O179" i="884"/>
  <c r="N179" i="884"/>
  <c r="M179" i="884"/>
  <c r="L179" i="884"/>
  <c r="I179" i="884"/>
  <c r="H179" i="884"/>
  <c r="J179" i="884"/>
  <c r="G179" i="884"/>
  <c r="F179" i="884"/>
  <c r="E179" i="884"/>
  <c r="Q178" i="884"/>
  <c r="P178" i="884"/>
  <c r="O178" i="884"/>
  <c r="N178" i="884"/>
  <c r="M178" i="884"/>
  <c r="L178" i="884"/>
  <c r="I178" i="884"/>
  <c r="H178" i="884"/>
  <c r="J178" i="884"/>
  <c r="G178" i="884"/>
  <c r="F178" i="884"/>
  <c r="E178" i="884"/>
  <c r="Q177" i="884"/>
  <c r="P177" i="884"/>
  <c r="O177" i="884"/>
  <c r="N177" i="884"/>
  <c r="M177" i="884"/>
  <c r="L177" i="884"/>
  <c r="I177" i="884"/>
  <c r="H177" i="884"/>
  <c r="J177" i="884"/>
  <c r="G177" i="884"/>
  <c r="F177" i="884"/>
  <c r="E177" i="884"/>
  <c r="Q176" i="884"/>
  <c r="P176" i="884"/>
  <c r="O176" i="884"/>
  <c r="N176" i="884"/>
  <c r="M176" i="884"/>
  <c r="L176" i="884"/>
  <c r="I176" i="884"/>
  <c r="H176" i="884"/>
  <c r="J176" i="884"/>
  <c r="G176" i="884"/>
  <c r="F176" i="884"/>
  <c r="E176" i="884"/>
  <c r="Q175" i="884"/>
  <c r="P175" i="884"/>
  <c r="O175" i="884"/>
  <c r="N175" i="884"/>
  <c r="M175" i="884"/>
  <c r="L175" i="884"/>
  <c r="I175" i="884"/>
  <c r="H175" i="884"/>
  <c r="J175" i="884"/>
  <c r="G175" i="884"/>
  <c r="F175" i="884"/>
  <c r="E175" i="884"/>
  <c r="Q174" i="884"/>
  <c r="P174" i="884"/>
  <c r="O174" i="884"/>
  <c r="N174" i="884"/>
  <c r="M174" i="884"/>
  <c r="L174" i="884"/>
  <c r="I174" i="884"/>
  <c r="J174" i="884"/>
  <c r="F174" i="884"/>
  <c r="Q173" i="884"/>
  <c r="P173" i="884"/>
  <c r="O173" i="884"/>
  <c r="N173" i="884"/>
  <c r="M173" i="884"/>
  <c r="L173" i="884"/>
  <c r="I173" i="884"/>
  <c r="H173" i="884"/>
  <c r="G173" i="884"/>
  <c r="F173" i="884"/>
  <c r="E173" i="884"/>
  <c r="Q172" i="884"/>
  <c r="P172" i="884"/>
  <c r="O172" i="884"/>
  <c r="N172" i="884"/>
  <c r="M172" i="884"/>
  <c r="L172" i="884"/>
  <c r="Q171" i="884"/>
  <c r="P171" i="884"/>
  <c r="O171" i="884"/>
  <c r="N171" i="884"/>
  <c r="M171" i="884"/>
  <c r="L171" i="884"/>
  <c r="I171" i="884"/>
  <c r="H171" i="884"/>
  <c r="J171" i="884"/>
  <c r="G171" i="884"/>
  <c r="F171" i="884"/>
  <c r="E171" i="884"/>
  <c r="Q170" i="884"/>
  <c r="P170" i="884"/>
  <c r="O170" i="884"/>
  <c r="N170" i="884"/>
  <c r="M170" i="884"/>
  <c r="L170" i="884"/>
  <c r="I170" i="884"/>
  <c r="J170" i="884"/>
  <c r="F170" i="884"/>
  <c r="Q169" i="884"/>
  <c r="P169" i="884"/>
  <c r="O169" i="884"/>
  <c r="N169" i="884"/>
  <c r="M169" i="884"/>
  <c r="L169" i="884"/>
  <c r="I169" i="884"/>
  <c r="H169" i="884"/>
  <c r="G169" i="884"/>
  <c r="F169" i="884"/>
  <c r="E169" i="884"/>
  <c r="Q168" i="884"/>
  <c r="P168" i="884"/>
  <c r="O168" i="884"/>
  <c r="N168" i="884"/>
  <c r="M168" i="884"/>
  <c r="L168" i="884"/>
  <c r="Q167" i="884"/>
  <c r="P167" i="884"/>
  <c r="O167" i="884"/>
  <c r="N167" i="884"/>
  <c r="M167" i="884"/>
  <c r="L167" i="884"/>
  <c r="I167" i="884"/>
  <c r="H167" i="884"/>
  <c r="J167" i="884"/>
  <c r="G167" i="884"/>
  <c r="F167" i="884"/>
  <c r="E167" i="884"/>
  <c r="Q166" i="884"/>
  <c r="P166" i="884"/>
  <c r="O166" i="884"/>
  <c r="N166" i="884"/>
  <c r="M166" i="884"/>
  <c r="L166" i="884"/>
  <c r="I166" i="884"/>
  <c r="J166" i="884"/>
  <c r="F166" i="884"/>
  <c r="Q165" i="884"/>
  <c r="P165" i="884"/>
  <c r="O165" i="884"/>
  <c r="N165" i="884"/>
  <c r="M165" i="884"/>
  <c r="L165" i="884"/>
  <c r="I165" i="884"/>
  <c r="H165" i="884"/>
  <c r="G165" i="884"/>
  <c r="F165" i="884"/>
  <c r="E165" i="884"/>
  <c r="Q164" i="884"/>
  <c r="P164" i="884"/>
  <c r="O164" i="884"/>
  <c r="N164" i="884"/>
  <c r="M164" i="884"/>
  <c r="L164" i="884"/>
  <c r="Q163" i="884"/>
  <c r="P163" i="884"/>
  <c r="O163" i="884"/>
  <c r="N163" i="884"/>
  <c r="M163" i="884"/>
  <c r="L163" i="884"/>
  <c r="I163" i="884"/>
  <c r="H163" i="884"/>
  <c r="J163" i="884"/>
  <c r="G163" i="884"/>
  <c r="F163" i="884"/>
  <c r="E163" i="884"/>
  <c r="Q162" i="884"/>
  <c r="P162" i="884"/>
  <c r="O162" i="884"/>
  <c r="N162" i="884"/>
  <c r="M162" i="884"/>
  <c r="L162" i="884"/>
  <c r="I162" i="884"/>
  <c r="J162" i="884"/>
  <c r="F162" i="884"/>
  <c r="Q161" i="884"/>
  <c r="P161" i="884"/>
  <c r="O161" i="884"/>
  <c r="N161" i="884"/>
  <c r="M161" i="884"/>
  <c r="L161" i="884"/>
  <c r="I161" i="884"/>
  <c r="H161" i="884"/>
  <c r="G161" i="884"/>
  <c r="F161" i="884"/>
  <c r="E161" i="884"/>
  <c r="Q160" i="884"/>
  <c r="P160" i="884"/>
  <c r="O160" i="884"/>
  <c r="N160" i="884"/>
  <c r="M160" i="884"/>
  <c r="L160" i="884"/>
  <c r="Q159" i="884"/>
  <c r="P159" i="884"/>
  <c r="O159" i="884"/>
  <c r="N159" i="884"/>
  <c r="M159" i="884"/>
  <c r="L159" i="884"/>
  <c r="I159" i="884"/>
  <c r="H159" i="884"/>
  <c r="J159" i="884"/>
  <c r="G159" i="884"/>
  <c r="F159" i="884"/>
  <c r="E159" i="884"/>
  <c r="Q158" i="884"/>
  <c r="P158" i="884"/>
  <c r="O158" i="884"/>
  <c r="N158" i="884"/>
  <c r="M158" i="884"/>
  <c r="L158" i="884"/>
  <c r="I158" i="884"/>
  <c r="J158" i="884"/>
  <c r="F158" i="884"/>
  <c r="Q157" i="884"/>
  <c r="P157" i="884"/>
  <c r="O157" i="884"/>
  <c r="N157" i="884"/>
  <c r="M157" i="884"/>
  <c r="L157" i="884"/>
  <c r="I157" i="884"/>
  <c r="H157" i="884"/>
  <c r="G157" i="884"/>
  <c r="F157" i="884"/>
  <c r="E157" i="884"/>
  <c r="Q156" i="884"/>
  <c r="P156" i="884"/>
  <c r="O156" i="884"/>
  <c r="N156" i="884"/>
  <c r="M156" i="884"/>
  <c r="L156" i="884"/>
  <c r="Q155" i="884"/>
  <c r="P155" i="884"/>
  <c r="O155" i="884"/>
  <c r="N155" i="884"/>
  <c r="M155" i="884"/>
  <c r="L155" i="884"/>
  <c r="I155" i="884"/>
  <c r="H155" i="884"/>
  <c r="J155" i="884"/>
  <c r="G155" i="884"/>
  <c r="F155" i="884"/>
  <c r="E155" i="884"/>
  <c r="Q154" i="884"/>
  <c r="P154" i="884"/>
  <c r="O154" i="884"/>
  <c r="N154" i="884"/>
  <c r="M154" i="884"/>
  <c r="L154" i="884"/>
  <c r="I154" i="884"/>
  <c r="J154" i="884"/>
  <c r="F154" i="884"/>
  <c r="Q153" i="884"/>
  <c r="P153" i="884"/>
  <c r="O153" i="884"/>
  <c r="N153" i="884"/>
  <c r="M153" i="884"/>
  <c r="L153" i="884"/>
  <c r="I153" i="884"/>
  <c r="H153" i="884"/>
  <c r="G153" i="884"/>
  <c r="F153" i="884"/>
  <c r="E153" i="884"/>
  <c r="Q152" i="884"/>
  <c r="P152" i="884"/>
  <c r="O152" i="884"/>
  <c r="N152" i="884"/>
  <c r="M152" i="884"/>
  <c r="L152" i="884"/>
  <c r="Q151" i="884"/>
  <c r="P151" i="884"/>
  <c r="O151" i="884"/>
  <c r="N151" i="884"/>
  <c r="M151" i="884"/>
  <c r="L151" i="884"/>
  <c r="I151" i="884"/>
  <c r="H151" i="884"/>
  <c r="J151" i="884"/>
  <c r="G151" i="884"/>
  <c r="F151" i="884"/>
  <c r="E151" i="884"/>
  <c r="Q150" i="884"/>
  <c r="P150" i="884"/>
  <c r="O150" i="884"/>
  <c r="N150" i="884"/>
  <c r="M150" i="884"/>
  <c r="L150" i="884"/>
  <c r="I150" i="884"/>
  <c r="J150" i="884"/>
  <c r="F150" i="884"/>
  <c r="Q149" i="884"/>
  <c r="P149" i="884"/>
  <c r="O149" i="884"/>
  <c r="N149" i="884"/>
  <c r="M149" i="884"/>
  <c r="L149" i="884"/>
  <c r="I149" i="884"/>
  <c r="H149" i="884"/>
  <c r="G149" i="884"/>
  <c r="F149" i="884"/>
  <c r="E149" i="884"/>
  <c r="Q148" i="884"/>
  <c r="P148" i="884"/>
  <c r="O148" i="884"/>
  <c r="N148" i="884"/>
  <c r="M148" i="884"/>
  <c r="L148" i="884"/>
  <c r="Q147" i="884"/>
  <c r="P147" i="884"/>
  <c r="O147" i="884"/>
  <c r="N147" i="884"/>
  <c r="M147" i="884"/>
  <c r="L147" i="884"/>
  <c r="I147" i="884"/>
  <c r="H147" i="884"/>
  <c r="J147" i="884"/>
  <c r="G147" i="884"/>
  <c r="F147" i="884"/>
  <c r="E147" i="884"/>
  <c r="Q146" i="884"/>
  <c r="P146" i="884"/>
  <c r="O146" i="884"/>
  <c r="N146" i="884"/>
  <c r="M146" i="884"/>
  <c r="L146" i="884"/>
  <c r="I146" i="884"/>
  <c r="J146" i="884"/>
  <c r="F146" i="884"/>
  <c r="Q145" i="884"/>
  <c r="P145" i="884"/>
  <c r="O145" i="884"/>
  <c r="N145" i="884"/>
  <c r="M145" i="884"/>
  <c r="L145" i="884"/>
  <c r="I145" i="884"/>
  <c r="H145" i="884"/>
  <c r="G145" i="884"/>
  <c r="F145" i="884"/>
  <c r="E145" i="884"/>
  <c r="Q144" i="884"/>
  <c r="P144" i="884"/>
  <c r="O144" i="884"/>
  <c r="N144" i="884"/>
  <c r="M144" i="884"/>
  <c r="L144" i="884"/>
  <c r="Q143" i="884"/>
  <c r="P143" i="884"/>
  <c r="O143" i="884"/>
  <c r="N143" i="884"/>
  <c r="M143" i="884"/>
  <c r="L143" i="884"/>
  <c r="Q142" i="884"/>
  <c r="P142" i="884"/>
  <c r="O142" i="884"/>
  <c r="N142" i="884"/>
  <c r="M142" i="884"/>
  <c r="L142" i="884"/>
  <c r="H142" i="884"/>
  <c r="I142" i="884"/>
  <c r="G142" i="884"/>
  <c r="F142" i="884"/>
  <c r="Q141" i="884"/>
  <c r="P141" i="884"/>
  <c r="O141" i="884"/>
  <c r="N141" i="884"/>
  <c r="M141" i="884"/>
  <c r="L141" i="884"/>
  <c r="I141" i="884"/>
  <c r="H141" i="884"/>
  <c r="F141" i="884"/>
  <c r="Q140" i="884"/>
  <c r="P140" i="884"/>
  <c r="O140" i="884"/>
  <c r="N140" i="884"/>
  <c r="M140" i="884"/>
  <c r="L140" i="884"/>
  <c r="H140" i="884"/>
  <c r="G140" i="884"/>
  <c r="F140" i="884"/>
  <c r="Q139" i="884"/>
  <c r="P139" i="884"/>
  <c r="O139" i="884"/>
  <c r="N139" i="884"/>
  <c r="M139" i="884"/>
  <c r="L139" i="884"/>
  <c r="H139" i="884"/>
  <c r="F139" i="884"/>
  <c r="Q138" i="884"/>
  <c r="P138" i="884"/>
  <c r="O138" i="884"/>
  <c r="N138" i="884"/>
  <c r="M138" i="884"/>
  <c r="L138" i="884"/>
  <c r="I138" i="884"/>
  <c r="H138" i="884"/>
  <c r="J138" i="884"/>
  <c r="G138" i="884"/>
  <c r="F138" i="884"/>
  <c r="E138" i="884"/>
  <c r="Q137" i="884"/>
  <c r="P137" i="884"/>
  <c r="O137" i="884"/>
  <c r="N137" i="884"/>
  <c r="M137" i="884"/>
  <c r="L137" i="884"/>
  <c r="G137" i="884"/>
  <c r="I137" i="884"/>
  <c r="Q136" i="884"/>
  <c r="P136" i="884"/>
  <c r="O136" i="884"/>
  <c r="N136" i="884"/>
  <c r="M136" i="884"/>
  <c r="L136" i="884"/>
  <c r="H136" i="884"/>
  <c r="G136" i="884"/>
  <c r="F136" i="884"/>
  <c r="Q135" i="884"/>
  <c r="P135" i="884"/>
  <c r="O135" i="884"/>
  <c r="N135" i="884"/>
  <c r="M135" i="884"/>
  <c r="L135" i="884"/>
  <c r="H135" i="884"/>
  <c r="F135" i="884"/>
  <c r="Q134" i="884"/>
  <c r="P134" i="884"/>
  <c r="O134" i="884"/>
  <c r="N134" i="884"/>
  <c r="M134" i="884"/>
  <c r="L134" i="884"/>
  <c r="H134" i="884"/>
  <c r="J134" i="884"/>
  <c r="I134" i="884"/>
  <c r="G134" i="884"/>
  <c r="F134" i="884"/>
  <c r="E134" i="884"/>
  <c r="Q133" i="884"/>
  <c r="P133" i="884"/>
  <c r="O133" i="884"/>
  <c r="N133" i="884"/>
  <c r="M133" i="884"/>
  <c r="L133" i="884"/>
  <c r="H133" i="884"/>
  <c r="I133" i="884"/>
  <c r="G133" i="884"/>
  <c r="F133" i="884"/>
  <c r="Q132" i="884"/>
  <c r="P132" i="884"/>
  <c r="O132" i="884"/>
  <c r="N132" i="884"/>
  <c r="M132" i="884"/>
  <c r="L132" i="884"/>
  <c r="G132" i="884"/>
  <c r="H132" i="884"/>
  <c r="F132" i="884"/>
  <c r="Q131" i="884"/>
  <c r="P131" i="884"/>
  <c r="O131" i="884"/>
  <c r="N131" i="884"/>
  <c r="M131" i="884"/>
  <c r="L131" i="884"/>
  <c r="H131" i="884"/>
  <c r="F131" i="884"/>
  <c r="Q130" i="884"/>
  <c r="P130" i="884"/>
  <c r="O130" i="884"/>
  <c r="N130" i="884"/>
  <c r="M130" i="884"/>
  <c r="L130" i="884"/>
  <c r="H130" i="884"/>
  <c r="J130" i="884"/>
  <c r="G130" i="884"/>
  <c r="E130" i="884"/>
  <c r="Q129" i="884"/>
  <c r="P129" i="884"/>
  <c r="O129" i="884"/>
  <c r="N129" i="884"/>
  <c r="M129" i="884"/>
  <c r="L129" i="884"/>
  <c r="H129" i="884"/>
  <c r="I129" i="884"/>
  <c r="F129" i="884"/>
  <c r="Q128" i="884"/>
  <c r="P128" i="884"/>
  <c r="O128" i="884"/>
  <c r="N128" i="884"/>
  <c r="M128" i="884"/>
  <c r="L128" i="884"/>
  <c r="Q127" i="884"/>
  <c r="P127" i="884"/>
  <c r="O127" i="884"/>
  <c r="N127" i="884"/>
  <c r="M127" i="884"/>
  <c r="L127" i="884"/>
  <c r="F127" i="884"/>
  <c r="H127" i="884"/>
  <c r="Q126" i="884"/>
  <c r="P126" i="884"/>
  <c r="O126" i="884"/>
  <c r="N126" i="884"/>
  <c r="M126" i="884"/>
  <c r="L126" i="884"/>
  <c r="J126" i="884"/>
  <c r="H126" i="884"/>
  <c r="I126" i="884"/>
  <c r="G126" i="884"/>
  <c r="F126" i="884"/>
  <c r="Q125" i="884"/>
  <c r="P125" i="884"/>
  <c r="O125" i="884"/>
  <c r="N125" i="884"/>
  <c r="M125" i="884"/>
  <c r="L125" i="884"/>
  <c r="I125" i="884"/>
  <c r="H125" i="884"/>
  <c r="G125" i="884"/>
  <c r="F125" i="884"/>
  <c r="Q124" i="884"/>
  <c r="P124" i="884"/>
  <c r="O124" i="884"/>
  <c r="N124" i="884"/>
  <c r="M124" i="884"/>
  <c r="L124" i="884"/>
  <c r="H124" i="884"/>
  <c r="G124" i="884"/>
  <c r="F124" i="884"/>
  <c r="Q123" i="884"/>
  <c r="P123" i="884"/>
  <c r="O123" i="884"/>
  <c r="N123" i="884"/>
  <c r="M123" i="884"/>
  <c r="L123" i="884"/>
  <c r="Q122" i="884"/>
  <c r="P122" i="884"/>
  <c r="O122" i="884"/>
  <c r="N122" i="884"/>
  <c r="M122" i="884"/>
  <c r="L122" i="884"/>
  <c r="G122" i="884"/>
  <c r="Q121" i="884"/>
  <c r="P121" i="884"/>
  <c r="O121" i="884"/>
  <c r="N121" i="884"/>
  <c r="M121" i="884"/>
  <c r="L121" i="884"/>
  <c r="F121" i="884"/>
  <c r="Q120" i="884"/>
  <c r="P120" i="884"/>
  <c r="O120" i="884"/>
  <c r="N120" i="884"/>
  <c r="M120" i="884"/>
  <c r="L120" i="884"/>
  <c r="H120" i="884"/>
  <c r="G120" i="884"/>
  <c r="Q119" i="884"/>
  <c r="P119" i="884"/>
  <c r="O119" i="884"/>
  <c r="N119" i="884"/>
  <c r="M119" i="884"/>
  <c r="L119" i="884"/>
  <c r="H119" i="884"/>
  <c r="F119" i="884"/>
  <c r="Q118" i="884"/>
  <c r="P118" i="884"/>
  <c r="O118" i="884"/>
  <c r="N118" i="884"/>
  <c r="M118" i="884"/>
  <c r="L118" i="884"/>
  <c r="J118" i="884"/>
  <c r="I118" i="884"/>
  <c r="H118" i="884"/>
  <c r="G118" i="884"/>
  <c r="F118" i="884"/>
  <c r="E118" i="884"/>
  <c r="Q117" i="884"/>
  <c r="P117" i="884"/>
  <c r="O117" i="884"/>
  <c r="N117" i="884"/>
  <c r="M117" i="884"/>
  <c r="L117" i="884"/>
  <c r="J117" i="884"/>
  <c r="I117" i="884"/>
  <c r="H117" i="884"/>
  <c r="G117" i="884"/>
  <c r="F117" i="884"/>
  <c r="E117" i="884"/>
  <c r="Q116" i="884"/>
  <c r="P116" i="884"/>
  <c r="O116" i="884"/>
  <c r="N116" i="884"/>
  <c r="M116" i="884"/>
  <c r="L116" i="884"/>
  <c r="J116" i="884"/>
  <c r="I116" i="884"/>
  <c r="H116" i="884"/>
  <c r="G116" i="884"/>
  <c r="F116" i="884"/>
  <c r="E116" i="884"/>
  <c r="Q115" i="884"/>
  <c r="P115" i="884"/>
  <c r="O115" i="884"/>
  <c r="N115" i="884"/>
  <c r="M115" i="884"/>
  <c r="L115" i="884"/>
  <c r="J115" i="884"/>
  <c r="I115" i="884"/>
  <c r="H115" i="884"/>
  <c r="G115" i="884"/>
  <c r="F115" i="884"/>
  <c r="E115" i="884"/>
  <c r="Q114" i="884"/>
  <c r="P114" i="884"/>
  <c r="O114" i="884"/>
  <c r="N114" i="884"/>
  <c r="M114" i="884"/>
  <c r="L114" i="884"/>
  <c r="J114" i="884"/>
  <c r="I114" i="884"/>
  <c r="H114" i="884"/>
  <c r="G114" i="884"/>
  <c r="F114" i="884"/>
  <c r="E114" i="884"/>
  <c r="Q113" i="884"/>
  <c r="P113" i="884"/>
  <c r="O113" i="884"/>
  <c r="N113" i="884"/>
  <c r="M113" i="884"/>
  <c r="L113" i="884"/>
  <c r="J113" i="884"/>
  <c r="I113" i="884"/>
  <c r="H113" i="884"/>
  <c r="G113" i="884"/>
  <c r="F113" i="884"/>
  <c r="E113" i="884"/>
  <c r="Q112" i="884"/>
  <c r="P112" i="884"/>
  <c r="O112" i="884"/>
  <c r="N112" i="884"/>
  <c r="M112" i="884"/>
  <c r="L112" i="884"/>
  <c r="J112" i="884"/>
  <c r="I112" i="884"/>
  <c r="H112" i="884"/>
  <c r="G112" i="884"/>
  <c r="F112" i="884"/>
  <c r="E112" i="884"/>
  <c r="Q111" i="884"/>
  <c r="P111" i="884"/>
  <c r="O111" i="884"/>
  <c r="N111" i="884"/>
  <c r="M111" i="884"/>
  <c r="L111" i="884"/>
  <c r="J111" i="884"/>
  <c r="I111" i="884"/>
  <c r="H111" i="884"/>
  <c r="G111" i="884"/>
  <c r="F111" i="884"/>
  <c r="E111" i="884"/>
  <c r="Q110" i="884"/>
  <c r="P110" i="884"/>
  <c r="O110" i="884"/>
  <c r="N110" i="884"/>
  <c r="M110" i="884"/>
  <c r="L110" i="884"/>
  <c r="J110" i="884"/>
  <c r="I110" i="884"/>
  <c r="H110" i="884"/>
  <c r="G110" i="884"/>
  <c r="F110" i="884"/>
  <c r="E110" i="884"/>
  <c r="Q109" i="884"/>
  <c r="P109" i="884"/>
  <c r="O109" i="884"/>
  <c r="N109" i="884"/>
  <c r="M109" i="884"/>
  <c r="L109" i="884"/>
  <c r="J109" i="884"/>
  <c r="I109" i="884"/>
  <c r="H109" i="884"/>
  <c r="G109" i="884"/>
  <c r="F109" i="884"/>
  <c r="E109" i="884"/>
  <c r="Q108" i="884"/>
  <c r="P108" i="884"/>
  <c r="O108" i="884"/>
  <c r="N108" i="884"/>
  <c r="M108" i="884"/>
  <c r="L108" i="884"/>
  <c r="J108" i="884"/>
  <c r="I108" i="884"/>
  <c r="H108" i="884"/>
  <c r="G108" i="884"/>
  <c r="F108" i="884"/>
  <c r="E108" i="884"/>
  <c r="Q107" i="884"/>
  <c r="P107" i="884"/>
  <c r="O107" i="884"/>
  <c r="N107" i="884"/>
  <c r="M107" i="884"/>
  <c r="L107" i="884"/>
  <c r="J107" i="884"/>
  <c r="I107" i="884"/>
  <c r="H107" i="884"/>
  <c r="G107" i="884"/>
  <c r="F107" i="884"/>
  <c r="E107" i="884"/>
  <c r="Q106" i="884"/>
  <c r="P106" i="884"/>
  <c r="O106" i="884"/>
  <c r="N106" i="884"/>
  <c r="M106" i="884"/>
  <c r="L106" i="884"/>
  <c r="J106" i="884"/>
  <c r="I106" i="884"/>
  <c r="H106" i="884"/>
  <c r="G106" i="884"/>
  <c r="F106" i="884"/>
  <c r="E106" i="884"/>
  <c r="Q105" i="884"/>
  <c r="P105" i="884"/>
  <c r="O105" i="884"/>
  <c r="N105" i="884"/>
  <c r="M105" i="884"/>
  <c r="L105" i="884"/>
  <c r="J105" i="884"/>
  <c r="I105" i="884"/>
  <c r="H105" i="884"/>
  <c r="G105" i="884"/>
  <c r="F105" i="884"/>
  <c r="E105" i="884"/>
  <c r="Q104" i="884"/>
  <c r="P104" i="884"/>
  <c r="O104" i="884"/>
  <c r="N104" i="884"/>
  <c r="M104" i="884"/>
  <c r="L104" i="884"/>
  <c r="J104" i="884"/>
  <c r="I104" i="884"/>
  <c r="H104" i="884"/>
  <c r="G104" i="884"/>
  <c r="F104" i="884"/>
  <c r="E104" i="884"/>
  <c r="Q103" i="884"/>
  <c r="P103" i="884"/>
  <c r="O103" i="884"/>
  <c r="N103" i="884"/>
  <c r="M103" i="884"/>
  <c r="L103" i="884"/>
  <c r="J103" i="884"/>
  <c r="I103" i="884"/>
  <c r="H103" i="884"/>
  <c r="G103" i="884"/>
  <c r="F103" i="884"/>
  <c r="E103" i="884"/>
  <c r="Q102" i="884"/>
  <c r="P102" i="884"/>
  <c r="O102" i="884"/>
  <c r="N102" i="884"/>
  <c r="M102" i="884"/>
  <c r="L102" i="884"/>
  <c r="J102" i="884"/>
  <c r="I102" i="884"/>
  <c r="H102" i="884"/>
  <c r="G102" i="884"/>
  <c r="F102" i="884"/>
  <c r="E102" i="884"/>
  <c r="Q101" i="884"/>
  <c r="P101" i="884"/>
  <c r="O101" i="884"/>
  <c r="N101" i="884"/>
  <c r="M101" i="884"/>
  <c r="L101" i="884"/>
  <c r="J101" i="884"/>
  <c r="I101" i="884"/>
  <c r="H101" i="884"/>
  <c r="G101" i="884"/>
  <c r="F101" i="884"/>
  <c r="E101" i="884"/>
  <c r="Q100" i="884"/>
  <c r="P100" i="884"/>
  <c r="O100" i="884"/>
  <c r="N100" i="884"/>
  <c r="M100" i="884"/>
  <c r="L100" i="884"/>
  <c r="J100" i="884"/>
  <c r="I100" i="884"/>
  <c r="H100" i="884"/>
  <c r="G100" i="884"/>
  <c r="F100" i="884"/>
  <c r="E100" i="884"/>
  <c r="Q99" i="884"/>
  <c r="P99" i="884"/>
  <c r="O99" i="884"/>
  <c r="N99" i="884"/>
  <c r="M99" i="884"/>
  <c r="L99" i="884"/>
  <c r="J99" i="884"/>
  <c r="I99" i="884"/>
  <c r="H99" i="884"/>
  <c r="G99" i="884"/>
  <c r="F99" i="884"/>
  <c r="E99" i="884"/>
  <c r="Q98" i="884"/>
  <c r="P98" i="884"/>
  <c r="O98" i="884"/>
  <c r="N98" i="884"/>
  <c r="M98" i="884"/>
  <c r="L98" i="884"/>
  <c r="J98" i="884"/>
  <c r="I98" i="884"/>
  <c r="H98" i="884"/>
  <c r="G98" i="884"/>
  <c r="F98" i="884"/>
  <c r="E98" i="884"/>
  <c r="Q97" i="884"/>
  <c r="P97" i="884"/>
  <c r="O97" i="884"/>
  <c r="N97" i="884"/>
  <c r="M97" i="884"/>
  <c r="L97" i="884"/>
  <c r="J97" i="884"/>
  <c r="I97" i="884"/>
  <c r="H97" i="884"/>
  <c r="G97" i="884"/>
  <c r="F97" i="884"/>
  <c r="E97" i="884"/>
  <c r="Q96" i="884"/>
  <c r="P96" i="884"/>
  <c r="O96" i="884"/>
  <c r="N96" i="884"/>
  <c r="M96" i="884"/>
  <c r="L96" i="884"/>
  <c r="J96" i="884"/>
  <c r="I96" i="884"/>
  <c r="H96" i="884"/>
  <c r="G96" i="884"/>
  <c r="F96" i="884"/>
  <c r="E96" i="884"/>
  <c r="Q95" i="884"/>
  <c r="P95" i="884"/>
  <c r="O95" i="884"/>
  <c r="N95" i="884"/>
  <c r="M95" i="884"/>
  <c r="L95" i="884"/>
  <c r="J95" i="884"/>
  <c r="I95" i="884"/>
  <c r="H95" i="884"/>
  <c r="G95" i="884"/>
  <c r="F95" i="884"/>
  <c r="E95" i="884"/>
  <c r="Q94" i="884"/>
  <c r="P94" i="884"/>
  <c r="O94" i="884"/>
  <c r="N94" i="884"/>
  <c r="M94" i="884"/>
  <c r="L94" i="884"/>
  <c r="J94" i="884"/>
  <c r="I94" i="884"/>
  <c r="H94" i="884"/>
  <c r="G94" i="884"/>
  <c r="F94" i="884"/>
  <c r="E94" i="884"/>
  <c r="Q93" i="884"/>
  <c r="P93" i="884"/>
  <c r="O93" i="884"/>
  <c r="N93" i="884"/>
  <c r="M93" i="884"/>
  <c r="L93" i="884"/>
  <c r="J93" i="884"/>
  <c r="I93" i="884"/>
  <c r="H93" i="884"/>
  <c r="G93" i="884"/>
  <c r="F93" i="884"/>
  <c r="E93" i="884"/>
  <c r="Q92" i="884"/>
  <c r="P92" i="884"/>
  <c r="O92" i="884"/>
  <c r="N92" i="884"/>
  <c r="M92" i="884"/>
  <c r="L92" i="884"/>
  <c r="J92" i="884"/>
  <c r="I92" i="884"/>
  <c r="H92" i="884"/>
  <c r="G92" i="884"/>
  <c r="F92" i="884"/>
  <c r="E92" i="884"/>
  <c r="Q91" i="884"/>
  <c r="P91" i="884"/>
  <c r="O91" i="884"/>
  <c r="N91" i="884"/>
  <c r="M91" i="884"/>
  <c r="L91" i="884"/>
  <c r="J91" i="884"/>
  <c r="I91" i="884"/>
  <c r="H91" i="884"/>
  <c r="G91" i="884"/>
  <c r="F91" i="884"/>
  <c r="E91" i="884"/>
  <c r="Q90" i="884"/>
  <c r="P90" i="884"/>
  <c r="O90" i="884"/>
  <c r="N90" i="884"/>
  <c r="M90" i="884"/>
  <c r="L90" i="884"/>
  <c r="J90" i="884"/>
  <c r="I90" i="884"/>
  <c r="H90" i="884"/>
  <c r="G90" i="884"/>
  <c r="F90" i="884"/>
  <c r="E90" i="884"/>
  <c r="Q89" i="884"/>
  <c r="P89" i="884"/>
  <c r="O89" i="884"/>
  <c r="N89" i="884"/>
  <c r="M89" i="884"/>
  <c r="L89" i="884"/>
  <c r="J89" i="884"/>
  <c r="I89" i="884"/>
  <c r="H89" i="884"/>
  <c r="G89" i="884"/>
  <c r="F89" i="884"/>
  <c r="E89" i="884"/>
  <c r="Q88" i="884"/>
  <c r="P88" i="884"/>
  <c r="O88" i="884"/>
  <c r="N88" i="884"/>
  <c r="M88" i="884"/>
  <c r="L88" i="884"/>
  <c r="J88" i="884"/>
  <c r="I88" i="884"/>
  <c r="H88" i="884"/>
  <c r="G88" i="884"/>
  <c r="F88" i="884"/>
  <c r="E88" i="884"/>
  <c r="Q87" i="884"/>
  <c r="P87" i="884"/>
  <c r="O87" i="884"/>
  <c r="N87" i="884"/>
  <c r="M87" i="884"/>
  <c r="L87" i="884"/>
  <c r="J87" i="884"/>
  <c r="I87" i="884"/>
  <c r="H87" i="884"/>
  <c r="G87" i="884"/>
  <c r="F87" i="884"/>
  <c r="E87" i="884"/>
  <c r="Q86" i="884"/>
  <c r="P86" i="884"/>
  <c r="O86" i="884"/>
  <c r="N86" i="884"/>
  <c r="M86" i="884"/>
  <c r="L86" i="884"/>
  <c r="J86" i="884"/>
  <c r="I86" i="884"/>
  <c r="H86" i="884"/>
  <c r="G86" i="884"/>
  <c r="F86" i="884"/>
  <c r="E86" i="884"/>
  <c r="Q85" i="884"/>
  <c r="P85" i="884"/>
  <c r="O85" i="884"/>
  <c r="N85" i="884"/>
  <c r="M85" i="884"/>
  <c r="L85" i="884"/>
  <c r="J85" i="884"/>
  <c r="I85" i="884"/>
  <c r="H85" i="884"/>
  <c r="G85" i="884"/>
  <c r="F85" i="884"/>
  <c r="E85" i="884"/>
  <c r="Q84" i="884"/>
  <c r="P84" i="884"/>
  <c r="O84" i="884"/>
  <c r="N84" i="884"/>
  <c r="M84" i="884"/>
  <c r="L84" i="884"/>
  <c r="J84" i="884"/>
  <c r="I84" i="884"/>
  <c r="H84" i="884"/>
  <c r="G84" i="884"/>
  <c r="F84" i="884"/>
  <c r="E84" i="884"/>
  <c r="Q83" i="884"/>
  <c r="P83" i="884"/>
  <c r="O83" i="884"/>
  <c r="N83" i="884"/>
  <c r="M83" i="884"/>
  <c r="L83" i="884"/>
  <c r="J83" i="884"/>
  <c r="I83" i="884"/>
  <c r="H83" i="884"/>
  <c r="G83" i="884"/>
  <c r="F83" i="884"/>
  <c r="E83" i="884"/>
  <c r="Q82" i="884"/>
  <c r="P82" i="884"/>
  <c r="O82" i="884"/>
  <c r="N82" i="884"/>
  <c r="M82" i="884"/>
  <c r="L82" i="884"/>
  <c r="J82" i="884"/>
  <c r="I82" i="884"/>
  <c r="H82" i="884"/>
  <c r="G82" i="884"/>
  <c r="F82" i="884"/>
  <c r="E82" i="884"/>
  <c r="Q81" i="884"/>
  <c r="P81" i="884"/>
  <c r="O81" i="884"/>
  <c r="N81" i="884"/>
  <c r="M81" i="884"/>
  <c r="L81" i="884"/>
  <c r="J81" i="884"/>
  <c r="I81" i="884"/>
  <c r="H81" i="884"/>
  <c r="G81" i="884"/>
  <c r="F81" i="884"/>
  <c r="E81" i="884"/>
  <c r="Q80" i="884"/>
  <c r="P80" i="884"/>
  <c r="O80" i="884"/>
  <c r="N80" i="884"/>
  <c r="M80" i="884"/>
  <c r="L80" i="884"/>
  <c r="J80" i="884"/>
  <c r="I80" i="884"/>
  <c r="H80" i="884"/>
  <c r="G80" i="884"/>
  <c r="F80" i="884"/>
  <c r="E80" i="884"/>
  <c r="Q79" i="884"/>
  <c r="P79" i="884"/>
  <c r="O79" i="884"/>
  <c r="N79" i="884"/>
  <c r="M79" i="884"/>
  <c r="L79" i="884"/>
  <c r="J79" i="884"/>
  <c r="I79" i="884"/>
  <c r="H79" i="884"/>
  <c r="G79" i="884"/>
  <c r="F79" i="884"/>
  <c r="E79" i="884"/>
  <c r="Q78" i="884"/>
  <c r="P78" i="884"/>
  <c r="O78" i="884"/>
  <c r="N78" i="884"/>
  <c r="M78" i="884"/>
  <c r="L78" i="884"/>
  <c r="J78" i="884"/>
  <c r="I78" i="884"/>
  <c r="H78" i="884"/>
  <c r="G78" i="884"/>
  <c r="F78" i="884"/>
  <c r="E78" i="884"/>
  <c r="Q77" i="884"/>
  <c r="P77" i="884"/>
  <c r="O77" i="884"/>
  <c r="N77" i="884"/>
  <c r="M77" i="884"/>
  <c r="L77" i="884"/>
  <c r="J77" i="884"/>
  <c r="I77" i="884"/>
  <c r="H77" i="884"/>
  <c r="G77" i="884"/>
  <c r="F77" i="884"/>
  <c r="E77" i="884"/>
  <c r="Q76" i="884"/>
  <c r="P76" i="884"/>
  <c r="O76" i="884"/>
  <c r="N76" i="884"/>
  <c r="M76" i="884"/>
  <c r="L76" i="884"/>
  <c r="J76" i="884"/>
  <c r="I76" i="884"/>
  <c r="H76" i="884"/>
  <c r="G76" i="884"/>
  <c r="F76" i="884"/>
  <c r="E76" i="884"/>
  <c r="Q75" i="884"/>
  <c r="P75" i="884"/>
  <c r="O75" i="884"/>
  <c r="N75" i="884"/>
  <c r="M75" i="884"/>
  <c r="L75" i="884"/>
  <c r="J75" i="884"/>
  <c r="I75" i="884"/>
  <c r="H75" i="884"/>
  <c r="G75" i="884"/>
  <c r="F75" i="884"/>
  <c r="E75" i="884"/>
  <c r="Q74" i="884"/>
  <c r="P74" i="884"/>
  <c r="O74" i="884"/>
  <c r="N74" i="884"/>
  <c r="M74" i="884"/>
  <c r="L74" i="884"/>
  <c r="J74" i="884"/>
  <c r="I74" i="884"/>
  <c r="H74" i="884"/>
  <c r="G74" i="884"/>
  <c r="F74" i="884"/>
  <c r="E74" i="884"/>
  <c r="Q73" i="884"/>
  <c r="P73" i="884"/>
  <c r="O73" i="884"/>
  <c r="N73" i="884"/>
  <c r="M73" i="884"/>
  <c r="L73" i="884"/>
  <c r="J73" i="884"/>
  <c r="I73" i="884"/>
  <c r="H73" i="884"/>
  <c r="G73" i="884"/>
  <c r="F73" i="884"/>
  <c r="E73" i="884"/>
  <c r="Q72" i="884"/>
  <c r="P72" i="884"/>
  <c r="O72" i="884"/>
  <c r="N72" i="884"/>
  <c r="M72" i="884"/>
  <c r="L72" i="884"/>
  <c r="J72" i="884"/>
  <c r="I72" i="884"/>
  <c r="H72" i="884"/>
  <c r="G72" i="884"/>
  <c r="F72" i="884"/>
  <c r="E72" i="884"/>
  <c r="Q71" i="884"/>
  <c r="P71" i="884"/>
  <c r="O71" i="884"/>
  <c r="N71" i="884"/>
  <c r="M71" i="884"/>
  <c r="L71" i="884"/>
  <c r="J71" i="884"/>
  <c r="I71" i="884"/>
  <c r="H71" i="884"/>
  <c r="G71" i="884"/>
  <c r="F71" i="884"/>
  <c r="E71" i="884"/>
  <c r="Q70" i="884"/>
  <c r="P70" i="884"/>
  <c r="O70" i="884"/>
  <c r="N70" i="884"/>
  <c r="M70" i="884"/>
  <c r="L70" i="884"/>
  <c r="J70" i="884"/>
  <c r="I70" i="884"/>
  <c r="H70" i="884"/>
  <c r="G70" i="884"/>
  <c r="F70" i="884"/>
  <c r="E70" i="884"/>
  <c r="Q69" i="884"/>
  <c r="P69" i="884"/>
  <c r="O69" i="884"/>
  <c r="N69" i="884"/>
  <c r="M69" i="884"/>
  <c r="L69" i="884"/>
  <c r="J69" i="884"/>
  <c r="I69" i="884"/>
  <c r="H69" i="884"/>
  <c r="G69" i="884"/>
  <c r="F69" i="884"/>
  <c r="E69" i="884"/>
  <c r="Q68" i="884"/>
  <c r="P68" i="884"/>
  <c r="O68" i="884"/>
  <c r="N68" i="884"/>
  <c r="M68" i="884"/>
  <c r="L68" i="884"/>
  <c r="J68" i="884"/>
  <c r="I68" i="884"/>
  <c r="H68" i="884"/>
  <c r="G68" i="884"/>
  <c r="F68" i="884"/>
  <c r="E68" i="884"/>
  <c r="Q67" i="884"/>
  <c r="P67" i="884"/>
  <c r="O67" i="884"/>
  <c r="N67" i="884"/>
  <c r="M67" i="884"/>
  <c r="L67" i="884"/>
  <c r="J67" i="884"/>
  <c r="I67" i="884"/>
  <c r="H67" i="884"/>
  <c r="G67" i="884"/>
  <c r="F67" i="884"/>
  <c r="E67" i="884"/>
  <c r="Q66" i="884"/>
  <c r="P66" i="884"/>
  <c r="O66" i="884"/>
  <c r="N66" i="884"/>
  <c r="M66" i="884"/>
  <c r="L66" i="884"/>
  <c r="J66" i="884"/>
  <c r="I66" i="884"/>
  <c r="H66" i="884"/>
  <c r="G66" i="884"/>
  <c r="F66" i="884"/>
  <c r="E66" i="884"/>
  <c r="Q65" i="884"/>
  <c r="P65" i="884"/>
  <c r="O65" i="884"/>
  <c r="N65" i="884"/>
  <c r="M65" i="884"/>
  <c r="L65" i="884"/>
  <c r="J65" i="884"/>
  <c r="I65" i="884"/>
  <c r="H65" i="884"/>
  <c r="G65" i="884"/>
  <c r="F65" i="884"/>
  <c r="E65" i="884"/>
  <c r="Q64" i="884"/>
  <c r="P64" i="884"/>
  <c r="O64" i="884"/>
  <c r="N64" i="884"/>
  <c r="M64" i="884"/>
  <c r="L64" i="884"/>
  <c r="J64" i="884"/>
  <c r="I64" i="884"/>
  <c r="H64" i="884"/>
  <c r="G64" i="884"/>
  <c r="F64" i="884"/>
  <c r="E64" i="884"/>
  <c r="Q63" i="884"/>
  <c r="P63" i="884"/>
  <c r="O63" i="884"/>
  <c r="N63" i="884"/>
  <c r="M63" i="884"/>
  <c r="L63" i="884"/>
  <c r="J63" i="884"/>
  <c r="I63" i="884"/>
  <c r="H63" i="884"/>
  <c r="G63" i="884"/>
  <c r="F63" i="884"/>
  <c r="E63" i="884"/>
  <c r="Q62" i="884"/>
  <c r="P62" i="884"/>
  <c r="O62" i="884"/>
  <c r="N62" i="884"/>
  <c r="M62" i="884"/>
  <c r="L62" i="884"/>
  <c r="J62" i="884"/>
  <c r="I62" i="884"/>
  <c r="H62" i="884"/>
  <c r="G62" i="884"/>
  <c r="F62" i="884"/>
  <c r="E62" i="884"/>
  <c r="Q61" i="884"/>
  <c r="P61" i="884"/>
  <c r="O61" i="884"/>
  <c r="N61" i="884"/>
  <c r="M61" i="884"/>
  <c r="L61" i="884"/>
  <c r="J61" i="884"/>
  <c r="I61" i="884"/>
  <c r="H61" i="884"/>
  <c r="G61" i="884"/>
  <c r="F61" i="884"/>
  <c r="E61" i="884"/>
  <c r="Q60" i="884"/>
  <c r="P60" i="884"/>
  <c r="O60" i="884"/>
  <c r="N60" i="884"/>
  <c r="M60" i="884"/>
  <c r="L60" i="884"/>
  <c r="Q59" i="884"/>
  <c r="P59" i="884"/>
  <c r="J59" i="884"/>
  <c r="O59" i="884"/>
  <c r="N59" i="884"/>
  <c r="M59" i="884"/>
  <c r="L59" i="884"/>
  <c r="H59" i="884"/>
  <c r="Q58" i="884"/>
  <c r="P58" i="884"/>
  <c r="O58" i="884"/>
  <c r="N58" i="884"/>
  <c r="H58" i="884"/>
  <c r="M58" i="884"/>
  <c r="L58" i="884"/>
  <c r="J58" i="884"/>
  <c r="E58" i="884"/>
  <c r="Q57" i="884"/>
  <c r="P57" i="884"/>
  <c r="O57" i="884"/>
  <c r="N57" i="884"/>
  <c r="H57" i="884"/>
  <c r="M57" i="884"/>
  <c r="L57" i="884"/>
  <c r="J57" i="884"/>
  <c r="E57" i="884"/>
  <c r="Q56" i="884"/>
  <c r="P56" i="884"/>
  <c r="O56" i="884"/>
  <c r="N56" i="884"/>
  <c r="M56" i="884"/>
  <c r="L56" i="884"/>
  <c r="Q55" i="884"/>
  <c r="P55" i="884"/>
  <c r="J55" i="884"/>
  <c r="O55" i="884"/>
  <c r="N55" i="884"/>
  <c r="M55" i="884"/>
  <c r="L55" i="884"/>
  <c r="H55" i="884"/>
  <c r="Q54" i="884"/>
  <c r="P54" i="884"/>
  <c r="O54" i="884"/>
  <c r="N54" i="884"/>
  <c r="H54" i="884"/>
  <c r="M54" i="884"/>
  <c r="L54" i="884"/>
  <c r="J54" i="884"/>
  <c r="E54" i="884"/>
  <c r="Q53" i="884"/>
  <c r="P53" i="884"/>
  <c r="O53" i="884"/>
  <c r="N53" i="884"/>
  <c r="H53" i="884"/>
  <c r="M53" i="884"/>
  <c r="L53" i="884"/>
  <c r="J53" i="884"/>
  <c r="E53" i="884"/>
  <c r="Q52" i="884"/>
  <c r="P52" i="884"/>
  <c r="O52" i="884"/>
  <c r="N52" i="884"/>
  <c r="M52" i="884"/>
  <c r="L52" i="884"/>
  <c r="Q51" i="884"/>
  <c r="P51" i="884"/>
  <c r="J51" i="884"/>
  <c r="O51" i="884"/>
  <c r="N51" i="884"/>
  <c r="M51" i="884"/>
  <c r="L51" i="884"/>
  <c r="H51" i="884"/>
  <c r="Q50" i="884"/>
  <c r="P50" i="884"/>
  <c r="O50" i="884"/>
  <c r="N50" i="884"/>
  <c r="H50" i="884"/>
  <c r="M50" i="884"/>
  <c r="L50" i="884"/>
  <c r="J50" i="884"/>
  <c r="E50" i="884"/>
  <c r="Q49" i="884"/>
  <c r="P49" i="884"/>
  <c r="O49" i="884"/>
  <c r="N49" i="884"/>
  <c r="H49" i="884"/>
  <c r="M49" i="884"/>
  <c r="L49" i="884"/>
  <c r="J49" i="884"/>
  <c r="E49" i="884"/>
  <c r="Q48" i="884"/>
  <c r="P48" i="884"/>
  <c r="O48" i="884"/>
  <c r="N48" i="884"/>
  <c r="M48" i="884"/>
  <c r="L48" i="884"/>
  <c r="Q47" i="884"/>
  <c r="P47" i="884"/>
  <c r="J47" i="884"/>
  <c r="O47" i="884"/>
  <c r="N47" i="884"/>
  <c r="M47" i="884"/>
  <c r="L47" i="884"/>
  <c r="H47" i="884"/>
  <c r="Q46" i="884"/>
  <c r="P46" i="884"/>
  <c r="O46" i="884"/>
  <c r="N46" i="884"/>
  <c r="H46" i="884"/>
  <c r="M46" i="884"/>
  <c r="L46" i="884"/>
  <c r="J46" i="884"/>
  <c r="F46" i="884"/>
  <c r="Q45" i="884"/>
  <c r="P45" i="884"/>
  <c r="O45" i="884"/>
  <c r="N45" i="884"/>
  <c r="M45" i="884"/>
  <c r="L45" i="884"/>
  <c r="Q44" i="884"/>
  <c r="P44" i="884"/>
  <c r="O44" i="884"/>
  <c r="N44" i="884"/>
  <c r="H44" i="884"/>
  <c r="M44" i="884"/>
  <c r="L44" i="884"/>
  <c r="F44" i="884"/>
  <c r="Q43" i="884"/>
  <c r="P43" i="884"/>
  <c r="O43" i="884"/>
  <c r="N43" i="884"/>
  <c r="M43" i="884"/>
  <c r="L43" i="884"/>
  <c r="Q42" i="884"/>
  <c r="P42" i="884"/>
  <c r="O42" i="884"/>
  <c r="N42" i="884"/>
  <c r="H42" i="884"/>
  <c r="M42" i="884"/>
  <c r="L42" i="884"/>
  <c r="J42" i="884"/>
  <c r="F42" i="884"/>
  <c r="Q41" i="884"/>
  <c r="P41" i="884"/>
  <c r="O41" i="884"/>
  <c r="N41" i="884"/>
  <c r="M41" i="884"/>
  <c r="L41" i="884"/>
  <c r="Q40" i="884"/>
  <c r="P40" i="884"/>
  <c r="O40" i="884"/>
  <c r="N40" i="884"/>
  <c r="H40" i="884"/>
  <c r="M40" i="884"/>
  <c r="L40" i="884"/>
  <c r="F40" i="884"/>
  <c r="Q39" i="884"/>
  <c r="P39" i="884"/>
  <c r="O39" i="884"/>
  <c r="N39" i="884"/>
  <c r="M39" i="884"/>
  <c r="L39" i="884"/>
  <c r="Q38" i="884"/>
  <c r="P38" i="884"/>
  <c r="O38" i="884"/>
  <c r="N38" i="884"/>
  <c r="H38" i="884"/>
  <c r="M38" i="884"/>
  <c r="L38" i="884"/>
  <c r="J38" i="884"/>
  <c r="F38" i="884"/>
  <c r="Q37" i="884"/>
  <c r="P37" i="884"/>
  <c r="O37" i="884"/>
  <c r="N37" i="884"/>
  <c r="M37" i="884"/>
  <c r="L37" i="884"/>
  <c r="Q36" i="884"/>
  <c r="P36" i="884"/>
  <c r="O36" i="884"/>
  <c r="N36" i="884"/>
  <c r="H36" i="884"/>
  <c r="M36" i="884"/>
  <c r="L36" i="884"/>
  <c r="F36" i="884"/>
  <c r="Q35" i="884"/>
  <c r="P35" i="884"/>
  <c r="O35" i="884"/>
  <c r="N35" i="884"/>
  <c r="M35" i="884"/>
  <c r="L35" i="884"/>
  <c r="Q34" i="884"/>
  <c r="P34" i="884"/>
  <c r="O34" i="884"/>
  <c r="N34" i="884"/>
  <c r="H34" i="884"/>
  <c r="M34" i="884"/>
  <c r="L34" i="884"/>
  <c r="J34" i="884"/>
  <c r="F34" i="884"/>
  <c r="Q33" i="884"/>
  <c r="P33" i="884"/>
  <c r="O33" i="884"/>
  <c r="N33" i="884"/>
  <c r="M33" i="884"/>
  <c r="L33" i="884"/>
  <c r="Q32" i="884"/>
  <c r="P32" i="884"/>
  <c r="O32" i="884"/>
  <c r="N32" i="884"/>
  <c r="H32" i="884"/>
  <c r="M32" i="884"/>
  <c r="L32" i="884"/>
  <c r="F32" i="884"/>
  <c r="Q31" i="884"/>
  <c r="P31" i="884"/>
  <c r="O31" i="884"/>
  <c r="N31" i="884"/>
  <c r="M31" i="884"/>
  <c r="L31" i="884"/>
  <c r="Q30" i="884"/>
  <c r="P30" i="884"/>
  <c r="O30" i="884"/>
  <c r="N30" i="884"/>
  <c r="H30" i="884"/>
  <c r="M30" i="884"/>
  <c r="L30" i="884"/>
  <c r="J30" i="884"/>
  <c r="F30" i="884"/>
  <c r="Q29" i="884"/>
  <c r="P29" i="884"/>
  <c r="O29" i="884"/>
  <c r="N29" i="884"/>
  <c r="M29" i="884"/>
  <c r="L29" i="884"/>
  <c r="Q28" i="884"/>
  <c r="P28" i="884"/>
  <c r="O28" i="884"/>
  <c r="N28" i="884"/>
  <c r="H28" i="884"/>
  <c r="M28" i="884"/>
  <c r="L28" i="884"/>
  <c r="F28" i="884"/>
  <c r="Q27" i="884"/>
  <c r="P27" i="884"/>
  <c r="O27" i="884"/>
  <c r="N27" i="884"/>
  <c r="M27" i="884"/>
  <c r="L27" i="884"/>
  <c r="Q26" i="884"/>
  <c r="P26" i="884"/>
  <c r="O26" i="884"/>
  <c r="N26" i="884"/>
  <c r="H26" i="884"/>
  <c r="M26" i="884"/>
  <c r="L26" i="884"/>
  <c r="J26" i="884"/>
  <c r="F26" i="884"/>
  <c r="Q25" i="884"/>
  <c r="P25" i="884"/>
  <c r="O25" i="884"/>
  <c r="N25" i="884"/>
  <c r="M25" i="884"/>
  <c r="L25" i="884"/>
  <c r="Q24" i="884"/>
  <c r="P24" i="884"/>
  <c r="O24" i="884"/>
  <c r="N24" i="884"/>
  <c r="H24" i="884"/>
  <c r="M24" i="884"/>
  <c r="L24" i="884"/>
  <c r="F24" i="884"/>
  <c r="Q23" i="884"/>
  <c r="P23" i="884"/>
  <c r="O23" i="884"/>
  <c r="N23" i="884"/>
  <c r="M23" i="884"/>
  <c r="L23" i="884"/>
  <c r="Q22" i="884"/>
  <c r="P22" i="884"/>
  <c r="O22" i="884"/>
  <c r="N22" i="884"/>
  <c r="H22" i="884"/>
  <c r="M22" i="884"/>
  <c r="L22" i="884"/>
  <c r="J22" i="884"/>
  <c r="F22" i="884"/>
  <c r="Q21" i="884"/>
  <c r="P21" i="884"/>
  <c r="O21" i="884"/>
  <c r="N21" i="884"/>
  <c r="M21" i="884"/>
  <c r="L21" i="884"/>
  <c r="Q20" i="884"/>
  <c r="P20" i="884"/>
  <c r="O20" i="884"/>
  <c r="N20" i="884"/>
  <c r="H20" i="884"/>
  <c r="M20" i="884"/>
  <c r="L20" i="884"/>
  <c r="F20" i="884"/>
  <c r="Q19" i="884"/>
  <c r="P19" i="884"/>
  <c r="O19" i="884"/>
  <c r="N19" i="884"/>
  <c r="M19" i="884"/>
  <c r="L19" i="884"/>
  <c r="Q18" i="884"/>
  <c r="P18" i="884"/>
  <c r="O18" i="884"/>
  <c r="N18" i="884"/>
  <c r="H18" i="884"/>
  <c r="M18" i="884"/>
  <c r="L18" i="884"/>
  <c r="J18" i="884"/>
  <c r="F18" i="884"/>
  <c r="Q17" i="884"/>
  <c r="P17" i="884"/>
  <c r="O17" i="884"/>
  <c r="N17" i="884"/>
  <c r="M17" i="884"/>
  <c r="L17" i="884"/>
  <c r="Q16" i="884"/>
  <c r="P16" i="884"/>
  <c r="O16" i="884"/>
  <c r="N16" i="884"/>
  <c r="H16" i="884"/>
  <c r="M16" i="884"/>
  <c r="L16" i="884"/>
  <c r="F16" i="884"/>
  <c r="Q15" i="884"/>
  <c r="P15" i="884"/>
  <c r="O15" i="884"/>
  <c r="N15" i="884"/>
  <c r="M15" i="884"/>
  <c r="L15" i="884"/>
  <c r="F15" i="884"/>
  <c r="Q14" i="884"/>
  <c r="P14" i="884"/>
  <c r="O14" i="884"/>
  <c r="H14" i="884"/>
  <c r="N14" i="884"/>
  <c r="M14" i="884"/>
  <c r="F60" i="884"/>
  <c r="L14" i="884"/>
  <c r="F14" i="884"/>
  <c r="J14" i="884"/>
  <c r="E14" i="884"/>
  <c r="C9" i="884"/>
  <c r="M7" i="884"/>
  <c r="V5" i="884"/>
  <c r="V4" i="884"/>
  <c r="S1" i="884"/>
  <c r="Q203" i="883"/>
  <c r="P203" i="883"/>
  <c r="O203" i="883"/>
  <c r="N203" i="883"/>
  <c r="M203" i="883"/>
  <c r="L203" i="883"/>
  <c r="Q202" i="883"/>
  <c r="P202" i="883"/>
  <c r="O202" i="883"/>
  <c r="N202" i="883"/>
  <c r="M202" i="883"/>
  <c r="L202" i="883"/>
  <c r="H202" i="883"/>
  <c r="Q201" i="883"/>
  <c r="P201" i="883"/>
  <c r="O201" i="883"/>
  <c r="N201" i="883"/>
  <c r="M201" i="883"/>
  <c r="L201" i="883"/>
  <c r="H201" i="883"/>
  <c r="G201" i="883"/>
  <c r="Q200" i="883"/>
  <c r="P200" i="883"/>
  <c r="O200" i="883"/>
  <c r="N200" i="883"/>
  <c r="M200" i="883"/>
  <c r="L200" i="883"/>
  <c r="H200" i="883"/>
  <c r="Q199" i="883"/>
  <c r="P199" i="883"/>
  <c r="O199" i="883"/>
  <c r="N199" i="883"/>
  <c r="M199" i="883"/>
  <c r="L199" i="883"/>
  <c r="H199" i="883"/>
  <c r="G199" i="883"/>
  <c r="Q198" i="883"/>
  <c r="P198" i="883"/>
  <c r="O198" i="883"/>
  <c r="N198" i="883"/>
  <c r="M198" i="883"/>
  <c r="L198" i="883"/>
  <c r="H198" i="883"/>
  <c r="Q197" i="883"/>
  <c r="P197" i="883"/>
  <c r="O197" i="883"/>
  <c r="N197" i="883"/>
  <c r="M197" i="883"/>
  <c r="L197" i="883"/>
  <c r="H197" i="883"/>
  <c r="G197" i="883"/>
  <c r="Q196" i="883"/>
  <c r="P196" i="883"/>
  <c r="O196" i="883"/>
  <c r="N196" i="883"/>
  <c r="M196" i="883"/>
  <c r="L196" i="883"/>
  <c r="G196" i="883"/>
  <c r="Q195" i="883"/>
  <c r="P195" i="883"/>
  <c r="O195" i="883"/>
  <c r="N195" i="883"/>
  <c r="M195" i="883"/>
  <c r="L195" i="883"/>
  <c r="G195" i="883"/>
  <c r="Q194" i="883"/>
  <c r="P194" i="883"/>
  <c r="O194" i="883"/>
  <c r="N194" i="883"/>
  <c r="M194" i="883"/>
  <c r="L194" i="883"/>
  <c r="G194" i="883"/>
  <c r="Q193" i="883"/>
  <c r="P193" i="883"/>
  <c r="O193" i="883"/>
  <c r="N193" i="883"/>
  <c r="M193" i="883"/>
  <c r="L193" i="883"/>
  <c r="Q192" i="883"/>
  <c r="P192" i="883"/>
  <c r="O192" i="883"/>
  <c r="N192" i="883"/>
  <c r="M192" i="883"/>
  <c r="L192" i="883"/>
  <c r="G192" i="883"/>
  <c r="Q191" i="883"/>
  <c r="P191" i="883"/>
  <c r="O191" i="883"/>
  <c r="N191" i="883"/>
  <c r="M191" i="883"/>
  <c r="L191" i="883"/>
  <c r="G191" i="883"/>
  <c r="Q190" i="883"/>
  <c r="P190" i="883"/>
  <c r="O190" i="883"/>
  <c r="N190" i="883"/>
  <c r="M190" i="883"/>
  <c r="L190" i="883"/>
  <c r="G190" i="883"/>
  <c r="Q189" i="883"/>
  <c r="P189" i="883"/>
  <c r="O189" i="883"/>
  <c r="N189" i="883"/>
  <c r="M189" i="883"/>
  <c r="L189" i="883"/>
  <c r="Q188" i="883"/>
  <c r="P188" i="883"/>
  <c r="O188" i="883"/>
  <c r="N188" i="883"/>
  <c r="M188" i="883"/>
  <c r="L188" i="883"/>
  <c r="G188" i="883"/>
  <c r="Q187" i="883"/>
  <c r="P187" i="883"/>
  <c r="O187" i="883"/>
  <c r="N187" i="883"/>
  <c r="M187" i="883"/>
  <c r="L187" i="883"/>
  <c r="G187" i="883"/>
  <c r="Q186" i="883"/>
  <c r="P186" i="883"/>
  <c r="O186" i="883"/>
  <c r="N186" i="883"/>
  <c r="M186" i="883"/>
  <c r="L186" i="883"/>
  <c r="G186" i="883"/>
  <c r="Q185" i="883"/>
  <c r="P185" i="883"/>
  <c r="O185" i="883"/>
  <c r="N185" i="883"/>
  <c r="M185" i="883"/>
  <c r="L185" i="883"/>
  <c r="Q184" i="883"/>
  <c r="P184" i="883"/>
  <c r="O184" i="883"/>
  <c r="N184" i="883"/>
  <c r="M184" i="883"/>
  <c r="L184" i="883"/>
  <c r="G184" i="883"/>
  <c r="Q183" i="883"/>
  <c r="P183" i="883"/>
  <c r="O183" i="883"/>
  <c r="N183" i="883"/>
  <c r="M183" i="883"/>
  <c r="L183" i="883"/>
  <c r="G183" i="883"/>
  <c r="Q182" i="883"/>
  <c r="P182" i="883"/>
  <c r="O182" i="883"/>
  <c r="N182" i="883"/>
  <c r="M182" i="883"/>
  <c r="L182" i="883"/>
  <c r="G182" i="883"/>
  <c r="Q181" i="883"/>
  <c r="P181" i="883"/>
  <c r="O181" i="883"/>
  <c r="N181" i="883"/>
  <c r="M181" i="883"/>
  <c r="L181" i="883"/>
  <c r="Q180" i="883"/>
  <c r="P180" i="883"/>
  <c r="O180" i="883"/>
  <c r="N180" i="883"/>
  <c r="M180" i="883"/>
  <c r="L180" i="883"/>
  <c r="H180" i="883"/>
  <c r="Q179" i="883"/>
  <c r="P179" i="883"/>
  <c r="O179" i="883"/>
  <c r="N179" i="883"/>
  <c r="M179" i="883"/>
  <c r="L179" i="883"/>
  <c r="H179" i="883"/>
  <c r="Q178" i="883"/>
  <c r="P178" i="883"/>
  <c r="O178" i="883"/>
  <c r="N178" i="883"/>
  <c r="M178" i="883"/>
  <c r="L178" i="883"/>
  <c r="H178" i="883"/>
  <c r="Q177" i="883"/>
  <c r="P177" i="883"/>
  <c r="O177" i="883"/>
  <c r="N177" i="883"/>
  <c r="M177" i="883"/>
  <c r="L177" i="883"/>
  <c r="H177" i="883"/>
  <c r="Q176" i="883"/>
  <c r="P176" i="883"/>
  <c r="O176" i="883"/>
  <c r="N176" i="883"/>
  <c r="M176" i="883"/>
  <c r="L176" i="883"/>
  <c r="H176" i="883"/>
  <c r="Q175" i="883"/>
  <c r="P175" i="883"/>
  <c r="O175" i="883"/>
  <c r="N175" i="883"/>
  <c r="M175" i="883"/>
  <c r="L175" i="883"/>
  <c r="H175" i="883"/>
  <c r="Q174" i="883"/>
  <c r="P174" i="883"/>
  <c r="O174" i="883"/>
  <c r="N174" i="883"/>
  <c r="M174" i="883"/>
  <c r="L174" i="883"/>
  <c r="H174" i="883"/>
  <c r="Q173" i="883"/>
  <c r="P173" i="883"/>
  <c r="O173" i="883"/>
  <c r="N173" i="883"/>
  <c r="M173" i="883"/>
  <c r="L173" i="883"/>
  <c r="H173" i="883"/>
  <c r="Q172" i="883"/>
  <c r="P172" i="883"/>
  <c r="O172" i="883"/>
  <c r="N172" i="883"/>
  <c r="M172" i="883"/>
  <c r="L172" i="883"/>
  <c r="H172" i="883"/>
  <c r="Q171" i="883"/>
  <c r="P171" i="883"/>
  <c r="O171" i="883"/>
  <c r="N171" i="883"/>
  <c r="M171" i="883"/>
  <c r="L171" i="883"/>
  <c r="H171" i="883"/>
  <c r="F171" i="883"/>
  <c r="Q170" i="883"/>
  <c r="P170" i="883"/>
  <c r="O170" i="883"/>
  <c r="N170" i="883"/>
  <c r="M170" i="883"/>
  <c r="L170" i="883"/>
  <c r="H170" i="883"/>
  <c r="G170" i="883"/>
  <c r="F170" i="883"/>
  <c r="Q169" i="883"/>
  <c r="P169" i="883"/>
  <c r="O169" i="883"/>
  <c r="N169" i="883"/>
  <c r="M169" i="883"/>
  <c r="L169" i="883"/>
  <c r="J169" i="883"/>
  <c r="F169" i="883"/>
  <c r="Q168" i="883"/>
  <c r="P168" i="883"/>
  <c r="O168" i="883"/>
  <c r="N168" i="883"/>
  <c r="M168" i="883"/>
  <c r="L168" i="883"/>
  <c r="G168" i="883"/>
  <c r="Q167" i="883"/>
  <c r="P167" i="883"/>
  <c r="O167" i="883"/>
  <c r="N167" i="883"/>
  <c r="M167" i="883"/>
  <c r="L167" i="883"/>
  <c r="F167" i="883"/>
  <c r="J167" i="883"/>
  <c r="Q166" i="883"/>
  <c r="P166" i="883"/>
  <c r="O166" i="883"/>
  <c r="N166" i="883"/>
  <c r="M166" i="883"/>
  <c r="L166" i="883"/>
  <c r="G166" i="883"/>
  <c r="H166" i="883"/>
  <c r="F166" i="883"/>
  <c r="Q165" i="883"/>
  <c r="P165" i="883"/>
  <c r="O165" i="883"/>
  <c r="N165" i="883"/>
  <c r="M165" i="883"/>
  <c r="L165" i="883"/>
  <c r="J165" i="883"/>
  <c r="Q164" i="883"/>
  <c r="P164" i="883"/>
  <c r="O164" i="883"/>
  <c r="N164" i="883"/>
  <c r="M164" i="883"/>
  <c r="L164" i="883"/>
  <c r="G164" i="883"/>
  <c r="Q163" i="883"/>
  <c r="P163" i="883"/>
  <c r="O163" i="883"/>
  <c r="N163" i="883"/>
  <c r="M163" i="883"/>
  <c r="L163" i="883"/>
  <c r="J163" i="883"/>
  <c r="F163" i="883"/>
  <c r="Q162" i="883"/>
  <c r="P162" i="883"/>
  <c r="O162" i="883"/>
  <c r="N162" i="883"/>
  <c r="M162" i="883"/>
  <c r="L162" i="883"/>
  <c r="H162" i="883"/>
  <c r="G162" i="883"/>
  <c r="F162" i="883"/>
  <c r="Q161" i="883"/>
  <c r="P161" i="883"/>
  <c r="O161" i="883"/>
  <c r="N161" i="883"/>
  <c r="M161" i="883"/>
  <c r="L161" i="883"/>
  <c r="I161" i="883"/>
  <c r="F161" i="883"/>
  <c r="Q160" i="883"/>
  <c r="P160" i="883"/>
  <c r="O160" i="883"/>
  <c r="N160" i="883"/>
  <c r="M160" i="883"/>
  <c r="L160" i="883"/>
  <c r="I160" i="883"/>
  <c r="G160" i="883"/>
  <c r="Q159" i="883"/>
  <c r="P159" i="883"/>
  <c r="O159" i="883"/>
  <c r="N159" i="883"/>
  <c r="M159" i="883"/>
  <c r="L159" i="883"/>
  <c r="I159" i="883"/>
  <c r="G159" i="883"/>
  <c r="E159" i="883"/>
  <c r="Q158" i="883"/>
  <c r="P158" i="883"/>
  <c r="O158" i="883"/>
  <c r="N158" i="883"/>
  <c r="M158" i="883"/>
  <c r="L158" i="883"/>
  <c r="Q157" i="883"/>
  <c r="P157" i="883"/>
  <c r="O157" i="883"/>
  <c r="N157" i="883"/>
  <c r="M157" i="883"/>
  <c r="L157" i="883"/>
  <c r="G157" i="883"/>
  <c r="I157" i="883"/>
  <c r="E157" i="883"/>
  <c r="Q156" i="883"/>
  <c r="P156" i="883"/>
  <c r="O156" i="883"/>
  <c r="N156" i="883"/>
  <c r="M156" i="883"/>
  <c r="L156" i="883"/>
  <c r="I156" i="883"/>
  <c r="G156" i="883"/>
  <c r="Q155" i="883"/>
  <c r="P155" i="883"/>
  <c r="O155" i="883"/>
  <c r="N155" i="883"/>
  <c r="M155" i="883"/>
  <c r="L155" i="883"/>
  <c r="I155" i="883"/>
  <c r="G155" i="883"/>
  <c r="E155" i="883"/>
  <c r="Q154" i="883"/>
  <c r="P154" i="883"/>
  <c r="O154" i="883"/>
  <c r="N154" i="883"/>
  <c r="M154" i="883"/>
  <c r="L154" i="883"/>
  <c r="Q153" i="883"/>
  <c r="P153" i="883"/>
  <c r="O153" i="883"/>
  <c r="N153" i="883"/>
  <c r="M153" i="883"/>
  <c r="L153" i="883"/>
  <c r="G153" i="883"/>
  <c r="I153" i="883"/>
  <c r="E153" i="883"/>
  <c r="Q152" i="883"/>
  <c r="P152" i="883"/>
  <c r="O152" i="883"/>
  <c r="N152" i="883"/>
  <c r="M152" i="883"/>
  <c r="L152" i="883"/>
  <c r="I152" i="883"/>
  <c r="G152" i="883"/>
  <c r="Q151" i="883"/>
  <c r="P151" i="883"/>
  <c r="O151" i="883"/>
  <c r="N151" i="883"/>
  <c r="M151" i="883"/>
  <c r="L151" i="883"/>
  <c r="I151" i="883"/>
  <c r="G151" i="883"/>
  <c r="E151" i="883"/>
  <c r="Q150" i="883"/>
  <c r="P150" i="883"/>
  <c r="O150" i="883"/>
  <c r="N150" i="883"/>
  <c r="M150" i="883"/>
  <c r="L150" i="883"/>
  <c r="Q149" i="883"/>
  <c r="P149" i="883"/>
  <c r="O149" i="883"/>
  <c r="N149" i="883"/>
  <c r="M149" i="883"/>
  <c r="L149" i="883"/>
  <c r="G149" i="883"/>
  <c r="I149" i="883"/>
  <c r="E149" i="883"/>
  <c r="Q148" i="883"/>
  <c r="P148" i="883"/>
  <c r="O148" i="883"/>
  <c r="N148" i="883"/>
  <c r="M148" i="883"/>
  <c r="L148" i="883"/>
  <c r="I148" i="883"/>
  <c r="G148" i="883"/>
  <c r="Q147" i="883"/>
  <c r="P147" i="883"/>
  <c r="O147" i="883"/>
  <c r="N147" i="883"/>
  <c r="M147" i="883"/>
  <c r="L147" i="883"/>
  <c r="I147" i="883"/>
  <c r="G147" i="883"/>
  <c r="E147" i="883"/>
  <c r="Q146" i="883"/>
  <c r="P146" i="883"/>
  <c r="O146" i="883"/>
  <c r="N146" i="883"/>
  <c r="M146" i="883"/>
  <c r="L146" i="883"/>
  <c r="Q145" i="883"/>
  <c r="P145" i="883"/>
  <c r="O145" i="883"/>
  <c r="N145" i="883"/>
  <c r="M145" i="883"/>
  <c r="L145" i="883"/>
  <c r="G145" i="883"/>
  <c r="I145" i="883"/>
  <c r="F145" i="883"/>
  <c r="E145" i="883"/>
  <c r="Q144" i="883"/>
  <c r="P144" i="883"/>
  <c r="O144" i="883"/>
  <c r="N144" i="883"/>
  <c r="M144" i="883"/>
  <c r="L144" i="883"/>
  <c r="H144" i="883"/>
  <c r="J144" i="883"/>
  <c r="I144" i="883"/>
  <c r="G144" i="883"/>
  <c r="F144" i="883"/>
  <c r="E144" i="883"/>
  <c r="Q143" i="883"/>
  <c r="P143" i="883"/>
  <c r="O143" i="883"/>
  <c r="N143" i="883"/>
  <c r="M143" i="883"/>
  <c r="L143" i="883"/>
  <c r="H143" i="883"/>
  <c r="I143" i="883"/>
  <c r="F143" i="883"/>
  <c r="Q142" i="883"/>
  <c r="P142" i="883"/>
  <c r="O142" i="883"/>
  <c r="N142" i="883"/>
  <c r="M142" i="883"/>
  <c r="L142" i="883"/>
  <c r="H142" i="883"/>
  <c r="J142" i="883"/>
  <c r="G142" i="883"/>
  <c r="F142" i="883"/>
  <c r="E142" i="883"/>
  <c r="Q141" i="883"/>
  <c r="P141" i="883"/>
  <c r="O141" i="883"/>
  <c r="N141" i="883"/>
  <c r="M141" i="883"/>
  <c r="L141" i="883"/>
  <c r="H141" i="883"/>
  <c r="F141" i="883"/>
  <c r="Q140" i="883"/>
  <c r="P140" i="883"/>
  <c r="O140" i="883"/>
  <c r="N140" i="883"/>
  <c r="M140" i="883"/>
  <c r="L140" i="883"/>
  <c r="H140" i="883"/>
  <c r="J140" i="883"/>
  <c r="I140" i="883"/>
  <c r="G140" i="883"/>
  <c r="F140" i="883"/>
  <c r="E140" i="883"/>
  <c r="Q139" i="883"/>
  <c r="P139" i="883"/>
  <c r="O139" i="883"/>
  <c r="N139" i="883"/>
  <c r="M139" i="883"/>
  <c r="L139" i="883"/>
  <c r="H139" i="883"/>
  <c r="I139" i="883"/>
  <c r="F139" i="883"/>
  <c r="Q138" i="883"/>
  <c r="P138" i="883"/>
  <c r="O138" i="883"/>
  <c r="N138" i="883"/>
  <c r="M138" i="883"/>
  <c r="L138" i="883"/>
  <c r="H138" i="883"/>
  <c r="J138" i="883"/>
  <c r="G138" i="883"/>
  <c r="F138" i="883"/>
  <c r="E138" i="883"/>
  <c r="Q137" i="883"/>
  <c r="P137" i="883"/>
  <c r="O137" i="883"/>
  <c r="N137" i="883"/>
  <c r="M137" i="883"/>
  <c r="L137" i="883"/>
  <c r="H137" i="883"/>
  <c r="F137" i="883"/>
  <c r="Q136" i="883"/>
  <c r="P136" i="883"/>
  <c r="O136" i="883"/>
  <c r="N136" i="883"/>
  <c r="M136" i="883"/>
  <c r="L136" i="883"/>
  <c r="H136" i="883"/>
  <c r="J136" i="883"/>
  <c r="I136" i="883"/>
  <c r="G136" i="883"/>
  <c r="F136" i="883"/>
  <c r="E136" i="883"/>
  <c r="Q135" i="883"/>
  <c r="P135" i="883"/>
  <c r="O135" i="883"/>
  <c r="N135" i="883"/>
  <c r="M135" i="883"/>
  <c r="L135" i="883"/>
  <c r="H135" i="883"/>
  <c r="I135" i="883"/>
  <c r="F135" i="883"/>
  <c r="Q134" i="883"/>
  <c r="P134" i="883"/>
  <c r="O134" i="883"/>
  <c r="N134" i="883"/>
  <c r="M134" i="883"/>
  <c r="L134" i="883"/>
  <c r="H134" i="883"/>
  <c r="J134" i="883"/>
  <c r="G134" i="883"/>
  <c r="F134" i="883"/>
  <c r="E134" i="883"/>
  <c r="Q133" i="883"/>
  <c r="P133" i="883"/>
  <c r="O133" i="883"/>
  <c r="N133" i="883"/>
  <c r="M133" i="883"/>
  <c r="L133" i="883"/>
  <c r="H133" i="883"/>
  <c r="F133" i="883"/>
  <c r="Q132" i="883"/>
  <c r="P132" i="883"/>
  <c r="O132" i="883"/>
  <c r="N132" i="883"/>
  <c r="M132" i="883"/>
  <c r="L132" i="883"/>
  <c r="H132" i="883"/>
  <c r="J132" i="883"/>
  <c r="I132" i="883"/>
  <c r="G132" i="883"/>
  <c r="F132" i="883"/>
  <c r="E132" i="883"/>
  <c r="Q131" i="883"/>
  <c r="P131" i="883"/>
  <c r="O131" i="883"/>
  <c r="N131" i="883"/>
  <c r="M131" i="883"/>
  <c r="L131" i="883"/>
  <c r="H131" i="883"/>
  <c r="I131" i="883"/>
  <c r="F131" i="883"/>
  <c r="Q130" i="883"/>
  <c r="P130" i="883"/>
  <c r="O130" i="883"/>
  <c r="N130" i="883"/>
  <c r="M130" i="883"/>
  <c r="L130" i="883"/>
  <c r="H130" i="883"/>
  <c r="J130" i="883"/>
  <c r="G130" i="883"/>
  <c r="F130" i="883"/>
  <c r="E130" i="883"/>
  <c r="Q129" i="883"/>
  <c r="P129" i="883"/>
  <c r="O129" i="883"/>
  <c r="N129" i="883"/>
  <c r="M129" i="883"/>
  <c r="L129" i="883"/>
  <c r="H129" i="883"/>
  <c r="F129" i="883"/>
  <c r="Q128" i="883"/>
  <c r="P128" i="883"/>
  <c r="O128" i="883"/>
  <c r="N128" i="883"/>
  <c r="M128" i="883"/>
  <c r="L128" i="883"/>
  <c r="H128" i="883"/>
  <c r="J128" i="883"/>
  <c r="I128" i="883"/>
  <c r="G128" i="883"/>
  <c r="F128" i="883"/>
  <c r="E128" i="883"/>
  <c r="Q127" i="883"/>
  <c r="P127" i="883"/>
  <c r="O127" i="883"/>
  <c r="N127" i="883"/>
  <c r="M127" i="883"/>
  <c r="L127" i="883"/>
  <c r="H127" i="883"/>
  <c r="I127" i="883"/>
  <c r="F127" i="883"/>
  <c r="Q126" i="883"/>
  <c r="P126" i="883"/>
  <c r="O126" i="883"/>
  <c r="N126" i="883"/>
  <c r="M126" i="883"/>
  <c r="L126" i="883"/>
  <c r="H126" i="883"/>
  <c r="J126" i="883"/>
  <c r="G126" i="883"/>
  <c r="F126" i="883"/>
  <c r="E126" i="883"/>
  <c r="Q125" i="883"/>
  <c r="P125" i="883"/>
  <c r="O125" i="883"/>
  <c r="N125" i="883"/>
  <c r="M125" i="883"/>
  <c r="L125" i="883"/>
  <c r="H125" i="883"/>
  <c r="F125" i="883"/>
  <c r="Q124" i="883"/>
  <c r="P124" i="883"/>
  <c r="O124" i="883"/>
  <c r="N124" i="883"/>
  <c r="M124" i="883"/>
  <c r="L124" i="883"/>
  <c r="H124" i="883"/>
  <c r="J124" i="883"/>
  <c r="I124" i="883"/>
  <c r="G124" i="883"/>
  <c r="F124" i="883"/>
  <c r="E124" i="883"/>
  <c r="Q123" i="883"/>
  <c r="P123" i="883"/>
  <c r="O123" i="883"/>
  <c r="N123" i="883"/>
  <c r="M123" i="883"/>
  <c r="L123" i="883"/>
  <c r="H123" i="883"/>
  <c r="I123" i="883"/>
  <c r="F123" i="883"/>
  <c r="Q122" i="883"/>
  <c r="P122" i="883"/>
  <c r="O122" i="883"/>
  <c r="N122" i="883"/>
  <c r="M122" i="883"/>
  <c r="L122" i="883"/>
  <c r="H122" i="883"/>
  <c r="J122" i="883"/>
  <c r="G122" i="883"/>
  <c r="F122" i="883"/>
  <c r="E122" i="883"/>
  <c r="Q121" i="883"/>
  <c r="P121" i="883"/>
  <c r="O121" i="883"/>
  <c r="N121" i="883"/>
  <c r="M121" i="883"/>
  <c r="L121" i="883"/>
  <c r="H121" i="883"/>
  <c r="F121" i="883"/>
  <c r="Q120" i="883"/>
  <c r="P120" i="883"/>
  <c r="O120" i="883"/>
  <c r="N120" i="883"/>
  <c r="M120" i="883"/>
  <c r="L120" i="883"/>
  <c r="H120" i="883"/>
  <c r="J120" i="883"/>
  <c r="I120" i="883"/>
  <c r="G120" i="883"/>
  <c r="F120" i="883"/>
  <c r="E120" i="883"/>
  <c r="Q119" i="883"/>
  <c r="P119" i="883"/>
  <c r="O119" i="883"/>
  <c r="N119" i="883"/>
  <c r="M119" i="883"/>
  <c r="L119" i="883"/>
  <c r="H119" i="883"/>
  <c r="I119" i="883"/>
  <c r="F119" i="883"/>
  <c r="Q118" i="883"/>
  <c r="P118" i="883"/>
  <c r="O118" i="883"/>
  <c r="N118" i="883"/>
  <c r="M118" i="883"/>
  <c r="L118" i="883"/>
  <c r="H118" i="883"/>
  <c r="J118" i="883"/>
  <c r="G118" i="883"/>
  <c r="F118" i="883"/>
  <c r="E118" i="883"/>
  <c r="Q117" i="883"/>
  <c r="P117" i="883"/>
  <c r="O117" i="883"/>
  <c r="N117" i="883"/>
  <c r="M117" i="883"/>
  <c r="L117" i="883"/>
  <c r="H117" i="883"/>
  <c r="F117" i="883"/>
  <c r="Q116" i="883"/>
  <c r="P116" i="883"/>
  <c r="O116" i="883"/>
  <c r="N116" i="883"/>
  <c r="M116" i="883"/>
  <c r="L116" i="883"/>
  <c r="H116" i="883"/>
  <c r="J116" i="883"/>
  <c r="I116" i="883"/>
  <c r="G116" i="883"/>
  <c r="F116" i="883"/>
  <c r="E116" i="883"/>
  <c r="Q115" i="883"/>
  <c r="P115" i="883"/>
  <c r="O115" i="883"/>
  <c r="N115" i="883"/>
  <c r="M115" i="883"/>
  <c r="L115" i="883"/>
  <c r="H115" i="883"/>
  <c r="I115" i="883"/>
  <c r="F115" i="883"/>
  <c r="Q114" i="883"/>
  <c r="P114" i="883"/>
  <c r="O114" i="883"/>
  <c r="N114" i="883"/>
  <c r="M114" i="883"/>
  <c r="L114" i="883"/>
  <c r="H114" i="883"/>
  <c r="J114" i="883"/>
  <c r="G114" i="883"/>
  <c r="F114" i="883"/>
  <c r="E114" i="883"/>
  <c r="Q113" i="883"/>
  <c r="P113" i="883"/>
  <c r="O113" i="883"/>
  <c r="N113" i="883"/>
  <c r="M113" i="883"/>
  <c r="L113" i="883"/>
  <c r="H113" i="883"/>
  <c r="F113" i="883"/>
  <c r="Q112" i="883"/>
  <c r="P112" i="883"/>
  <c r="O112" i="883"/>
  <c r="N112" i="883"/>
  <c r="M112" i="883"/>
  <c r="L112" i="883"/>
  <c r="H112" i="883"/>
  <c r="J112" i="883"/>
  <c r="I112" i="883"/>
  <c r="G112" i="883"/>
  <c r="F112" i="883"/>
  <c r="E112" i="883"/>
  <c r="Q111" i="883"/>
  <c r="P111" i="883"/>
  <c r="O111" i="883"/>
  <c r="N111" i="883"/>
  <c r="M111" i="883"/>
  <c r="L111" i="883"/>
  <c r="H111" i="883"/>
  <c r="I111" i="883"/>
  <c r="F111" i="883"/>
  <c r="Q110" i="883"/>
  <c r="P110" i="883"/>
  <c r="O110" i="883"/>
  <c r="N110" i="883"/>
  <c r="M110" i="883"/>
  <c r="L110" i="883"/>
  <c r="H110" i="883"/>
  <c r="J110" i="883"/>
  <c r="G110" i="883"/>
  <c r="F110" i="883"/>
  <c r="E110" i="883"/>
  <c r="Q109" i="883"/>
  <c r="P109" i="883"/>
  <c r="O109" i="883"/>
  <c r="N109" i="883"/>
  <c r="M109" i="883"/>
  <c r="L109" i="883"/>
  <c r="H109" i="883"/>
  <c r="F109" i="883"/>
  <c r="Q108" i="883"/>
  <c r="P108" i="883"/>
  <c r="O108" i="883"/>
  <c r="N108" i="883"/>
  <c r="M108" i="883"/>
  <c r="L108" i="883"/>
  <c r="H108" i="883"/>
  <c r="J108" i="883"/>
  <c r="I108" i="883"/>
  <c r="G108" i="883"/>
  <c r="F108" i="883"/>
  <c r="E108" i="883"/>
  <c r="Q107" i="883"/>
  <c r="P107" i="883"/>
  <c r="O107" i="883"/>
  <c r="N107" i="883"/>
  <c r="M107" i="883"/>
  <c r="L107" i="883"/>
  <c r="H107" i="883"/>
  <c r="I107" i="883"/>
  <c r="F107" i="883"/>
  <c r="Q106" i="883"/>
  <c r="P106" i="883"/>
  <c r="O106" i="883"/>
  <c r="N106" i="883"/>
  <c r="M106" i="883"/>
  <c r="L106" i="883"/>
  <c r="I106" i="883"/>
  <c r="H106" i="883"/>
  <c r="G106" i="883"/>
  <c r="F106" i="883"/>
  <c r="E106" i="883"/>
  <c r="Q105" i="883"/>
  <c r="P105" i="883"/>
  <c r="O105" i="883"/>
  <c r="N105" i="883"/>
  <c r="M105" i="883"/>
  <c r="L105" i="883"/>
  <c r="I105" i="883"/>
  <c r="F105" i="883"/>
  <c r="Q104" i="883"/>
  <c r="P104" i="883"/>
  <c r="O104" i="883"/>
  <c r="N104" i="883"/>
  <c r="M104" i="883"/>
  <c r="L104" i="883"/>
  <c r="I104" i="883"/>
  <c r="H104" i="883"/>
  <c r="J104" i="883"/>
  <c r="G104" i="883"/>
  <c r="F104" i="883"/>
  <c r="E104" i="883"/>
  <c r="Q103" i="883"/>
  <c r="P103" i="883"/>
  <c r="O103" i="883"/>
  <c r="N103" i="883"/>
  <c r="M103" i="883"/>
  <c r="L103" i="883"/>
  <c r="I103" i="883"/>
  <c r="J103" i="883"/>
  <c r="F103" i="883"/>
  <c r="Q102" i="883"/>
  <c r="P102" i="883"/>
  <c r="O102" i="883"/>
  <c r="N102" i="883"/>
  <c r="M102" i="883"/>
  <c r="L102" i="883"/>
  <c r="I102" i="883"/>
  <c r="H102" i="883"/>
  <c r="G102" i="883"/>
  <c r="F102" i="883"/>
  <c r="E102" i="883"/>
  <c r="Q101" i="883"/>
  <c r="P101" i="883"/>
  <c r="O101" i="883"/>
  <c r="N101" i="883"/>
  <c r="M101" i="883"/>
  <c r="L101" i="883"/>
  <c r="I101" i="883"/>
  <c r="F101" i="883"/>
  <c r="Q100" i="883"/>
  <c r="P100" i="883"/>
  <c r="O100" i="883"/>
  <c r="N100" i="883"/>
  <c r="M100" i="883"/>
  <c r="L100" i="883"/>
  <c r="I100" i="883"/>
  <c r="H100" i="883"/>
  <c r="J100" i="883"/>
  <c r="G100" i="883"/>
  <c r="F100" i="883"/>
  <c r="E100" i="883"/>
  <c r="Q99" i="883"/>
  <c r="P99" i="883"/>
  <c r="O99" i="883"/>
  <c r="N99" i="883"/>
  <c r="M99" i="883"/>
  <c r="L99" i="883"/>
  <c r="I99" i="883"/>
  <c r="J99" i="883"/>
  <c r="F99" i="883"/>
  <c r="Q98" i="883"/>
  <c r="P98" i="883"/>
  <c r="O98" i="883"/>
  <c r="N98" i="883"/>
  <c r="M98" i="883"/>
  <c r="L98" i="883"/>
  <c r="I98" i="883"/>
  <c r="H98" i="883"/>
  <c r="G98" i="883"/>
  <c r="F98" i="883"/>
  <c r="E98" i="883"/>
  <c r="Q97" i="883"/>
  <c r="P97" i="883"/>
  <c r="O97" i="883"/>
  <c r="N97" i="883"/>
  <c r="M97" i="883"/>
  <c r="L97" i="883"/>
  <c r="I97" i="883"/>
  <c r="F97" i="883"/>
  <c r="Q96" i="883"/>
  <c r="P96" i="883"/>
  <c r="O96" i="883"/>
  <c r="N96" i="883"/>
  <c r="M96" i="883"/>
  <c r="L96" i="883"/>
  <c r="I96" i="883"/>
  <c r="H96" i="883"/>
  <c r="J96" i="883"/>
  <c r="G96" i="883"/>
  <c r="F96" i="883"/>
  <c r="E96" i="883"/>
  <c r="Q95" i="883"/>
  <c r="P95" i="883"/>
  <c r="O95" i="883"/>
  <c r="N95" i="883"/>
  <c r="M95" i="883"/>
  <c r="L95" i="883"/>
  <c r="I95" i="883"/>
  <c r="J95" i="883"/>
  <c r="F95" i="883"/>
  <c r="Q94" i="883"/>
  <c r="P94" i="883"/>
  <c r="O94" i="883"/>
  <c r="N94" i="883"/>
  <c r="M94" i="883"/>
  <c r="L94" i="883"/>
  <c r="I94" i="883"/>
  <c r="H94" i="883"/>
  <c r="G94" i="883"/>
  <c r="F94" i="883"/>
  <c r="E94" i="883"/>
  <c r="Q93" i="883"/>
  <c r="P93" i="883"/>
  <c r="O93" i="883"/>
  <c r="N93" i="883"/>
  <c r="M93" i="883"/>
  <c r="L93" i="883"/>
  <c r="H93" i="883"/>
  <c r="Q92" i="883"/>
  <c r="P92" i="883"/>
  <c r="O92" i="883"/>
  <c r="N92" i="883"/>
  <c r="M92" i="883"/>
  <c r="L92" i="883"/>
  <c r="H92" i="883"/>
  <c r="Q91" i="883"/>
  <c r="P91" i="883"/>
  <c r="O91" i="883"/>
  <c r="N91" i="883"/>
  <c r="M91" i="883"/>
  <c r="L91" i="883"/>
  <c r="J91" i="883"/>
  <c r="E91" i="883"/>
  <c r="Q90" i="883"/>
  <c r="P90" i="883"/>
  <c r="O90" i="883"/>
  <c r="N90" i="883"/>
  <c r="M90" i="883"/>
  <c r="L90" i="883"/>
  <c r="E90" i="883"/>
  <c r="Q89" i="883"/>
  <c r="P89" i="883"/>
  <c r="O89" i="883"/>
  <c r="N89" i="883"/>
  <c r="M89" i="883"/>
  <c r="L89" i="883"/>
  <c r="G89" i="883"/>
  <c r="H89" i="883"/>
  <c r="Q88" i="883"/>
  <c r="P88" i="883"/>
  <c r="O88" i="883"/>
  <c r="N88" i="883"/>
  <c r="M88" i="883"/>
  <c r="L88" i="883"/>
  <c r="H88" i="883"/>
  <c r="Q87" i="883"/>
  <c r="P87" i="883"/>
  <c r="O87" i="883"/>
  <c r="N87" i="883"/>
  <c r="G87" i="883"/>
  <c r="M87" i="883"/>
  <c r="L87" i="883"/>
  <c r="J87" i="883"/>
  <c r="E87" i="883"/>
  <c r="Q86" i="883"/>
  <c r="P86" i="883"/>
  <c r="J86" i="883"/>
  <c r="O86" i="883"/>
  <c r="N86" i="883"/>
  <c r="G86" i="883"/>
  <c r="M86" i="883"/>
  <c r="L86" i="883"/>
  <c r="E86" i="883"/>
  <c r="Q85" i="883"/>
  <c r="P85" i="883"/>
  <c r="O85" i="883"/>
  <c r="N85" i="883"/>
  <c r="M85" i="883"/>
  <c r="L85" i="883"/>
  <c r="H85" i="883"/>
  <c r="Q84" i="883"/>
  <c r="P84" i="883"/>
  <c r="O84" i="883"/>
  <c r="N84" i="883"/>
  <c r="M84" i="883"/>
  <c r="L84" i="883"/>
  <c r="H84" i="883"/>
  <c r="Q83" i="883"/>
  <c r="P83" i="883"/>
  <c r="O83" i="883"/>
  <c r="N83" i="883"/>
  <c r="M83" i="883"/>
  <c r="L83" i="883"/>
  <c r="E83" i="883"/>
  <c r="G83" i="883"/>
  <c r="J83" i="883"/>
  <c r="Q82" i="883"/>
  <c r="J82" i="883"/>
  <c r="P82" i="883"/>
  <c r="O82" i="883"/>
  <c r="N82" i="883"/>
  <c r="G82" i="883"/>
  <c r="M82" i="883"/>
  <c r="L82" i="883"/>
  <c r="E82" i="883"/>
  <c r="Q81" i="883"/>
  <c r="P81" i="883"/>
  <c r="O81" i="883"/>
  <c r="N81" i="883"/>
  <c r="M81" i="883"/>
  <c r="L81" i="883"/>
  <c r="H81" i="883"/>
  <c r="Q80" i="883"/>
  <c r="P80" i="883"/>
  <c r="O80" i="883"/>
  <c r="N80" i="883"/>
  <c r="M80" i="883"/>
  <c r="L80" i="883"/>
  <c r="Q79" i="883"/>
  <c r="J79" i="883"/>
  <c r="P79" i="883"/>
  <c r="O79" i="883"/>
  <c r="N79" i="883"/>
  <c r="M79" i="883"/>
  <c r="L79" i="883"/>
  <c r="E79" i="883"/>
  <c r="Q78" i="883"/>
  <c r="J78" i="883"/>
  <c r="P78" i="883"/>
  <c r="O78" i="883"/>
  <c r="N78" i="883"/>
  <c r="G78" i="883"/>
  <c r="M78" i="883"/>
  <c r="L78" i="883"/>
  <c r="E78" i="883"/>
  <c r="Q77" i="883"/>
  <c r="P77" i="883"/>
  <c r="O77" i="883"/>
  <c r="N77" i="883"/>
  <c r="M77" i="883"/>
  <c r="L77" i="883"/>
  <c r="H77" i="883"/>
  <c r="G77" i="883"/>
  <c r="Q76" i="883"/>
  <c r="P76" i="883"/>
  <c r="O76" i="883"/>
  <c r="N76" i="883"/>
  <c r="M76" i="883"/>
  <c r="L76" i="883"/>
  <c r="Q75" i="883"/>
  <c r="P75" i="883"/>
  <c r="O75" i="883"/>
  <c r="N75" i="883"/>
  <c r="M75" i="883"/>
  <c r="L75" i="883"/>
  <c r="J75" i="883"/>
  <c r="E75" i="883"/>
  <c r="Q74" i="883"/>
  <c r="P74" i="883"/>
  <c r="O74" i="883"/>
  <c r="N74" i="883"/>
  <c r="M74" i="883"/>
  <c r="L74" i="883"/>
  <c r="E74" i="883"/>
  <c r="Q73" i="883"/>
  <c r="P73" i="883"/>
  <c r="O73" i="883"/>
  <c r="N73" i="883"/>
  <c r="M73" i="883"/>
  <c r="L73" i="883"/>
  <c r="G73" i="883"/>
  <c r="Q72" i="883"/>
  <c r="P72" i="883"/>
  <c r="O72" i="883"/>
  <c r="N72" i="883"/>
  <c r="M72" i="883"/>
  <c r="F72" i="883"/>
  <c r="L72" i="883"/>
  <c r="Q71" i="883"/>
  <c r="J71" i="883"/>
  <c r="P71" i="883"/>
  <c r="O71" i="883"/>
  <c r="N71" i="883"/>
  <c r="M71" i="883"/>
  <c r="L71" i="883"/>
  <c r="G71" i="883"/>
  <c r="E71" i="883"/>
  <c r="Q70" i="883"/>
  <c r="J70" i="883"/>
  <c r="P70" i="883"/>
  <c r="O70" i="883"/>
  <c r="N70" i="883"/>
  <c r="M70" i="883"/>
  <c r="L70" i="883"/>
  <c r="E70" i="883"/>
  <c r="G70" i="883"/>
  <c r="Q69" i="883"/>
  <c r="P69" i="883"/>
  <c r="O69" i="883"/>
  <c r="N69" i="883"/>
  <c r="M69" i="883"/>
  <c r="L69" i="883"/>
  <c r="G69" i="883"/>
  <c r="Q68" i="883"/>
  <c r="P68" i="883"/>
  <c r="O68" i="883"/>
  <c r="N68" i="883"/>
  <c r="M68" i="883"/>
  <c r="L68" i="883"/>
  <c r="J68" i="883"/>
  <c r="Q67" i="883"/>
  <c r="P67" i="883"/>
  <c r="O67" i="883"/>
  <c r="N67" i="883"/>
  <c r="G67" i="883"/>
  <c r="M67" i="883"/>
  <c r="L67" i="883"/>
  <c r="J67" i="883"/>
  <c r="E67" i="883"/>
  <c r="Q66" i="883"/>
  <c r="P66" i="883"/>
  <c r="O66" i="883"/>
  <c r="N66" i="883"/>
  <c r="M66" i="883"/>
  <c r="L66" i="883"/>
  <c r="E66" i="883"/>
  <c r="Q65" i="883"/>
  <c r="P65" i="883"/>
  <c r="O65" i="883"/>
  <c r="N65" i="883"/>
  <c r="M65" i="883"/>
  <c r="L65" i="883"/>
  <c r="G65" i="883"/>
  <c r="Q64" i="883"/>
  <c r="P64" i="883"/>
  <c r="O64" i="883"/>
  <c r="N64" i="883"/>
  <c r="M64" i="883"/>
  <c r="L64" i="883"/>
  <c r="J64" i="883"/>
  <c r="E64" i="883"/>
  <c r="Q63" i="883"/>
  <c r="P63" i="883"/>
  <c r="O63" i="883"/>
  <c r="N63" i="883"/>
  <c r="M63" i="883"/>
  <c r="L63" i="883"/>
  <c r="J63" i="883"/>
  <c r="E63" i="883"/>
  <c r="Q62" i="883"/>
  <c r="J62" i="883"/>
  <c r="P62" i="883"/>
  <c r="O62" i="883"/>
  <c r="N62" i="883"/>
  <c r="M62" i="883"/>
  <c r="L62" i="883"/>
  <c r="E62" i="883"/>
  <c r="G62" i="883"/>
  <c r="Q61" i="883"/>
  <c r="P61" i="883"/>
  <c r="O61" i="883"/>
  <c r="N61" i="883"/>
  <c r="M61" i="883"/>
  <c r="L61" i="883"/>
  <c r="Q60" i="883"/>
  <c r="P60" i="883"/>
  <c r="O60" i="883"/>
  <c r="N60" i="883"/>
  <c r="M60" i="883"/>
  <c r="L60" i="883"/>
  <c r="E60" i="883"/>
  <c r="Q59" i="883"/>
  <c r="P59" i="883"/>
  <c r="O59" i="883"/>
  <c r="N59" i="883"/>
  <c r="M59" i="883"/>
  <c r="L59" i="883"/>
  <c r="E59" i="883"/>
  <c r="Q58" i="883"/>
  <c r="J58" i="883"/>
  <c r="P58" i="883"/>
  <c r="O58" i="883"/>
  <c r="N58" i="883"/>
  <c r="M58" i="883"/>
  <c r="L58" i="883"/>
  <c r="G58" i="883"/>
  <c r="E58" i="883"/>
  <c r="Q57" i="883"/>
  <c r="P57" i="883"/>
  <c r="O57" i="883"/>
  <c r="N57" i="883"/>
  <c r="M57" i="883"/>
  <c r="L57" i="883"/>
  <c r="Q56" i="883"/>
  <c r="P56" i="883"/>
  <c r="O56" i="883"/>
  <c r="N56" i="883"/>
  <c r="M56" i="883"/>
  <c r="L56" i="883"/>
  <c r="E56" i="883"/>
  <c r="Q55" i="883"/>
  <c r="P55" i="883"/>
  <c r="O55" i="883"/>
  <c r="N55" i="883"/>
  <c r="M55" i="883"/>
  <c r="L55" i="883"/>
  <c r="J55" i="883"/>
  <c r="Q54" i="883"/>
  <c r="J54" i="883"/>
  <c r="P54" i="883"/>
  <c r="O54" i="883"/>
  <c r="N54" i="883"/>
  <c r="M54" i="883"/>
  <c r="L54" i="883"/>
  <c r="E54" i="883"/>
  <c r="G54" i="883"/>
  <c r="Q53" i="883"/>
  <c r="P53" i="883"/>
  <c r="O53" i="883"/>
  <c r="N53" i="883"/>
  <c r="M53" i="883"/>
  <c r="L53" i="883"/>
  <c r="G53" i="883"/>
  <c r="Q52" i="883"/>
  <c r="P52" i="883"/>
  <c r="O52" i="883"/>
  <c r="N52" i="883"/>
  <c r="M52" i="883"/>
  <c r="L52" i="883"/>
  <c r="J52" i="883"/>
  <c r="E52" i="883"/>
  <c r="Q51" i="883"/>
  <c r="P51" i="883"/>
  <c r="O51" i="883"/>
  <c r="N51" i="883"/>
  <c r="M51" i="883"/>
  <c r="L51" i="883"/>
  <c r="J51" i="883"/>
  <c r="E51" i="883"/>
  <c r="Q50" i="883"/>
  <c r="P50" i="883"/>
  <c r="O50" i="883"/>
  <c r="G50" i="883"/>
  <c r="N50" i="883"/>
  <c r="M50" i="883"/>
  <c r="L50" i="883"/>
  <c r="E50" i="883"/>
  <c r="J50" i="883"/>
  <c r="Q49" i="883"/>
  <c r="P49" i="883"/>
  <c r="O49" i="883"/>
  <c r="N49" i="883"/>
  <c r="M49" i="883"/>
  <c r="L49" i="883"/>
  <c r="G49" i="883"/>
  <c r="Q48" i="883"/>
  <c r="P48" i="883"/>
  <c r="O48" i="883"/>
  <c r="N48" i="883"/>
  <c r="M48" i="883"/>
  <c r="L48" i="883"/>
  <c r="E48" i="883"/>
  <c r="J48" i="883"/>
  <c r="Q47" i="883"/>
  <c r="P47" i="883"/>
  <c r="O47" i="883"/>
  <c r="N47" i="883"/>
  <c r="M47" i="883"/>
  <c r="L47" i="883"/>
  <c r="E47" i="883"/>
  <c r="Q46" i="883"/>
  <c r="P46" i="883"/>
  <c r="O46" i="883"/>
  <c r="N46" i="883"/>
  <c r="M46" i="883"/>
  <c r="L46" i="883"/>
  <c r="J46" i="883"/>
  <c r="Q45" i="883"/>
  <c r="P45" i="883"/>
  <c r="O45" i="883"/>
  <c r="N45" i="883"/>
  <c r="M45" i="883"/>
  <c r="L45" i="883"/>
  <c r="G45" i="883"/>
  <c r="Q44" i="883"/>
  <c r="P44" i="883"/>
  <c r="O44" i="883"/>
  <c r="G44" i="883"/>
  <c r="N44" i="883"/>
  <c r="M44" i="883"/>
  <c r="L44" i="883"/>
  <c r="E44" i="883"/>
  <c r="J44" i="883"/>
  <c r="Q43" i="883"/>
  <c r="P43" i="883"/>
  <c r="O43" i="883"/>
  <c r="N43" i="883"/>
  <c r="M43" i="883"/>
  <c r="L43" i="883"/>
  <c r="E43" i="883"/>
  <c r="J43" i="883"/>
  <c r="Q42" i="883"/>
  <c r="P42" i="883"/>
  <c r="O42" i="883"/>
  <c r="N42" i="883"/>
  <c r="G42" i="883"/>
  <c r="M42" i="883"/>
  <c r="L42" i="883"/>
  <c r="E42" i="883"/>
  <c r="Q41" i="883"/>
  <c r="P41" i="883"/>
  <c r="O41" i="883"/>
  <c r="N41" i="883"/>
  <c r="M41" i="883"/>
  <c r="L41" i="883"/>
  <c r="Q40" i="883"/>
  <c r="P40" i="883"/>
  <c r="O40" i="883"/>
  <c r="N40" i="883"/>
  <c r="M40" i="883"/>
  <c r="L40" i="883"/>
  <c r="E40" i="883"/>
  <c r="Q39" i="883"/>
  <c r="P39" i="883"/>
  <c r="O39" i="883"/>
  <c r="N39" i="883"/>
  <c r="M39" i="883"/>
  <c r="L39" i="883"/>
  <c r="E39" i="883"/>
  <c r="Q38" i="883"/>
  <c r="J38" i="883"/>
  <c r="P38" i="883"/>
  <c r="O38" i="883"/>
  <c r="N38" i="883"/>
  <c r="M38" i="883"/>
  <c r="L38" i="883"/>
  <c r="G38" i="883"/>
  <c r="E38" i="883"/>
  <c r="Q37" i="883"/>
  <c r="P37" i="883"/>
  <c r="O37" i="883"/>
  <c r="N37" i="883"/>
  <c r="M37" i="883"/>
  <c r="L37" i="883"/>
  <c r="G37" i="883"/>
  <c r="E37" i="883"/>
  <c r="Q36" i="883"/>
  <c r="P36" i="883"/>
  <c r="O36" i="883"/>
  <c r="N36" i="883"/>
  <c r="M36" i="883"/>
  <c r="L36" i="883"/>
  <c r="G36" i="883"/>
  <c r="Q35" i="883"/>
  <c r="P35" i="883"/>
  <c r="O35" i="883"/>
  <c r="N35" i="883"/>
  <c r="H35" i="883"/>
  <c r="M35" i="883"/>
  <c r="L35" i="883"/>
  <c r="Q34" i="883"/>
  <c r="P34" i="883"/>
  <c r="O34" i="883"/>
  <c r="N34" i="883"/>
  <c r="M34" i="883"/>
  <c r="L34" i="883"/>
  <c r="J34" i="883"/>
  <c r="E34" i="883"/>
  <c r="Q33" i="883"/>
  <c r="P33" i="883"/>
  <c r="O33" i="883"/>
  <c r="N33" i="883"/>
  <c r="M33" i="883"/>
  <c r="L33" i="883"/>
  <c r="E33" i="883"/>
  <c r="Q32" i="883"/>
  <c r="P32" i="883"/>
  <c r="O32" i="883"/>
  <c r="N32" i="883"/>
  <c r="M32" i="883"/>
  <c r="F32" i="883"/>
  <c r="L32" i="883"/>
  <c r="G32" i="883"/>
  <c r="Q31" i="883"/>
  <c r="P31" i="883"/>
  <c r="O31" i="883"/>
  <c r="N31" i="883"/>
  <c r="M31" i="883"/>
  <c r="F31" i="883"/>
  <c r="L31" i="883"/>
  <c r="H31" i="883"/>
  <c r="Q30" i="883"/>
  <c r="P30" i="883"/>
  <c r="O30" i="883"/>
  <c r="N30" i="883"/>
  <c r="M30" i="883"/>
  <c r="L30" i="883"/>
  <c r="J30" i="883"/>
  <c r="Q29" i="883"/>
  <c r="P29" i="883"/>
  <c r="O29" i="883"/>
  <c r="N29" i="883"/>
  <c r="M29" i="883"/>
  <c r="L29" i="883"/>
  <c r="E29" i="883"/>
  <c r="Q28" i="883"/>
  <c r="P28" i="883"/>
  <c r="O28" i="883"/>
  <c r="N28" i="883"/>
  <c r="M28" i="883"/>
  <c r="L28" i="883"/>
  <c r="G28" i="883"/>
  <c r="Q27" i="883"/>
  <c r="P27" i="883"/>
  <c r="O27" i="883"/>
  <c r="N27" i="883"/>
  <c r="M27" i="883"/>
  <c r="L27" i="883"/>
  <c r="Q26" i="883"/>
  <c r="P26" i="883"/>
  <c r="O26" i="883"/>
  <c r="N26" i="883"/>
  <c r="M26" i="883"/>
  <c r="L26" i="883"/>
  <c r="J26" i="883"/>
  <c r="E26" i="883"/>
  <c r="Q25" i="883"/>
  <c r="P25" i="883"/>
  <c r="O25" i="883"/>
  <c r="N25" i="883"/>
  <c r="M25" i="883"/>
  <c r="L25" i="883"/>
  <c r="Q24" i="883"/>
  <c r="P24" i="883"/>
  <c r="O24" i="883"/>
  <c r="N24" i="883"/>
  <c r="M24" i="883"/>
  <c r="L24" i="883"/>
  <c r="G24" i="883"/>
  <c r="Q23" i="883"/>
  <c r="P23" i="883"/>
  <c r="O23" i="883"/>
  <c r="N23" i="883"/>
  <c r="M23" i="883"/>
  <c r="L23" i="883"/>
  <c r="H23" i="883"/>
  <c r="Q22" i="883"/>
  <c r="P22" i="883"/>
  <c r="O22" i="883"/>
  <c r="N22" i="883"/>
  <c r="M22" i="883"/>
  <c r="L22" i="883"/>
  <c r="E22" i="883"/>
  <c r="Q21" i="883"/>
  <c r="P21" i="883"/>
  <c r="J21" i="883"/>
  <c r="O21" i="883"/>
  <c r="G21" i="883"/>
  <c r="N21" i="883"/>
  <c r="M21" i="883"/>
  <c r="F21" i="883"/>
  <c r="L21" i="883"/>
  <c r="E21" i="883"/>
  <c r="Q20" i="883"/>
  <c r="P20" i="883"/>
  <c r="O20" i="883"/>
  <c r="N20" i="883"/>
  <c r="M20" i="883"/>
  <c r="L20" i="883"/>
  <c r="G20" i="883"/>
  <c r="Q19" i="883"/>
  <c r="P19" i="883"/>
  <c r="O19" i="883"/>
  <c r="N19" i="883"/>
  <c r="M19" i="883"/>
  <c r="F19" i="883"/>
  <c r="L19" i="883"/>
  <c r="H19" i="883"/>
  <c r="Q18" i="883"/>
  <c r="J18" i="883"/>
  <c r="P18" i="883"/>
  <c r="O18" i="883"/>
  <c r="N18" i="883"/>
  <c r="M18" i="883"/>
  <c r="F18" i="883"/>
  <c r="L18" i="883"/>
  <c r="E18" i="883"/>
  <c r="Q17" i="883"/>
  <c r="P17" i="883"/>
  <c r="O17" i="883"/>
  <c r="N17" i="883"/>
  <c r="M17" i="883"/>
  <c r="L17" i="883"/>
  <c r="E17" i="883"/>
  <c r="Q16" i="883"/>
  <c r="P16" i="883"/>
  <c r="O16" i="883"/>
  <c r="N16" i="883"/>
  <c r="M16" i="883"/>
  <c r="L16" i="883"/>
  <c r="G16" i="883"/>
  <c r="Q15" i="883"/>
  <c r="P15" i="883"/>
  <c r="O15" i="883"/>
  <c r="N15" i="883"/>
  <c r="M15" i="883"/>
  <c r="L15" i="883"/>
  <c r="F15" i="883"/>
  <c r="Q14" i="883"/>
  <c r="J14" i="883"/>
  <c r="P14" i="883"/>
  <c r="O14" i="883"/>
  <c r="N14" i="883"/>
  <c r="M14" i="883"/>
  <c r="F35" i="883"/>
  <c r="L14" i="883"/>
  <c r="F14" i="883"/>
  <c r="E14" i="883"/>
  <c r="C9" i="883"/>
  <c r="M7" i="883"/>
  <c r="V5" i="883"/>
  <c r="V4" i="883"/>
  <c r="S1" i="883"/>
  <c r="L15" i="304"/>
  <c r="E15" i="304"/>
  <c r="K15" i="41"/>
  <c r="K19" i="41"/>
  <c r="K10" i="41"/>
  <c r="K11" i="41"/>
  <c r="K12" i="41"/>
  <c r="K13" i="41"/>
  <c r="K14" i="41"/>
  <c r="K16" i="41"/>
  <c r="K17" i="41"/>
  <c r="K18" i="41"/>
  <c r="K20" i="41"/>
  <c r="K21" i="41"/>
  <c r="K22" i="41"/>
  <c r="K23" i="41"/>
  <c r="K24" i="41"/>
  <c r="K25" i="41"/>
  <c r="K26" i="41"/>
  <c r="K27" i="41"/>
  <c r="K28" i="41"/>
  <c r="K29" i="41"/>
  <c r="K30" i="41"/>
  <c r="L11" i="41"/>
  <c r="L12" i="41"/>
  <c r="L13" i="41"/>
  <c r="L10" i="41"/>
  <c r="L14" i="41"/>
  <c r="L15" i="41"/>
  <c r="L16" i="41"/>
  <c r="L17" i="41"/>
  <c r="L18" i="41"/>
  <c r="L19" i="41"/>
  <c r="L20" i="41"/>
  <c r="L21" i="41"/>
  <c r="L22" i="41"/>
  <c r="L23" i="41"/>
  <c r="L24" i="41"/>
  <c r="L25" i="41"/>
  <c r="L26" i="41"/>
  <c r="L27" i="41"/>
  <c r="L28" i="41"/>
  <c r="L29" i="41"/>
  <c r="L30" i="41"/>
  <c r="M15" i="304"/>
  <c r="M16" i="304"/>
  <c r="M17" i="304"/>
  <c r="M18" i="304"/>
  <c r="M19" i="304"/>
  <c r="M20" i="304"/>
  <c r="M21" i="304"/>
  <c r="M22" i="304"/>
  <c r="M23" i="304"/>
  <c r="M24" i="304"/>
  <c r="M25" i="304"/>
  <c r="M26" i="304"/>
  <c r="M27" i="304"/>
  <c r="M28" i="304"/>
  <c r="M29" i="304"/>
  <c r="M30" i="304"/>
  <c r="M31" i="304"/>
  <c r="M32" i="304"/>
  <c r="M33" i="304"/>
  <c r="M34" i="304"/>
  <c r="M35" i="304"/>
  <c r="M36" i="304"/>
  <c r="M37" i="304"/>
  <c r="M38" i="304"/>
  <c r="M39" i="304"/>
  <c r="M40" i="304"/>
  <c r="M41" i="304"/>
  <c r="M42" i="304"/>
  <c r="M43" i="304"/>
  <c r="M44" i="304"/>
  <c r="M45" i="304"/>
  <c r="M46" i="304"/>
  <c r="M47" i="304"/>
  <c r="M48" i="304"/>
  <c r="M49" i="304"/>
  <c r="M50" i="304"/>
  <c r="M51" i="304"/>
  <c r="M52" i="304"/>
  <c r="M53" i="304"/>
  <c r="M54" i="304"/>
  <c r="M55" i="304"/>
  <c r="M56" i="304"/>
  <c r="M57" i="304"/>
  <c r="M58" i="304"/>
  <c r="M59" i="304"/>
  <c r="M60" i="304"/>
  <c r="M61" i="304"/>
  <c r="M62" i="304"/>
  <c r="M63" i="304"/>
  <c r="M64" i="304"/>
  <c r="M65" i="304"/>
  <c r="M66" i="304"/>
  <c r="M67" i="304"/>
  <c r="M68" i="304"/>
  <c r="M69" i="304"/>
  <c r="M70" i="304"/>
  <c r="M71" i="304"/>
  <c r="M72" i="304"/>
  <c r="M73" i="304"/>
  <c r="M74" i="304"/>
  <c r="M75" i="304"/>
  <c r="M76" i="304"/>
  <c r="M77" i="304"/>
  <c r="M78" i="304"/>
  <c r="M79" i="304"/>
  <c r="M80" i="304"/>
  <c r="M81" i="304"/>
  <c r="M82" i="304"/>
  <c r="M83" i="304"/>
  <c r="M84" i="304"/>
  <c r="M85" i="304"/>
  <c r="M86" i="304"/>
  <c r="M87" i="304"/>
  <c r="M88" i="304"/>
  <c r="M89" i="304"/>
  <c r="M90" i="304"/>
  <c r="M91" i="304"/>
  <c r="M92" i="304"/>
  <c r="M93" i="304"/>
  <c r="M94" i="304"/>
  <c r="M95" i="304"/>
  <c r="M96" i="304"/>
  <c r="M97" i="304"/>
  <c r="M98" i="304"/>
  <c r="M99" i="304"/>
  <c r="M100" i="304"/>
  <c r="M101" i="304"/>
  <c r="M102" i="304"/>
  <c r="M103" i="304"/>
  <c r="M104" i="304"/>
  <c r="M105" i="304"/>
  <c r="M106" i="304"/>
  <c r="M107" i="304"/>
  <c r="M108" i="304"/>
  <c r="M109" i="304"/>
  <c r="M110" i="304"/>
  <c r="M111" i="304"/>
  <c r="M112" i="304"/>
  <c r="M113" i="304"/>
  <c r="M114" i="304"/>
  <c r="M115" i="304"/>
  <c r="M116" i="304"/>
  <c r="M117" i="304"/>
  <c r="M118" i="304"/>
  <c r="M119" i="304"/>
  <c r="M120" i="304"/>
  <c r="M121" i="304"/>
  <c r="M122" i="304"/>
  <c r="M123" i="304"/>
  <c r="M124" i="304"/>
  <c r="M125" i="304"/>
  <c r="M126" i="304"/>
  <c r="M127" i="304"/>
  <c r="M128" i="304"/>
  <c r="M129" i="304"/>
  <c r="M130" i="304"/>
  <c r="M131" i="304"/>
  <c r="M132" i="304"/>
  <c r="M133" i="304"/>
  <c r="M134" i="304"/>
  <c r="M135" i="304"/>
  <c r="M136" i="304"/>
  <c r="M137" i="304"/>
  <c r="M138" i="304"/>
  <c r="M139" i="304"/>
  <c r="M140" i="304"/>
  <c r="M141" i="304"/>
  <c r="M142" i="304"/>
  <c r="M143" i="304"/>
  <c r="M144" i="304"/>
  <c r="M145" i="304"/>
  <c r="M146" i="304"/>
  <c r="M147" i="304"/>
  <c r="M148" i="304"/>
  <c r="M149" i="304"/>
  <c r="M150" i="304"/>
  <c r="M151" i="304"/>
  <c r="M152" i="304"/>
  <c r="M153" i="304"/>
  <c r="M154" i="304"/>
  <c r="M155" i="304"/>
  <c r="M156" i="304"/>
  <c r="M157" i="304"/>
  <c r="M158" i="304"/>
  <c r="M159" i="304"/>
  <c r="M160" i="304"/>
  <c r="M161" i="304"/>
  <c r="M162" i="304"/>
  <c r="M163" i="304"/>
  <c r="M164" i="304"/>
  <c r="M165" i="304"/>
  <c r="M166" i="304"/>
  <c r="M167" i="304"/>
  <c r="M168" i="304"/>
  <c r="M169" i="304"/>
  <c r="M170" i="304"/>
  <c r="M171" i="304"/>
  <c r="M172" i="304"/>
  <c r="M173" i="304"/>
  <c r="M174" i="304"/>
  <c r="M175" i="304"/>
  <c r="M176" i="304"/>
  <c r="M177" i="304"/>
  <c r="M178" i="304"/>
  <c r="M179" i="304"/>
  <c r="M180" i="304"/>
  <c r="M181" i="304"/>
  <c r="M182" i="304"/>
  <c r="M183" i="304"/>
  <c r="M184" i="304"/>
  <c r="M185" i="304"/>
  <c r="M186" i="304"/>
  <c r="M187" i="304"/>
  <c r="M188" i="304"/>
  <c r="M189" i="304"/>
  <c r="M190" i="304"/>
  <c r="M191" i="304"/>
  <c r="M192" i="304"/>
  <c r="M193" i="304"/>
  <c r="M194" i="304"/>
  <c r="M195" i="304"/>
  <c r="M196" i="304"/>
  <c r="M197" i="304"/>
  <c r="M198" i="304"/>
  <c r="M199" i="304"/>
  <c r="M200" i="304"/>
  <c r="M201" i="304"/>
  <c r="M202" i="304"/>
  <c r="M203" i="304"/>
  <c r="M14" i="304"/>
  <c r="L14" i="304"/>
  <c r="E14" i="304"/>
  <c r="I14" i="304"/>
  <c r="S1" i="304"/>
  <c r="N14" i="304"/>
  <c r="O14" i="304"/>
  <c r="N15" i="304"/>
  <c r="O15" i="304"/>
  <c r="G15" i="304"/>
  <c r="L16" i="304"/>
  <c r="I16" i="304"/>
  <c r="G16" i="304"/>
  <c r="N16" i="304"/>
  <c r="O16" i="304"/>
  <c r="L17" i="304"/>
  <c r="I17" i="304"/>
  <c r="G17" i="304"/>
  <c r="N17" i="304"/>
  <c r="O17" i="304"/>
  <c r="L18" i="304"/>
  <c r="G18" i="304"/>
  <c r="N18" i="304"/>
  <c r="O18" i="304"/>
  <c r="L19" i="304"/>
  <c r="G19" i="304"/>
  <c r="N19" i="304"/>
  <c r="O19" i="304"/>
  <c r="L20" i="304"/>
  <c r="G20" i="304"/>
  <c r="N20" i="304"/>
  <c r="O20" i="304"/>
  <c r="L21" i="304"/>
  <c r="I21" i="304"/>
  <c r="G21" i="304"/>
  <c r="N21" i="304"/>
  <c r="O21" i="304"/>
  <c r="L22" i="304"/>
  <c r="G22" i="304"/>
  <c r="N22" i="304"/>
  <c r="O22" i="304"/>
  <c r="L23" i="304"/>
  <c r="G23" i="304"/>
  <c r="N23" i="304"/>
  <c r="O23" i="304"/>
  <c r="L24" i="304"/>
  <c r="G24" i="304"/>
  <c r="N24" i="304"/>
  <c r="O24" i="304"/>
  <c r="L25" i="304"/>
  <c r="I25" i="304"/>
  <c r="G25" i="304"/>
  <c r="N25" i="304"/>
  <c r="O25" i="304"/>
  <c r="L26" i="304"/>
  <c r="G26" i="304"/>
  <c r="N26" i="304"/>
  <c r="O26" i="304"/>
  <c r="L27" i="304"/>
  <c r="G27" i="304"/>
  <c r="N27" i="304"/>
  <c r="O27" i="304"/>
  <c r="L28" i="304"/>
  <c r="G28" i="304"/>
  <c r="N28" i="304"/>
  <c r="O28" i="304"/>
  <c r="L29" i="304"/>
  <c r="I29" i="304"/>
  <c r="G29" i="304"/>
  <c r="N29" i="304"/>
  <c r="O29" i="304"/>
  <c r="L30" i="304"/>
  <c r="G30" i="304"/>
  <c r="N30" i="304"/>
  <c r="O30" i="304"/>
  <c r="L31" i="304"/>
  <c r="G31" i="304"/>
  <c r="N31" i="304"/>
  <c r="O31" i="304"/>
  <c r="L32" i="304"/>
  <c r="G32" i="304"/>
  <c r="N32" i="304"/>
  <c r="O32" i="304"/>
  <c r="L33" i="304"/>
  <c r="I33" i="304"/>
  <c r="G33" i="304"/>
  <c r="N33" i="304"/>
  <c r="O33" i="304"/>
  <c r="L34" i="304"/>
  <c r="G34" i="304"/>
  <c r="N34" i="304"/>
  <c r="O34" i="304"/>
  <c r="L35" i="304"/>
  <c r="E35" i="304"/>
  <c r="G35" i="304"/>
  <c r="N35" i="304"/>
  <c r="O35" i="304"/>
  <c r="L36" i="304"/>
  <c r="G36" i="304"/>
  <c r="N36" i="304"/>
  <c r="O36" i="304"/>
  <c r="L37" i="304"/>
  <c r="G37" i="304"/>
  <c r="N37" i="304"/>
  <c r="O37" i="304"/>
  <c r="L38" i="304"/>
  <c r="G38" i="304"/>
  <c r="N38" i="304"/>
  <c r="O38" i="304"/>
  <c r="L39" i="304"/>
  <c r="G39" i="304"/>
  <c r="N39" i="304"/>
  <c r="O39" i="304"/>
  <c r="L40" i="304"/>
  <c r="G40" i="304"/>
  <c r="N40" i="304"/>
  <c r="O40" i="304"/>
  <c r="L41" i="304"/>
  <c r="G41" i="304"/>
  <c r="N41" i="304"/>
  <c r="O41" i="304"/>
  <c r="L42" i="304"/>
  <c r="G42" i="304"/>
  <c r="N42" i="304"/>
  <c r="O42" i="304"/>
  <c r="L43" i="304"/>
  <c r="G43" i="304"/>
  <c r="N43" i="304"/>
  <c r="O43" i="304"/>
  <c r="L44" i="304"/>
  <c r="G44" i="304"/>
  <c r="N44" i="304"/>
  <c r="O44" i="304"/>
  <c r="L45" i="304"/>
  <c r="G45" i="304"/>
  <c r="N45" i="304"/>
  <c r="O45" i="304"/>
  <c r="L46" i="304"/>
  <c r="G46" i="304"/>
  <c r="N46" i="304"/>
  <c r="O46" i="304"/>
  <c r="L47" i="304"/>
  <c r="G47" i="304"/>
  <c r="N47" i="304"/>
  <c r="O47" i="304"/>
  <c r="L48" i="304"/>
  <c r="G48" i="304"/>
  <c r="N48" i="304"/>
  <c r="O48" i="304"/>
  <c r="L49" i="304"/>
  <c r="G49" i="304"/>
  <c r="N49" i="304"/>
  <c r="O49" i="304"/>
  <c r="L50" i="304"/>
  <c r="G50" i="304"/>
  <c r="L51" i="304"/>
  <c r="G51" i="304"/>
  <c r="L52" i="304"/>
  <c r="G52" i="304"/>
  <c r="L53" i="304"/>
  <c r="G53" i="304"/>
  <c r="L54" i="304"/>
  <c r="G54" i="304"/>
  <c r="L55" i="304"/>
  <c r="G55" i="304"/>
  <c r="L56" i="304"/>
  <c r="G56" i="304"/>
  <c r="L57" i="304"/>
  <c r="G57" i="304"/>
  <c r="L58" i="304"/>
  <c r="G58" i="304"/>
  <c r="L59" i="304"/>
  <c r="G59" i="304"/>
  <c r="L60" i="304"/>
  <c r="G60" i="304"/>
  <c r="L61" i="304"/>
  <c r="G61" i="304"/>
  <c r="L62" i="304"/>
  <c r="G62" i="304"/>
  <c r="L63" i="304"/>
  <c r="G63" i="304"/>
  <c r="L64" i="304"/>
  <c r="G64" i="304"/>
  <c r="L65" i="304"/>
  <c r="G65" i="304"/>
  <c r="L66" i="304"/>
  <c r="G66" i="304"/>
  <c r="L67" i="304"/>
  <c r="G67" i="304"/>
  <c r="L68" i="304"/>
  <c r="G68" i="304"/>
  <c r="L69" i="304"/>
  <c r="G69" i="304"/>
  <c r="L70" i="304"/>
  <c r="G70" i="304"/>
  <c r="L71" i="304"/>
  <c r="G71" i="304"/>
  <c r="L72" i="304"/>
  <c r="G72" i="304"/>
  <c r="L73" i="304"/>
  <c r="G73" i="304"/>
  <c r="L74" i="304"/>
  <c r="G74" i="304"/>
  <c r="L75" i="304"/>
  <c r="G75" i="304"/>
  <c r="L76" i="304"/>
  <c r="G76" i="304"/>
  <c r="L77" i="304"/>
  <c r="G77" i="304"/>
  <c r="L78" i="304"/>
  <c r="G78" i="304"/>
  <c r="L79" i="304"/>
  <c r="G79" i="304"/>
  <c r="L80" i="304"/>
  <c r="G80" i="304"/>
  <c r="L81" i="304"/>
  <c r="G81" i="304"/>
  <c r="L82" i="304"/>
  <c r="G82" i="304"/>
  <c r="L83" i="304"/>
  <c r="G83" i="304"/>
  <c r="L84" i="304"/>
  <c r="G84" i="304"/>
  <c r="L85" i="304"/>
  <c r="G85" i="304"/>
  <c r="L86" i="304"/>
  <c r="G86" i="304"/>
  <c r="L87" i="304"/>
  <c r="G87" i="304"/>
  <c r="L88" i="304"/>
  <c r="G88" i="304"/>
  <c r="L89" i="304"/>
  <c r="G89" i="304"/>
  <c r="L90" i="304"/>
  <c r="G90" i="304"/>
  <c r="L91" i="304"/>
  <c r="G91" i="304"/>
  <c r="L92" i="304"/>
  <c r="G92" i="304"/>
  <c r="L93" i="304"/>
  <c r="G93" i="304"/>
  <c r="L94" i="304"/>
  <c r="G94" i="304"/>
  <c r="L95" i="304"/>
  <c r="G95" i="304"/>
  <c r="L96" i="304"/>
  <c r="G96" i="304"/>
  <c r="L97" i="304"/>
  <c r="G97" i="304"/>
  <c r="L98" i="304"/>
  <c r="G98" i="304"/>
  <c r="L99" i="304"/>
  <c r="G99" i="304"/>
  <c r="L100" i="304"/>
  <c r="G100" i="304"/>
  <c r="L101" i="304"/>
  <c r="G101" i="304"/>
  <c r="L102" i="304"/>
  <c r="G102" i="304"/>
  <c r="L103" i="304"/>
  <c r="G103" i="304"/>
  <c r="L104" i="304"/>
  <c r="G104" i="304"/>
  <c r="L105" i="304"/>
  <c r="G105" i="304"/>
  <c r="L106" i="304"/>
  <c r="G106" i="304"/>
  <c r="L107" i="304"/>
  <c r="G107" i="304"/>
  <c r="L108" i="304"/>
  <c r="G108" i="304"/>
  <c r="L109" i="304"/>
  <c r="G109" i="304"/>
  <c r="L110" i="304"/>
  <c r="G110" i="304"/>
  <c r="L111" i="304"/>
  <c r="G111" i="304"/>
  <c r="L112" i="304"/>
  <c r="G112" i="304"/>
  <c r="L113" i="304"/>
  <c r="G113" i="304"/>
  <c r="L114" i="304"/>
  <c r="G114" i="304"/>
  <c r="L115" i="304"/>
  <c r="G115" i="304"/>
  <c r="L116" i="304"/>
  <c r="G116" i="304"/>
  <c r="L117" i="304"/>
  <c r="G117" i="304"/>
  <c r="L118" i="304"/>
  <c r="G118" i="304"/>
  <c r="L119" i="304"/>
  <c r="G119" i="304"/>
  <c r="L120" i="304"/>
  <c r="G120" i="304"/>
  <c r="L121" i="304"/>
  <c r="G121" i="304"/>
  <c r="L122" i="304"/>
  <c r="G122" i="304"/>
  <c r="L123" i="304"/>
  <c r="G123" i="304"/>
  <c r="L124" i="304"/>
  <c r="G124" i="304"/>
  <c r="L125" i="304"/>
  <c r="G125" i="304"/>
  <c r="L126" i="304"/>
  <c r="G126" i="304"/>
  <c r="L127" i="304"/>
  <c r="G127" i="304"/>
  <c r="L128" i="304"/>
  <c r="G128" i="304"/>
  <c r="L129" i="304"/>
  <c r="G129" i="304"/>
  <c r="L130" i="304"/>
  <c r="G130" i="304"/>
  <c r="L131" i="304"/>
  <c r="G131" i="304"/>
  <c r="L132" i="304"/>
  <c r="G132" i="304"/>
  <c r="L133" i="304"/>
  <c r="G133" i="304"/>
  <c r="L134" i="304"/>
  <c r="G134" i="304"/>
  <c r="L135" i="304"/>
  <c r="G135" i="304"/>
  <c r="L136" i="304"/>
  <c r="G136" i="304"/>
  <c r="L137" i="304"/>
  <c r="G137" i="304"/>
  <c r="L138" i="304"/>
  <c r="G138" i="304"/>
  <c r="L139" i="304"/>
  <c r="G139" i="304"/>
  <c r="L140" i="304"/>
  <c r="G140" i="304"/>
  <c r="L141" i="304"/>
  <c r="G141" i="304"/>
  <c r="L142" i="304"/>
  <c r="G142" i="304"/>
  <c r="L143" i="304"/>
  <c r="G143" i="304"/>
  <c r="L144" i="304"/>
  <c r="G144" i="304"/>
  <c r="L145" i="304"/>
  <c r="G145" i="304"/>
  <c r="L146" i="304"/>
  <c r="G146" i="304"/>
  <c r="L147" i="304"/>
  <c r="G147" i="304"/>
  <c r="L148" i="304"/>
  <c r="G148" i="304"/>
  <c r="L149" i="304"/>
  <c r="G149" i="304"/>
  <c r="L150" i="304"/>
  <c r="G150" i="304"/>
  <c r="L151" i="304"/>
  <c r="G151" i="304"/>
  <c r="L152" i="304"/>
  <c r="G152" i="304"/>
  <c r="L153" i="304"/>
  <c r="G153" i="304"/>
  <c r="L154" i="304"/>
  <c r="G154" i="304"/>
  <c r="L155" i="304"/>
  <c r="G155" i="304"/>
  <c r="L156" i="304"/>
  <c r="G156" i="304"/>
  <c r="L157" i="304"/>
  <c r="G157" i="304"/>
  <c r="L158" i="304"/>
  <c r="G158" i="304"/>
  <c r="L159" i="304"/>
  <c r="G159" i="304"/>
  <c r="L160" i="304"/>
  <c r="G160" i="304"/>
  <c r="L161" i="304"/>
  <c r="G161" i="304"/>
  <c r="L162" i="304"/>
  <c r="G162" i="304"/>
  <c r="L163" i="304"/>
  <c r="G163" i="304"/>
  <c r="L164" i="304"/>
  <c r="G164" i="304"/>
  <c r="L165" i="304"/>
  <c r="G165" i="304"/>
  <c r="L166" i="304"/>
  <c r="G166" i="304"/>
  <c r="L167" i="304"/>
  <c r="G167" i="304"/>
  <c r="L168" i="304"/>
  <c r="G168" i="304"/>
  <c r="L169" i="304"/>
  <c r="G169" i="304"/>
  <c r="L170" i="304"/>
  <c r="G170" i="304"/>
  <c r="L171" i="304"/>
  <c r="G171" i="304"/>
  <c r="L172" i="304"/>
  <c r="G172" i="304"/>
  <c r="L173" i="304"/>
  <c r="G173" i="304"/>
  <c r="L174" i="304"/>
  <c r="G174" i="304"/>
  <c r="L175" i="304"/>
  <c r="G175" i="304"/>
  <c r="L176" i="304"/>
  <c r="G176" i="304"/>
  <c r="L177" i="304"/>
  <c r="G177" i="304"/>
  <c r="L178" i="304"/>
  <c r="G178" i="304"/>
  <c r="L179" i="304"/>
  <c r="G179" i="304"/>
  <c r="L180" i="304"/>
  <c r="G180" i="304"/>
  <c r="L181" i="304"/>
  <c r="G181" i="304"/>
  <c r="L182" i="304"/>
  <c r="G182" i="304"/>
  <c r="L183" i="304"/>
  <c r="G183" i="304"/>
  <c r="L184" i="304"/>
  <c r="G184" i="304"/>
  <c r="L185" i="304"/>
  <c r="G185" i="304"/>
  <c r="L186" i="304"/>
  <c r="G186" i="304"/>
  <c r="L187" i="304"/>
  <c r="G187" i="304"/>
  <c r="L188" i="304"/>
  <c r="G188" i="304"/>
  <c r="L189" i="304"/>
  <c r="G189" i="304"/>
  <c r="L190" i="304"/>
  <c r="G190" i="304"/>
  <c r="L191" i="304"/>
  <c r="G191" i="304"/>
  <c r="L192" i="304"/>
  <c r="G192" i="304"/>
  <c r="L193" i="304"/>
  <c r="G193" i="304"/>
  <c r="L194" i="304"/>
  <c r="G194" i="304"/>
  <c r="L195" i="304"/>
  <c r="G195" i="304"/>
  <c r="L196" i="304"/>
  <c r="G196" i="304"/>
  <c r="L197" i="304"/>
  <c r="G197" i="304"/>
  <c r="L198" i="304"/>
  <c r="G198" i="304"/>
  <c r="L199" i="304"/>
  <c r="G199" i="304"/>
  <c r="L200" i="304"/>
  <c r="G200" i="304"/>
  <c r="L201" i="304"/>
  <c r="G201" i="304"/>
  <c r="L202" i="304"/>
  <c r="G202" i="304"/>
  <c r="L203" i="304"/>
  <c r="G203" i="304"/>
  <c r="V4" i="304"/>
  <c r="P15" i="304"/>
  <c r="Q15" i="304"/>
  <c r="V5" i="304"/>
  <c r="P16" i="304"/>
  <c r="Q16" i="304"/>
  <c r="J15" i="304"/>
  <c r="K6" i="304"/>
  <c r="Q7" i="304"/>
  <c r="P47" i="304"/>
  <c r="Q47" i="304"/>
  <c r="I47" i="304"/>
  <c r="M7" i="304"/>
  <c r="H15" i="304"/>
  <c r="H16" i="304"/>
  <c r="C9" i="304"/>
  <c r="P14" i="304"/>
  <c r="Q14" i="304"/>
  <c r="J14" i="304"/>
  <c r="F15" i="304"/>
  <c r="E17" i="304"/>
  <c r="P17" i="304"/>
  <c r="Q17" i="304"/>
  <c r="P18" i="304"/>
  <c r="Q18" i="304"/>
  <c r="E19" i="304"/>
  <c r="P19" i="304"/>
  <c r="Q19" i="304"/>
  <c r="I19" i="304"/>
  <c r="P20" i="304"/>
  <c r="Q20" i="304"/>
  <c r="E21" i="304"/>
  <c r="P21" i="304"/>
  <c r="Q21" i="304"/>
  <c r="P22" i="304"/>
  <c r="Q22" i="304"/>
  <c r="E23" i="304"/>
  <c r="P23" i="304"/>
  <c r="Q23" i="304"/>
  <c r="I23" i="304"/>
  <c r="P24" i="304"/>
  <c r="Q24" i="304"/>
  <c r="E25" i="304"/>
  <c r="P25" i="304"/>
  <c r="Q25" i="304"/>
  <c r="P26" i="304"/>
  <c r="Q26" i="304"/>
  <c r="E27" i="304"/>
  <c r="P27" i="304"/>
  <c r="Q27" i="304"/>
  <c r="I27" i="304"/>
  <c r="P28" i="304"/>
  <c r="Q28" i="304"/>
  <c r="E29" i="304"/>
  <c r="P29" i="304"/>
  <c r="Q29" i="304"/>
  <c r="P30" i="304"/>
  <c r="Q30" i="304"/>
  <c r="E31" i="304"/>
  <c r="P31" i="304"/>
  <c r="Q31" i="304"/>
  <c r="I31" i="304"/>
  <c r="P32" i="304"/>
  <c r="Q32" i="304"/>
  <c r="E33" i="304"/>
  <c r="P33" i="304"/>
  <c r="Q33" i="304"/>
  <c r="E34" i="304"/>
  <c r="P34" i="304"/>
  <c r="Q34" i="304"/>
  <c r="P35" i="304"/>
  <c r="Q35" i="304"/>
  <c r="I35" i="304"/>
  <c r="P36" i="304"/>
  <c r="Q36" i="304"/>
  <c r="E37" i="304"/>
  <c r="P37" i="304"/>
  <c r="Q37" i="304"/>
  <c r="I37" i="304"/>
  <c r="P38" i="304"/>
  <c r="Q38" i="304"/>
  <c r="E39" i="304"/>
  <c r="P39" i="304"/>
  <c r="Q39" i="304"/>
  <c r="I39" i="304"/>
  <c r="P40" i="304"/>
  <c r="Q40" i="304"/>
  <c r="E41" i="304"/>
  <c r="P41" i="304"/>
  <c r="Q41" i="304"/>
  <c r="I41" i="304"/>
  <c r="P42" i="304"/>
  <c r="Q42" i="304"/>
  <c r="E43" i="304"/>
  <c r="P43" i="304"/>
  <c r="Q43" i="304"/>
  <c r="I43" i="304"/>
  <c r="P44" i="304"/>
  <c r="Q44" i="304"/>
  <c r="E45" i="304"/>
  <c r="P45" i="304"/>
  <c r="Q45" i="304"/>
  <c r="I45" i="304"/>
  <c r="P46" i="304"/>
  <c r="Q46" i="304"/>
  <c r="E47" i="304"/>
  <c r="J47" i="304"/>
  <c r="P48" i="304"/>
  <c r="Q48" i="304"/>
  <c r="F49" i="304"/>
  <c r="P49" i="304"/>
  <c r="Q49" i="304"/>
  <c r="J49" i="304"/>
  <c r="N50" i="304"/>
  <c r="O50" i="304"/>
  <c r="P50" i="304"/>
  <c r="Q50" i="304"/>
  <c r="E51" i="304"/>
  <c r="H51" i="304"/>
  <c r="J51" i="304"/>
  <c r="N51" i="304"/>
  <c r="O51" i="304"/>
  <c r="P51" i="304"/>
  <c r="Q51" i="304"/>
  <c r="N52" i="304"/>
  <c r="O52" i="304"/>
  <c r="P52" i="304"/>
  <c r="Q52" i="304"/>
  <c r="E53" i="304"/>
  <c r="H53" i="304"/>
  <c r="J53" i="304"/>
  <c r="N53" i="304"/>
  <c r="O53" i="304"/>
  <c r="P53" i="304"/>
  <c r="Q53" i="304"/>
  <c r="N54" i="304"/>
  <c r="O54" i="304"/>
  <c r="P54" i="304"/>
  <c r="Q54" i="304"/>
  <c r="E55" i="304"/>
  <c r="H55" i="304"/>
  <c r="J55" i="304"/>
  <c r="N55" i="304"/>
  <c r="O55" i="304"/>
  <c r="P55" i="304"/>
  <c r="Q55" i="304"/>
  <c r="N56" i="304"/>
  <c r="O56" i="304"/>
  <c r="P56" i="304"/>
  <c r="Q56" i="304"/>
  <c r="E57" i="304"/>
  <c r="H57" i="304"/>
  <c r="J57" i="304"/>
  <c r="N57" i="304"/>
  <c r="O57" i="304"/>
  <c r="P57" i="304"/>
  <c r="Q57" i="304"/>
  <c r="N58" i="304"/>
  <c r="O58" i="304"/>
  <c r="P58" i="304"/>
  <c r="Q58" i="304"/>
  <c r="E59" i="304"/>
  <c r="H59" i="304"/>
  <c r="J59" i="304"/>
  <c r="N59" i="304"/>
  <c r="O59" i="304"/>
  <c r="P59" i="304"/>
  <c r="Q59" i="304"/>
  <c r="N60" i="304"/>
  <c r="O60" i="304"/>
  <c r="P60" i="304"/>
  <c r="Q60" i="304"/>
  <c r="E61" i="304"/>
  <c r="H61" i="304"/>
  <c r="J61" i="304"/>
  <c r="N61" i="304"/>
  <c r="O61" i="304"/>
  <c r="P61" i="304"/>
  <c r="Q61" i="304"/>
  <c r="N62" i="304"/>
  <c r="O62" i="304"/>
  <c r="P62" i="304"/>
  <c r="Q62" i="304"/>
  <c r="E63" i="304"/>
  <c r="H63" i="304"/>
  <c r="J63" i="304"/>
  <c r="N63" i="304"/>
  <c r="O63" i="304"/>
  <c r="P63" i="304"/>
  <c r="Q63" i="304"/>
  <c r="N64" i="304"/>
  <c r="O64" i="304"/>
  <c r="P64" i="304"/>
  <c r="Q64" i="304"/>
  <c r="E65" i="304"/>
  <c r="H65" i="304"/>
  <c r="J65" i="304"/>
  <c r="N65" i="304"/>
  <c r="O65" i="304"/>
  <c r="P65" i="304"/>
  <c r="Q65" i="304"/>
  <c r="N66" i="304"/>
  <c r="O66" i="304"/>
  <c r="P66" i="304"/>
  <c r="Q66" i="304"/>
  <c r="E67" i="304"/>
  <c r="H67" i="304"/>
  <c r="J67" i="304"/>
  <c r="N67" i="304"/>
  <c r="O67" i="304"/>
  <c r="P67" i="304"/>
  <c r="Q67" i="304"/>
  <c r="N68" i="304"/>
  <c r="O68" i="304"/>
  <c r="P68" i="304"/>
  <c r="Q68" i="304"/>
  <c r="E69" i="304"/>
  <c r="H69" i="304"/>
  <c r="J69" i="304"/>
  <c r="N69" i="304"/>
  <c r="O69" i="304"/>
  <c r="P69" i="304"/>
  <c r="Q69" i="304"/>
  <c r="N70" i="304"/>
  <c r="O70" i="304"/>
  <c r="P70" i="304"/>
  <c r="Q70" i="304"/>
  <c r="E71" i="304"/>
  <c r="H71" i="304"/>
  <c r="J71" i="304"/>
  <c r="N71" i="304"/>
  <c r="O71" i="304"/>
  <c r="P71" i="304"/>
  <c r="Q71" i="304"/>
  <c r="N72" i="304"/>
  <c r="O72" i="304"/>
  <c r="P72" i="304"/>
  <c r="Q72" i="304"/>
  <c r="E73" i="304"/>
  <c r="H73" i="304"/>
  <c r="J73" i="304"/>
  <c r="N73" i="304"/>
  <c r="O73" i="304"/>
  <c r="P73" i="304"/>
  <c r="Q73" i="304"/>
  <c r="N74" i="304"/>
  <c r="O74" i="304"/>
  <c r="P74" i="304"/>
  <c r="Q74" i="304"/>
  <c r="E75" i="304"/>
  <c r="H75" i="304"/>
  <c r="J75" i="304"/>
  <c r="N75" i="304"/>
  <c r="O75" i="304"/>
  <c r="P75" i="304"/>
  <c r="Q75" i="304"/>
  <c r="N76" i="304"/>
  <c r="O76" i="304"/>
  <c r="P76" i="304"/>
  <c r="Q76" i="304"/>
  <c r="E77" i="304"/>
  <c r="H77" i="304"/>
  <c r="J77" i="304"/>
  <c r="N77" i="304"/>
  <c r="O77" i="304"/>
  <c r="P77" i="304"/>
  <c r="Q77" i="304"/>
  <c r="N78" i="304"/>
  <c r="O78" i="304"/>
  <c r="P78" i="304"/>
  <c r="Q78" i="304"/>
  <c r="E79" i="304"/>
  <c r="H79" i="304"/>
  <c r="J79" i="304"/>
  <c r="N79" i="304"/>
  <c r="O79" i="304"/>
  <c r="P79" i="304"/>
  <c r="Q79" i="304"/>
  <c r="N80" i="304"/>
  <c r="O80" i="304"/>
  <c r="P80" i="304"/>
  <c r="Q80" i="304"/>
  <c r="E81" i="304"/>
  <c r="H81" i="304"/>
  <c r="J81" i="304"/>
  <c r="N81" i="304"/>
  <c r="O81" i="304"/>
  <c r="P81" i="304"/>
  <c r="Q81" i="304"/>
  <c r="N82" i="304"/>
  <c r="O82" i="304"/>
  <c r="P82" i="304"/>
  <c r="Q82" i="304"/>
  <c r="E83" i="304"/>
  <c r="H83" i="304"/>
  <c r="J83" i="304"/>
  <c r="N83" i="304"/>
  <c r="O83" i="304"/>
  <c r="P83" i="304"/>
  <c r="Q83" i="304"/>
  <c r="N84" i="304"/>
  <c r="O84" i="304"/>
  <c r="P84" i="304"/>
  <c r="Q84" i="304"/>
  <c r="E85" i="304"/>
  <c r="H85" i="304"/>
  <c r="J85" i="304"/>
  <c r="N85" i="304"/>
  <c r="O85" i="304"/>
  <c r="P85" i="304"/>
  <c r="Q85" i="304"/>
  <c r="N86" i="304"/>
  <c r="O86" i="304"/>
  <c r="P86" i="304"/>
  <c r="Q86" i="304"/>
  <c r="E87" i="304"/>
  <c r="H87" i="304"/>
  <c r="J87" i="304"/>
  <c r="N87" i="304"/>
  <c r="O87" i="304"/>
  <c r="P87" i="304"/>
  <c r="Q87" i="304"/>
  <c r="N88" i="304"/>
  <c r="O88" i="304"/>
  <c r="P88" i="304"/>
  <c r="Q88" i="304"/>
  <c r="E89" i="304"/>
  <c r="H89" i="304"/>
  <c r="J89" i="304"/>
  <c r="N89" i="304"/>
  <c r="O89" i="304"/>
  <c r="P89" i="304"/>
  <c r="Q89" i="304"/>
  <c r="N90" i="304"/>
  <c r="O90" i="304"/>
  <c r="P90" i="304"/>
  <c r="Q90" i="304"/>
  <c r="E91" i="304"/>
  <c r="H91" i="304"/>
  <c r="J91" i="304"/>
  <c r="N91" i="304"/>
  <c r="O91" i="304"/>
  <c r="P91" i="304"/>
  <c r="Q91" i="304"/>
  <c r="N92" i="304"/>
  <c r="O92" i="304"/>
  <c r="P92" i="304"/>
  <c r="Q92" i="304"/>
  <c r="E93" i="304"/>
  <c r="H93" i="304"/>
  <c r="J93" i="304"/>
  <c r="N93" i="304"/>
  <c r="O93" i="304"/>
  <c r="P93" i="304"/>
  <c r="Q93" i="304"/>
  <c r="N94" i="304"/>
  <c r="O94" i="304"/>
  <c r="P94" i="304"/>
  <c r="Q94" i="304"/>
  <c r="E95" i="304"/>
  <c r="H95" i="304"/>
  <c r="J95" i="304"/>
  <c r="N95" i="304"/>
  <c r="O95" i="304"/>
  <c r="P95" i="304"/>
  <c r="Q95" i="304"/>
  <c r="N96" i="304"/>
  <c r="O96" i="304"/>
  <c r="P96" i="304"/>
  <c r="Q96" i="304"/>
  <c r="E97" i="304"/>
  <c r="H97" i="304"/>
  <c r="J97" i="304"/>
  <c r="N97" i="304"/>
  <c r="O97" i="304"/>
  <c r="P97" i="304"/>
  <c r="Q97" i="304"/>
  <c r="N98" i="304"/>
  <c r="O98" i="304"/>
  <c r="P98" i="304"/>
  <c r="Q98" i="304"/>
  <c r="E99" i="304"/>
  <c r="H99" i="304"/>
  <c r="J99" i="304"/>
  <c r="N99" i="304"/>
  <c r="O99" i="304"/>
  <c r="P99" i="304"/>
  <c r="Q99" i="304"/>
  <c r="N100" i="304"/>
  <c r="O100" i="304"/>
  <c r="P100" i="304"/>
  <c r="Q100" i="304"/>
  <c r="E101" i="304"/>
  <c r="H101" i="304"/>
  <c r="J101" i="304"/>
  <c r="N101" i="304"/>
  <c r="O101" i="304"/>
  <c r="P101" i="304"/>
  <c r="Q101" i="304"/>
  <c r="N102" i="304"/>
  <c r="O102" i="304"/>
  <c r="P102" i="304"/>
  <c r="Q102" i="304"/>
  <c r="E103" i="304"/>
  <c r="H103" i="304"/>
  <c r="J103" i="304"/>
  <c r="N103" i="304"/>
  <c r="O103" i="304"/>
  <c r="P103" i="304"/>
  <c r="Q103" i="304"/>
  <c r="N104" i="304"/>
  <c r="O104" i="304"/>
  <c r="P104" i="304"/>
  <c r="Q104" i="304"/>
  <c r="E105" i="304"/>
  <c r="H105" i="304"/>
  <c r="J105" i="304"/>
  <c r="N105" i="304"/>
  <c r="O105" i="304"/>
  <c r="P105" i="304"/>
  <c r="Q105" i="304"/>
  <c r="N106" i="304"/>
  <c r="O106" i="304"/>
  <c r="P106" i="304"/>
  <c r="Q106" i="304"/>
  <c r="E107" i="304"/>
  <c r="H107" i="304"/>
  <c r="J107" i="304"/>
  <c r="N107" i="304"/>
  <c r="O107" i="304"/>
  <c r="P107" i="304"/>
  <c r="Q107" i="304"/>
  <c r="N108" i="304"/>
  <c r="O108" i="304"/>
  <c r="P108" i="304"/>
  <c r="Q108" i="304"/>
  <c r="E109" i="304"/>
  <c r="H109" i="304"/>
  <c r="J109" i="304"/>
  <c r="N109" i="304"/>
  <c r="O109" i="304"/>
  <c r="P109" i="304"/>
  <c r="Q109" i="304"/>
  <c r="N110" i="304"/>
  <c r="O110" i="304"/>
  <c r="P110" i="304"/>
  <c r="Q110" i="304"/>
  <c r="E111" i="304"/>
  <c r="H111" i="304"/>
  <c r="J111" i="304"/>
  <c r="N111" i="304"/>
  <c r="O111" i="304"/>
  <c r="P111" i="304"/>
  <c r="Q111" i="304"/>
  <c r="N112" i="304"/>
  <c r="O112" i="304"/>
  <c r="P112" i="304"/>
  <c r="Q112" i="304"/>
  <c r="E113" i="304"/>
  <c r="H113" i="304"/>
  <c r="J113" i="304"/>
  <c r="N113" i="304"/>
  <c r="O113" i="304"/>
  <c r="P113" i="304"/>
  <c r="Q113" i="304"/>
  <c r="N114" i="304"/>
  <c r="O114" i="304"/>
  <c r="P114" i="304"/>
  <c r="Q114" i="304"/>
  <c r="E115" i="304"/>
  <c r="H115" i="304"/>
  <c r="J115" i="304"/>
  <c r="N115" i="304"/>
  <c r="O115" i="304"/>
  <c r="P115" i="304"/>
  <c r="Q115" i="304"/>
  <c r="N116" i="304"/>
  <c r="O116" i="304"/>
  <c r="P116" i="304"/>
  <c r="Q116" i="304"/>
  <c r="E117" i="304"/>
  <c r="H117" i="304"/>
  <c r="J117" i="304"/>
  <c r="N117" i="304"/>
  <c r="O117" i="304"/>
  <c r="P117" i="304"/>
  <c r="Q117" i="304"/>
  <c r="N118" i="304"/>
  <c r="O118" i="304"/>
  <c r="P118" i="304"/>
  <c r="Q118" i="304"/>
  <c r="E119" i="304"/>
  <c r="H119" i="304"/>
  <c r="J119" i="304"/>
  <c r="N119" i="304"/>
  <c r="O119" i="304"/>
  <c r="P119" i="304"/>
  <c r="Q119" i="304"/>
  <c r="N120" i="304"/>
  <c r="O120" i="304"/>
  <c r="P120" i="304"/>
  <c r="Q120" i="304"/>
  <c r="E121" i="304"/>
  <c r="H121" i="304"/>
  <c r="J121" i="304"/>
  <c r="N121" i="304"/>
  <c r="O121" i="304"/>
  <c r="P121" i="304"/>
  <c r="Q121" i="304"/>
  <c r="N122" i="304"/>
  <c r="O122" i="304"/>
  <c r="P122" i="304"/>
  <c r="Q122" i="304"/>
  <c r="E123" i="304"/>
  <c r="H123" i="304"/>
  <c r="J123" i="304"/>
  <c r="N123" i="304"/>
  <c r="O123" i="304"/>
  <c r="P123" i="304"/>
  <c r="Q123" i="304"/>
  <c r="N124" i="304"/>
  <c r="O124" i="304"/>
  <c r="P124" i="304"/>
  <c r="Q124" i="304"/>
  <c r="E125" i="304"/>
  <c r="H125" i="304"/>
  <c r="J125" i="304"/>
  <c r="N125" i="304"/>
  <c r="O125" i="304"/>
  <c r="P125" i="304"/>
  <c r="Q125" i="304"/>
  <c r="N126" i="304"/>
  <c r="O126" i="304"/>
  <c r="P126" i="304"/>
  <c r="Q126" i="304"/>
  <c r="E127" i="304"/>
  <c r="H127" i="304"/>
  <c r="J127" i="304"/>
  <c r="N127" i="304"/>
  <c r="O127" i="304"/>
  <c r="P127" i="304"/>
  <c r="Q127" i="304"/>
  <c r="N128" i="304"/>
  <c r="O128" i="304"/>
  <c r="P128" i="304"/>
  <c r="Q128" i="304"/>
  <c r="E129" i="304"/>
  <c r="H129" i="304"/>
  <c r="J129" i="304"/>
  <c r="N129" i="304"/>
  <c r="O129" i="304"/>
  <c r="P129" i="304"/>
  <c r="Q129" i="304"/>
  <c r="N130" i="304"/>
  <c r="O130" i="304"/>
  <c r="P130" i="304"/>
  <c r="Q130" i="304"/>
  <c r="E131" i="304"/>
  <c r="H131" i="304"/>
  <c r="J131" i="304"/>
  <c r="N131" i="304"/>
  <c r="O131" i="304"/>
  <c r="P131" i="304"/>
  <c r="Q131" i="304"/>
  <c r="N132" i="304"/>
  <c r="O132" i="304"/>
  <c r="P132" i="304"/>
  <c r="Q132" i="304"/>
  <c r="E133" i="304"/>
  <c r="H133" i="304"/>
  <c r="J133" i="304"/>
  <c r="N133" i="304"/>
  <c r="O133" i="304"/>
  <c r="P133" i="304"/>
  <c r="Q133" i="304"/>
  <c r="N134" i="304"/>
  <c r="O134" i="304"/>
  <c r="P134" i="304"/>
  <c r="Q134" i="304"/>
  <c r="E135" i="304"/>
  <c r="H135" i="304"/>
  <c r="J135" i="304"/>
  <c r="N135" i="304"/>
  <c r="O135" i="304"/>
  <c r="P135" i="304"/>
  <c r="Q135" i="304"/>
  <c r="N136" i="304"/>
  <c r="O136" i="304"/>
  <c r="P136" i="304"/>
  <c r="Q136" i="304"/>
  <c r="E137" i="304"/>
  <c r="H137" i="304"/>
  <c r="J137" i="304"/>
  <c r="N137" i="304"/>
  <c r="O137" i="304"/>
  <c r="P137" i="304"/>
  <c r="Q137" i="304"/>
  <c r="N138" i="304"/>
  <c r="O138" i="304"/>
  <c r="P138" i="304"/>
  <c r="Q138" i="304"/>
  <c r="E139" i="304"/>
  <c r="H139" i="304"/>
  <c r="J139" i="304"/>
  <c r="N139" i="304"/>
  <c r="O139" i="304"/>
  <c r="P139" i="304"/>
  <c r="Q139" i="304"/>
  <c r="N140" i="304"/>
  <c r="O140" i="304"/>
  <c r="P140" i="304"/>
  <c r="Q140" i="304"/>
  <c r="E141" i="304"/>
  <c r="H141" i="304"/>
  <c r="J141" i="304"/>
  <c r="N141" i="304"/>
  <c r="O141" i="304"/>
  <c r="P141" i="304"/>
  <c r="Q141" i="304"/>
  <c r="N142" i="304"/>
  <c r="O142" i="304"/>
  <c r="P142" i="304"/>
  <c r="Q142" i="304"/>
  <c r="E143" i="304"/>
  <c r="H143" i="304"/>
  <c r="J143" i="304"/>
  <c r="N143" i="304"/>
  <c r="O143" i="304"/>
  <c r="P143" i="304"/>
  <c r="Q143" i="304"/>
  <c r="N144" i="304"/>
  <c r="O144" i="304"/>
  <c r="P144" i="304"/>
  <c r="Q144" i="304"/>
  <c r="E145" i="304"/>
  <c r="H145" i="304"/>
  <c r="J145" i="304"/>
  <c r="N145" i="304"/>
  <c r="O145" i="304"/>
  <c r="P145" i="304"/>
  <c r="Q145" i="304"/>
  <c r="N146" i="304"/>
  <c r="O146" i="304"/>
  <c r="P146" i="304"/>
  <c r="Q146" i="304"/>
  <c r="E147" i="304"/>
  <c r="H147" i="304"/>
  <c r="J147" i="304"/>
  <c r="N147" i="304"/>
  <c r="O147" i="304"/>
  <c r="P147" i="304"/>
  <c r="Q147" i="304"/>
  <c r="N148" i="304"/>
  <c r="O148" i="304"/>
  <c r="P148" i="304"/>
  <c r="Q148" i="304"/>
  <c r="E149" i="304"/>
  <c r="H149" i="304"/>
  <c r="J149" i="304"/>
  <c r="N149" i="304"/>
  <c r="O149" i="304"/>
  <c r="P149" i="304"/>
  <c r="Q149" i="304"/>
  <c r="N150" i="304"/>
  <c r="O150" i="304"/>
  <c r="P150" i="304"/>
  <c r="Q150" i="304"/>
  <c r="E151" i="304"/>
  <c r="H151" i="304"/>
  <c r="J151" i="304"/>
  <c r="N151" i="304"/>
  <c r="O151" i="304"/>
  <c r="P151" i="304"/>
  <c r="Q151" i="304"/>
  <c r="N152" i="304"/>
  <c r="O152" i="304"/>
  <c r="P152" i="304"/>
  <c r="Q152" i="304"/>
  <c r="E153" i="304"/>
  <c r="H153" i="304"/>
  <c r="J153" i="304"/>
  <c r="N153" i="304"/>
  <c r="O153" i="304"/>
  <c r="P153" i="304"/>
  <c r="Q153" i="304"/>
  <c r="N154" i="304"/>
  <c r="O154" i="304"/>
  <c r="P154" i="304"/>
  <c r="Q154" i="304"/>
  <c r="E155" i="304"/>
  <c r="H155" i="304"/>
  <c r="J155" i="304"/>
  <c r="N155" i="304"/>
  <c r="O155" i="304"/>
  <c r="P155" i="304"/>
  <c r="Q155" i="304"/>
  <c r="N156" i="304"/>
  <c r="O156" i="304"/>
  <c r="P156" i="304"/>
  <c r="Q156" i="304"/>
  <c r="E157" i="304"/>
  <c r="H157" i="304"/>
  <c r="J157" i="304"/>
  <c r="N157" i="304"/>
  <c r="O157" i="304"/>
  <c r="P157" i="304"/>
  <c r="Q157" i="304"/>
  <c r="N158" i="304"/>
  <c r="O158" i="304"/>
  <c r="P158" i="304"/>
  <c r="Q158" i="304"/>
  <c r="E159" i="304"/>
  <c r="H159" i="304"/>
  <c r="J159" i="304"/>
  <c r="N159" i="304"/>
  <c r="O159" i="304"/>
  <c r="P159" i="304"/>
  <c r="Q159" i="304"/>
  <c r="N160" i="304"/>
  <c r="O160" i="304"/>
  <c r="P160" i="304"/>
  <c r="Q160" i="304"/>
  <c r="E161" i="304"/>
  <c r="H161" i="304"/>
  <c r="J161" i="304"/>
  <c r="N161" i="304"/>
  <c r="O161" i="304"/>
  <c r="P161" i="304"/>
  <c r="Q161" i="304"/>
  <c r="N162" i="304"/>
  <c r="O162" i="304"/>
  <c r="P162" i="304"/>
  <c r="Q162" i="304"/>
  <c r="E163" i="304"/>
  <c r="H163" i="304"/>
  <c r="J163" i="304"/>
  <c r="N163" i="304"/>
  <c r="O163" i="304"/>
  <c r="P163" i="304"/>
  <c r="Q163" i="304"/>
  <c r="N164" i="304"/>
  <c r="O164" i="304"/>
  <c r="P164" i="304"/>
  <c r="Q164" i="304"/>
  <c r="E165" i="304"/>
  <c r="H165" i="304"/>
  <c r="J165" i="304"/>
  <c r="N165" i="304"/>
  <c r="O165" i="304"/>
  <c r="P165" i="304"/>
  <c r="Q165" i="304"/>
  <c r="N166" i="304"/>
  <c r="O166" i="304"/>
  <c r="P166" i="304"/>
  <c r="Q166" i="304"/>
  <c r="E167" i="304"/>
  <c r="H167" i="304"/>
  <c r="J167" i="304"/>
  <c r="N167" i="304"/>
  <c r="O167" i="304"/>
  <c r="P167" i="304"/>
  <c r="Q167" i="304"/>
  <c r="N168" i="304"/>
  <c r="O168" i="304"/>
  <c r="P168" i="304"/>
  <c r="Q168" i="304"/>
  <c r="E169" i="304"/>
  <c r="H169" i="304"/>
  <c r="J169" i="304"/>
  <c r="N169" i="304"/>
  <c r="O169" i="304"/>
  <c r="P169" i="304"/>
  <c r="Q169" i="304"/>
  <c r="N170" i="304"/>
  <c r="O170" i="304"/>
  <c r="P170" i="304"/>
  <c r="Q170" i="304"/>
  <c r="E171" i="304"/>
  <c r="H171" i="304"/>
  <c r="J171" i="304"/>
  <c r="N171" i="304"/>
  <c r="O171" i="304"/>
  <c r="P171" i="304"/>
  <c r="Q171" i="304"/>
  <c r="N172" i="304"/>
  <c r="O172" i="304"/>
  <c r="P172" i="304"/>
  <c r="Q172" i="304"/>
  <c r="E173" i="304"/>
  <c r="H173" i="304"/>
  <c r="J173" i="304"/>
  <c r="N173" i="304"/>
  <c r="O173" i="304"/>
  <c r="P173" i="304"/>
  <c r="Q173" i="304"/>
  <c r="N174" i="304"/>
  <c r="O174" i="304"/>
  <c r="P174" i="304"/>
  <c r="Q174" i="304"/>
  <c r="E175" i="304"/>
  <c r="H175" i="304"/>
  <c r="J175" i="304"/>
  <c r="N175" i="304"/>
  <c r="O175" i="304"/>
  <c r="P175" i="304"/>
  <c r="Q175" i="304"/>
  <c r="N176" i="304"/>
  <c r="O176" i="304"/>
  <c r="P176" i="304"/>
  <c r="Q176" i="304"/>
  <c r="E177" i="304"/>
  <c r="H177" i="304"/>
  <c r="J177" i="304"/>
  <c r="N177" i="304"/>
  <c r="O177" i="304"/>
  <c r="P177" i="304"/>
  <c r="Q177" i="304"/>
  <c r="N178" i="304"/>
  <c r="O178" i="304"/>
  <c r="P178" i="304"/>
  <c r="Q178" i="304"/>
  <c r="E179" i="304"/>
  <c r="H179" i="304"/>
  <c r="J179" i="304"/>
  <c r="N179" i="304"/>
  <c r="O179" i="304"/>
  <c r="P179" i="304"/>
  <c r="Q179" i="304"/>
  <c r="N180" i="304"/>
  <c r="O180" i="304"/>
  <c r="P180" i="304"/>
  <c r="Q180" i="304"/>
  <c r="E181" i="304"/>
  <c r="H181" i="304"/>
  <c r="J181" i="304"/>
  <c r="N181" i="304"/>
  <c r="O181" i="304"/>
  <c r="P181" i="304"/>
  <c r="Q181" i="304"/>
  <c r="N182" i="304"/>
  <c r="O182" i="304"/>
  <c r="P182" i="304"/>
  <c r="Q182" i="304"/>
  <c r="E183" i="304"/>
  <c r="H183" i="304"/>
  <c r="J183" i="304"/>
  <c r="N183" i="304"/>
  <c r="O183" i="304"/>
  <c r="P183" i="304"/>
  <c r="Q183" i="304"/>
  <c r="N184" i="304"/>
  <c r="O184" i="304"/>
  <c r="P184" i="304"/>
  <c r="Q184" i="304"/>
  <c r="E185" i="304"/>
  <c r="H185" i="304"/>
  <c r="J185" i="304"/>
  <c r="N185" i="304"/>
  <c r="O185" i="304"/>
  <c r="P185" i="304"/>
  <c r="Q185" i="304"/>
  <c r="N186" i="304"/>
  <c r="O186" i="304"/>
  <c r="P186" i="304"/>
  <c r="Q186" i="304"/>
  <c r="E187" i="304"/>
  <c r="H187" i="304"/>
  <c r="J187" i="304"/>
  <c r="N187" i="304"/>
  <c r="O187" i="304"/>
  <c r="P187" i="304"/>
  <c r="Q187" i="304"/>
  <c r="N188" i="304"/>
  <c r="O188" i="304"/>
  <c r="P188" i="304"/>
  <c r="Q188" i="304"/>
  <c r="E189" i="304"/>
  <c r="H189" i="304"/>
  <c r="J189" i="304"/>
  <c r="N189" i="304"/>
  <c r="O189" i="304"/>
  <c r="P189" i="304"/>
  <c r="Q189" i="304"/>
  <c r="N190" i="304"/>
  <c r="O190" i="304"/>
  <c r="P190" i="304"/>
  <c r="Q190" i="304"/>
  <c r="E191" i="304"/>
  <c r="H191" i="304"/>
  <c r="J191" i="304"/>
  <c r="N191" i="304"/>
  <c r="O191" i="304"/>
  <c r="P191" i="304"/>
  <c r="Q191" i="304"/>
  <c r="N192" i="304"/>
  <c r="O192" i="304"/>
  <c r="P192" i="304"/>
  <c r="Q192" i="304"/>
  <c r="E193" i="304"/>
  <c r="H193" i="304"/>
  <c r="J193" i="304"/>
  <c r="N193" i="304"/>
  <c r="O193" i="304"/>
  <c r="P193" i="304"/>
  <c r="Q193" i="304"/>
  <c r="N194" i="304"/>
  <c r="O194" i="304"/>
  <c r="P194" i="304"/>
  <c r="Q194" i="304"/>
  <c r="E195" i="304"/>
  <c r="H195" i="304"/>
  <c r="J195" i="304"/>
  <c r="N195" i="304"/>
  <c r="O195" i="304"/>
  <c r="P195" i="304"/>
  <c r="Q195" i="304"/>
  <c r="N196" i="304"/>
  <c r="O196" i="304"/>
  <c r="P196" i="304"/>
  <c r="Q196" i="304"/>
  <c r="E197" i="304"/>
  <c r="H197" i="304"/>
  <c r="J197" i="304"/>
  <c r="N197" i="304"/>
  <c r="O197" i="304"/>
  <c r="P197" i="304"/>
  <c r="Q197" i="304"/>
  <c r="N198" i="304"/>
  <c r="O198" i="304"/>
  <c r="P198" i="304"/>
  <c r="Q198" i="304"/>
  <c r="E199" i="304"/>
  <c r="H199" i="304"/>
  <c r="J199" i="304"/>
  <c r="N199" i="304"/>
  <c r="O199" i="304"/>
  <c r="P199" i="304"/>
  <c r="Q199" i="304"/>
  <c r="N200" i="304"/>
  <c r="O200" i="304"/>
  <c r="P200" i="304"/>
  <c r="Q200" i="304"/>
  <c r="E201" i="304"/>
  <c r="H201" i="304"/>
  <c r="J201" i="304"/>
  <c r="N201" i="304"/>
  <c r="O201" i="304"/>
  <c r="P201" i="304"/>
  <c r="Q201" i="304"/>
  <c r="N202" i="304"/>
  <c r="O202" i="304"/>
  <c r="P202" i="304"/>
  <c r="Q202" i="304"/>
  <c r="E203" i="304"/>
  <c r="H203" i="304"/>
  <c r="J203" i="304"/>
  <c r="N203" i="304"/>
  <c r="O203" i="304"/>
  <c r="P203" i="304"/>
  <c r="Q203" i="304"/>
  <c r="L31" i="41"/>
  <c r="L32" i="41"/>
  <c r="K31" i="41"/>
  <c r="K32" i="41"/>
  <c r="J25" i="41"/>
  <c r="J26" i="41"/>
  <c r="J27" i="41"/>
  <c r="J28" i="41"/>
  <c r="J29" i="41"/>
  <c r="J30" i="41"/>
  <c r="J31" i="41"/>
  <c r="J32" i="41"/>
  <c r="J23" i="41"/>
  <c r="J24" i="41"/>
  <c r="J9" i="41"/>
  <c r="J10" i="41"/>
  <c r="J11" i="41"/>
  <c r="J12" i="41"/>
  <c r="J13" i="41"/>
  <c r="J15" i="41"/>
  <c r="J16" i="41"/>
  <c r="J17" i="41"/>
  <c r="J18" i="41"/>
  <c r="J19" i="41"/>
  <c r="J20" i="41"/>
  <c r="J21" i="41"/>
  <c r="J22" i="41"/>
  <c r="J14" i="41"/>
  <c r="M30" i="41"/>
  <c r="M31" i="41"/>
  <c r="M32" i="41"/>
  <c r="I202" i="304"/>
  <c r="F200" i="304"/>
  <c r="I198" i="304"/>
  <c r="F196" i="304"/>
  <c r="I194" i="304"/>
  <c r="F192" i="304"/>
  <c r="I190" i="304"/>
  <c r="F188" i="304"/>
  <c r="I186" i="304"/>
  <c r="F184" i="304"/>
  <c r="I182" i="304"/>
  <c r="F180" i="304"/>
  <c r="I178" i="304"/>
  <c r="F176" i="304"/>
  <c r="I174" i="304"/>
  <c r="F172" i="304"/>
  <c r="I170" i="304"/>
  <c r="F168" i="304"/>
  <c r="I166" i="304"/>
  <c r="F164" i="304"/>
  <c r="I162" i="304"/>
  <c r="F160" i="304"/>
  <c r="I158" i="304"/>
  <c r="F156" i="304"/>
  <c r="I154" i="304"/>
  <c r="F152" i="304"/>
  <c r="I150" i="304"/>
  <c r="F148" i="304"/>
  <c r="I146" i="304"/>
  <c r="F144" i="304"/>
  <c r="F142" i="304"/>
  <c r="I140" i="304"/>
  <c r="F138" i="304"/>
  <c r="I136" i="304"/>
  <c r="F134" i="304"/>
  <c r="I132" i="304"/>
  <c r="F130" i="304"/>
  <c r="I128" i="304"/>
  <c r="F126" i="304"/>
  <c r="I124" i="304"/>
  <c r="F122" i="304"/>
  <c r="I120" i="304"/>
  <c r="F118" i="304"/>
  <c r="I116" i="304"/>
  <c r="F114" i="304"/>
  <c r="I112" i="304"/>
  <c r="F110" i="304"/>
  <c r="I108" i="304"/>
  <c r="F106" i="304"/>
  <c r="I104" i="304"/>
  <c r="F102" i="304"/>
  <c r="I100" i="304"/>
  <c r="F98" i="304"/>
  <c r="I96" i="304"/>
  <c r="F94" i="304"/>
  <c r="I92" i="304"/>
  <c r="F90" i="304"/>
  <c r="I88" i="304"/>
  <c r="F86" i="304"/>
  <c r="I84" i="304"/>
  <c r="F82" i="304"/>
  <c r="I80" i="304"/>
  <c r="F78" i="304"/>
  <c r="I76" i="304"/>
  <c r="F74" i="304"/>
  <c r="I72" i="304"/>
  <c r="F70" i="304"/>
  <c r="I68" i="304"/>
  <c r="F66" i="304"/>
  <c r="I64" i="304"/>
  <c r="F62" i="304"/>
  <c r="I60" i="304"/>
  <c r="F58" i="304"/>
  <c r="I56" i="304"/>
  <c r="F54" i="304"/>
  <c r="I52" i="304"/>
  <c r="F50" i="304"/>
  <c r="E18" i="304"/>
  <c r="H48" i="304"/>
  <c r="E42" i="304"/>
  <c r="E26" i="304"/>
  <c r="H32" i="304"/>
  <c r="E46" i="304"/>
  <c r="E38" i="304"/>
  <c r="E30" i="304"/>
  <c r="E22" i="304"/>
  <c r="H40" i="304"/>
  <c r="H24" i="304"/>
  <c r="F202" i="304"/>
  <c r="I200" i="304"/>
  <c r="F198" i="304"/>
  <c r="I196" i="304"/>
  <c r="F194" i="304"/>
  <c r="I192" i="304"/>
  <c r="F190" i="304"/>
  <c r="I188" i="304"/>
  <c r="F186" i="304"/>
  <c r="I184" i="304"/>
  <c r="F182" i="304"/>
  <c r="I180" i="304"/>
  <c r="F178" i="304"/>
  <c r="I176" i="304"/>
  <c r="F174" i="304"/>
  <c r="I172" i="304"/>
  <c r="F170" i="304"/>
  <c r="I168" i="304"/>
  <c r="F166" i="304"/>
  <c r="I164" i="304"/>
  <c r="F162" i="304"/>
  <c r="I160" i="304"/>
  <c r="F158" i="304"/>
  <c r="I156" i="304"/>
  <c r="F154" i="304"/>
  <c r="I152" i="304"/>
  <c r="F150" i="304"/>
  <c r="I148" i="304"/>
  <c r="F146" i="304"/>
  <c r="I144" i="304"/>
  <c r="F48" i="304"/>
  <c r="E44" i="304"/>
  <c r="E40" i="304"/>
  <c r="E36" i="304"/>
  <c r="E32" i="304"/>
  <c r="E28" i="304"/>
  <c r="E24" i="304"/>
  <c r="E20" i="304"/>
  <c r="H44" i="304"/>
  <c r="H36" i="304"/>
  <c r="H28" i="304"/>
  <c r="H20" i="304"/>
  <c r="I142" i="304"/>
  <c r="F140" i="304"/>
  <c r="I138" i="304"/>
  <c r="F136" i="304"/>
  <c r="I134" i="304"/>
  <c r="F132" i="304"/>
  <c r="I130" i="304"/>
  <c r="F128" i="304"/>
  <c r="I126" i="304"/>
  <c r="F124" i="304"/>
  <c r="I122" i="304"/>
  <c r="F120" i="304"/>
  <c r="I118" i="304"/>
  <c r="F116" i="304"/>
  <c r="I114" i="304"/>
  <c r="F112" i="304"/>
  <c r="I110" i="304"/>
  <c r="F108" i="304"/>
  <c r="I106" i="304"/>
  <c r="F104" i="304"/>
  <c r="I102" i="304"/>
  <c r="F100" i="304"/>
  <c r="I98" i="304"/>
  <c r="F96" i="304"/>
  <c r="I94" i="304"/>
  <c r="F92" i="304"/>
  <c r="I90" i="304"/>
  <c r="F88" i="304"/>
  <c r="I86" i="304"/>
  <c r="F84" i="304"/>
  <c r="I82" i="304"/>
  <c r="F80" i="304"/>
  <c r="I78" i="304"/>
  <c r="F76" i="304"/>
  <c r="I74" i="304"/>
  <c r="F72" i="304"/>
  <c r="I70" i="304"/>
  <c r="F68" i="304"/>
  <c r="I66" i="304"/>
  <c r="F64" i="304"/>
  <c r="I62" i="304"/>
  <c r="F60" i="304"/>
  <c r="I58" i="304"/>
  <c r="F56" i="304"/>
  <c r="I54" i="304"/>
  <c r="F52" i="304"/>
  <c r="I50" i="304"/>
  <c r="J48" i="304"/>
  <c r="I46" i="304"/>
  <c r="I44" i="304"/>
  <c r="I42" i="304"/>
  <c r="I40" i="304"/>
  <c r="I38" i="304"/>
  <c r="I36" i="304"/>
  <c r="I34" i="304"/>
  <c r="I32" i="304"/>
  <c r="I30" i="304"/>
  <c r="I28" i="304"/>
  <c r="I26" i="304"/>
  <c r="I24" i="304"/>
  <c r="I22" i="304"/>
  <c r="I20" i="304"/>
  <c r="I18" i="304"/>
  <c r="E16" i="304"/>
  <c r="H46" i="304"/>
  <c r="H42" i="304"/>
  <c r="H38" i="304"/>
  <c r="H34" i="304"/>
  <c r="H30" i="304"/>
  <c r="H26" i="304"/>
  <c r="H22" i="304"/>
  <c r="H18" i="304"/>
  <c r="I203" i="304"/>
  <c r="F203" i="304"/>
  <c r="J202" i="304"/>
  <c r="H202" i="304"/>
  <c r="E202" i="304"/>
  <c r="I201" i="304"/>
  <c r="F201" i="304"/>
  <c r="J200" i="304"/>
  <c r="H200" i="304"/>
  <c r="E200" i="304"/>
  <c r="I199" i="304"/>
  <c r="F199" i="304"/>
  <c r="J198" i="304"/>
  <c r="H198" i="304"/>
  <c r="E198" i="304"/>
  <c r="I197" i="304"/>
  <c r="F197" i="304"/>
  <c r="J196" i="304"/>
  <c r="H196" i="304"/>
  <c r="E196" i="304"/>
  <c r="I195" i="304"/>
  <c r="F195" i="304"/>
  <c r="J194" i="304"/>
  <c r="H194" i="304"/>
  <c r="E194" i="304"/>
  <c r="I193" i="304"/>
  <c r="F193" i="304"/>
  <c r="J192" i="304"/>
  <c r="H192" i="304"/>
  <c r="E192" i="304"/>
  <c r="I191" i="304"/>
  <c r="F191" i="304"/>
  <c r="J190" i="304"/>
  <c r="H190" i="304"/>
  <c r="E190" i="304"/>
  <c r="I189" i="304"/>
  <c r="F189" i="304"/>
  <c r="J188" i="304"/>
  <c r="H188" i="304"/>
  <c r="E188" i="304"/>
  <c r="I187" i="304"/>
  <c r="F187" i="304"/>
  <c r="J186" i="304"/>
  <c r="H186" i="304"/>
  <c r="E186" i="304"/>
  <c r="I185" i="304"/>
  <c r="F185" i="304"/>
  <c r="J184" i="304"/>
  <c r="H184" i="304"/>
  <c r="E184" i="304"/>
  <c r="I183" i="304"/>
  <c r="F183" i="304"/>
  <c r="J182" i="304"/>
  <c r="H182" i="304"/>
  <c r="E182" i="304"/>
  <c r="I181" i="304"/>
  <c r="F181" i="304"/>
  <c r="J180" i="304"/>
  <c r="H180" i="304"/>
  <c r="E180" i="304"/>
  <c r="I179" i="304"/>
  <c r="F179" i="304"/>
  <c r="J178" i="304"/>
  <c r="H178" i="304"/>
  <c r="E178" i="304"/>
  <c r="I177" i="304"/>
  <c r="F177" i="304"/>
  <c r="J176" i="304"/>
  <c r="H176" i="304"/>
  <c r="E176" i="304"/>
  <c r="I175" i="304"/>
  <c r="F175" i="304"/>
  <c r="J174" i="304"/>
  <c r="H174" i="304"/>
  <c r="E174" i="304"/>
  <c r="I173" i="304"/>
  <c r="F173" i="304"/>
  <c r="J172" i="304"/>
  <c r="H172" i="304"/>
  <c r="E172" i="304"/>
  <c r="I171" i="304"/>
  <c r="F171" i="304"/>
  <c r="J170" i="304"/>
  <c r="H170" i="304"/>
  <c r="E170" i="304"/>
  <c r="I169" i="304"/>
  <c r="F169" i="304"/>
  <c r="J168" i="304"/>
  <c r="H168" i="304"/>
  <c r="E168" i="304"/>
  <c r="I167" i="304"/>
  <c r="F167" i="304"/>
  <c r="J166" i="304"/>
  <c r="H166" i="304"/>
  <c r="E166" i="304"/>
  <c r="I165" i="304"/>
  <c r="F165" i="304"/>
  <c r="J164" i="304"/>
  <c r="H164" i="304"/>
  <c r="E164" i="304"/>
  <c r="I163" i="304"/>
  <c r="F163" i="304"/>
  <c r="J162" i="304"/>
  <c r="H162" i="304"/>
  <c r="E162" i="304"/>
  <c r="I161" i="304"/>
  <c r="F161" i="304"/>
  <c r="J160" i="304"/>
  <c r="H160" i="304"/>
  <c r="E160" i="304"/>
  <c r="I159" i="304"/>
  <c r="F159" i="304"/>
  <c r="J158" i="304"/>
  <c r="H158" i="304"/>
  <c r="E158" i="304"/>
  <c r="I157" i="304"/>
  <c r="F157" i="304"/>
  <c r="J156" i="304"/>
  <c r="H156" i="304"/>
  <c r="E156" i="304"/>
  <c r="I155" i="304"/>
  <c r="F155" i="304"/>
  <c r="J154" i="304"/>
  <c r="H154" i="304"/>
  <c r="E154" i="304"/>
  <c r="I153" i="304"/>
  <c r="F153" i="304"/>
  <c r="J152" i="304"/>
  <c r="H152" i="304"/>
  <c r="E152" i="304"/>
  <c r="I151" i="304"/>
  <c r="F151" i="304"/>
  <c r="J150" i="304"/>
  <c r="H150" i="304"/>
  <c r="E150" i="304"/>
  <c r="I149" i="304"/>
  <c r="F149" i="304"/>
  <c r="J148" i="304"/>
  <c r="H148" i="304"/>
  <c r="E148" i="304"/>
  <c r="I147" i="304"/>
  <c r="F147" i="304"/>
  <c r="J146" i="304"/>
  <c r="H146" i="304"/>
  <c r="E146" i="304"/>
  <c r="I145" i="304"/>
  <c r="F145" i="304"/>
  <c r="J144" i="304"/>
  <c r="H144" i="304"/>
  <c r="E144" i="304"/>
  <c r="I143" i="304"/>
  <c r="F143" i="304"/>
  <c r="J142" i="304"/>
  <c r="H142" i="304"/>
  <c r="E142" i="304"/>
  <c r="I141" i="304"/>
  <c r="F141" i="304"/>
  <c r="J140" i="304"/>
  <c r="H140" i="304"/>
  <c r="E140" i="304"/>
  <c r="I139" i="304"/>
  <c r="F139" i="304"/>
  <c r="J138" i="304"/>
  <c r="H138" i="304"/>
  <c r="E138" i="304"/>
  <c r="I137" i="304"/>
  <c r="F137" i="304"/>
  <c r="J136" i="304"/>
  <c r="H136" i="304"/>
  <c r="E136" i="304"/>
  <c r="I135" i="304"/>
  <c r="F135" i="304"/>
  <c r="J134" i="304"/>
  <c r="H134" i="304"/>
  <c r="E134" i="304"/>
  <c r="I133" i="304"/>
  <c r="F133" i="304"/>
  <c r="J132" i="304"/>
  <c r="H132" i="304"/>
  <c r="E132" i="304"/>
  <c r="I131" i="304"/>
  <c r="F131" i="304"/>
  <c r="J130" i="304"/>
  <c r="H130" i="304"/>
  <c r="E130" i="304"/>
  <c r="I129" i="304"/>
  <c r="F129" i="304"/>
  <c r="J128" i="304"/>
  <c r="H128" i="304"/>
  <c r="E128" i="304"/>
  <c r="I127" i="304"/>
  <c r="F127" i="304"/>
  <c r="J126" i="304"/>
  <c r="H126" i="304"/>
  <c r="E126" i="304"/>
  <c r="I125" i="304"/>
  <c r="F125" i="304"/>
  <c r="J124" i="304"/>
  <c r="H124" i="304"/>
  <c r="E124" i="304"/>
  <c r="I123" i="304"/>
  <c r="F123" i="304"/>
  <c r="J122" i="304"/>
  <c r="H122" i="304"/>
  <c r="E122" i="304"/>
  <c r="I121" i="304"/>
  <c r="F121" i="304"/>
  <c r="J120" i="304"/>
  <c r="H120" i="304"/>
  <c r="E120" i="304"/>
  <c r="I119" i="304"/>
  <c r="F119" i="304"/>
  <c r="J118" i="304"/>
  <c r="H118" i="304"/>
  <c r="E118" i="304"/>
  <c r="I117" i="304"/>
  <c r="F117" i="304"/>
  <c r="J116" i="304"/>
  <c r="H116" i="304"/>
  <c r="E116" i="304"/>
  <c r="I115" i="304"/>
  <c r="F115" i="304"/>
  <c r="J114" i="304"/>
  <c r="H114" i="304"/>
  <c r="E114" i="304"/>
  <c r="I113" i="304"/>
  <c r="F113" i="304"/>
  <c r="J112" i="304"/>
  <c r="H112" i="304"/>
  <c r="E112" i="304"/>
  <c r="I111" i="304"/>
  <c r="F111" i="304"/>
  <c r="J110" i="304"/>
  <c r="H110" i="304"/>
  <c r="E110" i="304"/>
  <c r="I109" i="304"/>
  <c r="F109" i="304"/>
  <c r="J108" i="304"/>
  <c r="H108" i="304"/>
  <c r="E108" i="304"/>
  <c r="I107" i="304"/>
  <c r="F107" i="304"/>
  <c r="J106" i="304"/>
  <c r="H106" i="304"/>
  <c r="E106" i="304"/>
  <c r="I105" i="304"/>
  <c r="F105" i="304"/>
  <c r="J104" i="304"/>
  <c r="H104" i="304"/>
  <c r="E104" i="304"/>
  <c r="I103" i="304"/>
  <c r="F103" i="304"/>
  <c r="J102" i="304"/>
  <c r="H102" i="304"/>
  <c r="E102" i="304"/>
  <c r="I101" i="304"/>
  <c r="F101" i="304"/>
  <c r="J100" i="304"/>
  <c r="H100" i="304"/>
  <c r="E100" i="304"/>
  <c r="I99" i="304"/>
  <c r="F99" i="304"/>
  <c r="J98" i="304"/>
  <c r="H98" i="304"/>
  <c r="E98" i="304"/>
  <c r="I97" i="304"/>
  <c r="F97" i="304"/>
  <c r="J96" i="304"/>
  <c r="H96" i="304"/>
  <c r="E96" i="304"/>
  <c r="I95" i="304"/>
  <c r="F95" i="304"/>
  <c r="J94" i="304"/>
  <c r="H94" i="304"/>
  <c r="E94" i="304"/>
  <c r="I93" i="304"/>
  <c r="F93" i="304"/>
  <c r="J92" i="304"/>
  <c r="H92" i="304"/>
  <c r="E92" i="304"/>
  <c r="I91" i="304"/>
  <c r="F91" i="304"/>
  <c r="J90" i="304"/>
  <c r="H90" i="304"/>
  <c r="E90" i="304"/>
  <c r="I89" i="304"/>
  <c r="F89" i="304"/>
  <c r="J88" i="304"/>
  <c r="H88" i="304"/>
  <c r="E88" i="304"/>
  <c r="I87" i="304"/>
  <c r="F87" i="304"/>
  <c r="J86" i="304"/>
  <c r="H86" i="304"/>
  <c r="E86" i="304"/>
  <c r="I85" i="304"/>
  <c r="F85" i="304"/>
  <c r="J84" i="304"/>
  <c r="H84" i="304"/>
  <c r="E84" i="304"/>
  <c r="I83" i="304"/>
  <c r="F83" i="304"/>
  <c r="J82" i="304"/>
  <c r="H82" i="304"/>
  <c r="E82" i="304"/>
  <c r="I81" i="304"/>
  <c r="F81" i="304"/>
  <c r="J80" i="304"/>
  <c r="H80" i="304"/>
  <c r="E80" i="304"/>
  <c r="I79" i="304"/>
  <c r="F79" i="304"/>
  <c r="J78" i="304"/>
  <c r="H78" i="304"/>
  <c r="E78" i="304"/>
  <c r="I77" i="304"/>
  <c r="F77" i="304"/>
  <c r="J76" i="304"/>
  <c r="H76" i="304"/>
  <c r="E76" i="304"/>
  <c r="I75" i="304"/>
  <c r="F75" i="304"/>
  <c r="J74" i="304"/>
  <c r="H74" i="304"/>
  <c r="E74" i="304"/>
  <c r="I73" i="304"/>
  <c r="F73" i="304"/>
  <c r="J72" i="304"/>
  <c r="H72" i="304"/>
  <c r="E72" i="304"/>
  <c r="I71" i="304"/>
  <c r="F71" i="304"/>
  <c r="J70" i="304"/>
  <c r="H70" i="304"/>
  <c r="E70" i="304"/>
  <c r="I69" i="304"/>
  <c r="F69" i="304"/>
  <c r="J68" i="304"/>
  <c r="H68" i="304"/>
  <c r="E68" i="304"/>
  <c r="I67" i="304"/>
  <c r="F67" i="304"/>
  <c r="J66" i="304"/>
  <c r="H66" i="304"/>
  <c r="E66" i="304"/>
  <c r="I65" i="304"/>
  <c r="F65" i="304"/>
  <c r="J64" i="304"/>
  <c r="H64" i="304"/>
  <c r="E64" i="304"/>
  <c r="I63" i="304"/>
  <c r="F63" i="304"/>
  <c r="J62" i="304"/>
  <c r="H62" i="304"/>
  <c r="E62" i="304"/>
  <c r="I61" i="304"/>
  <c r="F61" i="304"/>
  <c r="J60" i="304"/>
  <c r="H60" i="304"/>
  <c r="E60" i="304"/>
  <c r="I59" i="304"/>
  <c r="F59" i="304"/>
  <c r="J58" i="304"/>
  <c r="H58" i="304"/>
  <c r="E58" i="304"/>
  <c r="I57" i="304"/>
  <c r="F57" i="304"/>
  <c r="J56" i="304"/>
  <c r="H56" i="304"/>
  <c r="E56" i="304"/>
  <c r="I55" i="304"/>
  <c r="F55" i="304"/>
  <c r="J54" i="304"/>
  <c r="H54" i="304"/>
  <c r="E54" i="304"/>
  <c r="I53" i="304"/>
  <c r="F53" i="304"/>
  <c r="J52" i="304"/>
  <c r="H52" i="304"/>
  <c r="E52" i="304"/>
  <c r="I51" i="304"/>
  <c r="F51" i="304"/>
  <c r="J50" i="304"/>
  <c r="H50" i="304"/>
  <c r="E50" i="304"/>
  <c r="I49" i="304"/>
  <c r="E49" i="304"/>
  <c r="I48" i="304"/>
  <c r="E48" i="304"/>
  <c r="F47" i="304"/>
  <c r="J46" i="304"/>
  <c r="F46" i="304"/>
  <c r="J45" i="304"/>
  <c r="F45" i="304"/>
  <c r="J44" i="304"/>
  <c r="F44" i="304"/>
  <c r="J43" i="304"/>
  <c r="F43" i="304"/>
  <c r="J42" i="304"/>
  <c r="F42" i="304"/>
  <c r="J41" i="304"/>
  <c r="F41" i="304"/>
  <c r="J40" i="304"/>
  <c r="F40" i="304"/>
  <c r="J39" i="304"/>
  <c r="F39" i="304"/>
  <c r="J38" i="304"/>
  <c r="F38" i="304"/>
  <c r="J37" i="304"/>
  <c r="F37" i="304"/>
  <c r="J36" i="304"/>
  <c r="F36" i="304"/>
  <c r="J35" i="304"/>
  <c r="F35" i="304"/>
  <c r="J34" i="304"/>
  <c r="F34" i="304"/>
  <c r="J33" i="304"/>
  <c r="F33" i="304"/>
  <c r="J32" i="304"/>
  <c r="F32" i="304"/>
  <c r="J31" i="304"/>
  <c r="F31" i="304"/>
  <c r="J30" i="304"/>
  <c r="F30" i="304"/>
  <c r="J29" i="304"/>
  <c r="F29" i="304"/>
  <c r="J28" i="304"/>
  <c r="F28" i="304"/>
  <c r="J27" i="304"/>
  <c r="F27" i="304"/>
  <c r="J26" i="304"/>
  <c r="F26" i="304"/>
  <c r="J25" i="304"/>
  <c r="F25" i="304"/>
  <c r="J24" i="304"/>
  <c r="F24" i="304"/>
  <c r="J23" i="304"/>
  <c r="F23" i="304"/>
  <c r="J22" i="304"/>
  <c r="F22" i="304"/>
  <c r="J21" i="304"/>
  <c r="F21" i="304"/>
  <c r="J20" i="304"/>
  <c r="F20" i="304"/>
  <c r="J19" i="304"/>
  <c r="F19" i="304"/>
  <c r="J18" i="304"/>
  <c r="F18" i="304"/>
  <c r="J17" i="304"/>
  <c r="F17" i="304"/>
  <c r="F16" i="304"/>
  <c r="H49" i="304"/>
  <c r="H47" i="304"/>
  <c r="H45" i="304"/>
  <c r="H43" i="304"/>
  <c r="H41" i="304"/>
  <c r="H39" i="304"/>
  <c r="H37" i="304"/>
  <c r="H35" i="304"/>
  <c r="H33" i="304"/>
  <c r="H31" i="304"/>
  <c r="H29" i="304"/>
  <c r="H27" i="304"/>
  <c r="H25" i="304"/>
  <c r="H23" i="304"/>
  <c r="H21" i="304"/>
  <c r="H19" i="304"/>
  <c r="H17" i="304"/>
  <c r="M28" i="41"/>
  <c r="M23" i="41"/>
  <c r="M26" i="41"/>
  <c r="M24" i="41"/>
  <c r="M22" i="41"/>
  <c r="M27" i="41"/>
  <c r="M29" i="41"/>
  <c r="M25" i="41"/>
  <c r="H14" i="304"/>
  <c r="K9" i="304"/>
  <c r="O7" i="304" s="1"/>
  <c r="G14" i="304"/>
  <c r="K4" i="304"/>
  <c r="K7" i="304"/>
  <c r="R7" i="304" s="1"/>
  <c r="F14" i="304"/>
  <c r="M21" i="41"/>
  <c r="M19" i="41"/>
  <c r="I15" i="304"/>
  <c r="K5" i="304"/>
  <c r="M20" i="41"/>
  <c r="M17" i="41"/>
  <c r="M18" i="41"/>
  <c r="I14" i="890"/>
  <c r="I15" i="890"/>
  <c r="I16" i="890"/>
  <c r="I17" i="890"/>
  <c r="I18" i="890"/>
  <c r="I19" i="890"/>
  <c r="I20" i="890"/>
  <c r="I21" i="890"/>
  <c r="I22" i="890"/>
  <c r="I23" i="890"/>
  <c r="I24" i="890"/>
  <c r="I25" i="890"/>
  <c r="I26" i="890"/>
  <c r="I27" i="890"/>
  <c r="I28" i="890"/>
  <c r="I29" i="890"/>
  <c r="I30" i="890"/>
  <c r="I31" i="890"/>
  <c r="I32" i="890"/>
  <c r="I33" i="890"/>
  <c r="I34" i="890"/>
  <c r="I35" i="890"/>
  <c r="I36" i="890"/>
  <c r="I37" i="890"/>
  <c r="I38" i="890"/>
  <c r="I39" i="890"/>
  <c r="I40" i="890"/>
  <c r="I41" i="890"/>
  <c r="I42" i="890"/>
  <c r="I119" i="890"/>
  <c r="E120" i="890"/>
  <c r="J120" i="890"/>
  <c r="I123" i="890"/>
  <c r="E124" i="890"/>
  <c r="J124" i="890"/>
  <c r="I127" i="890"/>
  <c r="E128" i="890"/>
  <c r="J128" i="890"/>
  <c r="E132" i="890"/>
  <c r="J132" i="890"/>
  <c r="E136" i="890"/>
  <c r="J136" i="890"/>
  <c r="E140" i="890"/>
  <c r="J140" i="890"/>
  <c r="E144" i="890"/>
  <c r="J144" i="890"/>
  <c r="G120" i="890"/>
  <c r="G124" i="890"/>
  <c r="G128" i="890"/>
  <c r="G132" i="890"/>
  <c r="G136" i="890"/>
  <c r="G140" i="890"/>
  <c r="I141" i="890"/>
  <c r="G144" i="890"/>
  <c r="I145" i="890"/>
  <c r="G119" i="890"/>
  <c r="I120" i="890"/>
  <c r="E121" i="890"/>
  <c r="J121" i="890"/>
  <c r="G123" i="890"/>
  <c r="I124" i="890"/>
  <c r="E125" i="890"/>
  <c r="J125" i="890"/>
  <c r="G127" i="890"/>
  <c r="I128" i="890"/>
  <c r="E129" i="890"/>
  <c r="J129" i="890"/>
  <c r="G131" i="890"/>
  <c r="I132" i="890"/>
  <c r="E133" i="890"/>
  <c r="J133" i="890"/>
  <c r="G135" i="890"/>
  <c r="I136" i="890"/>
  <c r="E137" i="890"/>
  <c r="J137" i="890"/>
  <c r="G139" i="890"/>
  <c r="I140" i="890"/>
  <c r="E141" i="890"/>
  <c r="J141" i="890"/>
  <c r="G143" i="890"/>
  <c r="I144" i="890"/>
  <c r="E145" i="890"/>
  <c r="J145" i="890"/>
  <c r="G147" i="890"/>
  <c r="I14" i="889"/>
  <c r="I15" i="889"/>
  <c r="I16" i="889"/>
  <c r="I17" i="889"/>
  <c r="I18" i="889"/>
  <c r="I19" i="889"/>
  <c r="I20" i="889"/>
  <c r="I21" i="889"/>
  <c r="I22" i="889"/>
  <c r="I23" i="889"/>
  <c r="I24" i="889"/>
  <c r="I25" i="889"/>
  <c r="I26" i="889"/>
  <c r="H14" i="889"/>
  <c r="H15" i="889"/>
  <c r="H16" i="889"/>
  <c r="H17" i="889"/>
  <c r="H18" i="889"/>
  <c r="H19" i="889"/>
  <c r="H20" i="889"/>
  <c r="H21" i="889"/>
  <c r="H22" i="889"/>
  <c r="H23" i="889"/>
  <c r="H24" i="889"/>
  <c r="H25" i="889"/>
  <c r="H26" i="889"/>
  <c r="E14" i="889"/>
  <c r="E15" i="889"/>
  <c r="E16" i="889"/>
  <c r="E17" i="889"/>
  <c r="E18" i="889"/>
  <c r="E19" i="889"/>
  <c r="E20" i="889"/>
  <c r="E21" i="889"/>
  <c r="E22" i="889"/>
  <c r="E23" i="889"/>
  <c r="E24" i="889"/>
  <c r="E25" i="889"/>
  <c r="E26" i="889"/>
  <c r="I162" i="889"/>
  <c r="E162" i="889"/>
  <c r="I164" i="889"/>
  <c r="E164" i="889"/>
  <c r="I166" i="889"/>
  <c r="E166" i="889"/>
  <c r="I168" i="889"/>
  <c r="E168" i="889"/>
  <c r="I170" i="889"/>
  <c r="E170" i="889"/>
  <c r="H173" i="889"/>
  <c r="I173" i="889"/>
  <c r="E173" i="889"/>
  <c r="H177" i="889"/>
  <c r="I177" i="889"/>
  <c r="E177" i="889"/>
  <c r="H181" i="889"/>
  <c r="I181" i="889"/>
  <c r="E181" i="889"/>
  <c r="H174" i="889"/>
  <c r="I174" i="889"/>
  <c r="E174" i="889"/>
  <c r="H178" i="889"/>
  <c r="I178" i="889"/>
  <c r="E178" i="889"/>
  <c r="H162" i="889"/>
  <c r="I163" i="889"/>
  <c r="E163" i="889"/>
  <c r="H164" i="889"/>
  <c r="I165" i="889"/>
  <c r="E165" i="889"/>
  <c r="H166" i="889"/>
  <c r="I167" i="889"/>
  <c r="E167" i="889"/>
  <c r="H168" i="889"/>
  <c r="I169" i="889"/>
  <c r="E169" i="889"/>
  <c r="H170" i="889"/>
  <c r="I171" i="889"/>
  <c r="E171" i="889"/>
  <c r="G173" i="889"/>
  <c r="F174" i="889"/>
  <c r="H175" i="889"/>
  <c r="I175" i="889"/>
  <c r="E175" i="889"/>
  <c r="G177" i="889"/>
  <c r="F178" i="889"/>
  <c r="H179" i="889"/>
  <c r="I179" i="889"/>
  <c r="E179" i="889"/>
  <c r="G181" i="889"/>
  <c r="G161" i="889"/>
  <c r="J162" i="889"/>
  <c r="G163" i="889"/>
  <c r="J164" i="889"/>
  <c r="G165" i="889"/>
  <c r="J166" i="889"/>
  <c r="G167" i="889"/>
  <c r="J168" i="889"/>
  <c r="G169" i="889"/>
  <c r="J170" i="889"/>
  <c r="G171" i="889"/>
  <c r="H172" i="889"/>
  <c r="I172" i="889"/>
  <c r="E172" i="889"/>
  <c r="J173" i="889"/>
  <c r="G174" i="889"/>
  <c r="F175" i="889"/>
  <c r="H176" i="889"/>
  <c r="I176" i="889"/>
  <c r="E176" i="889"/>
  <c r="J177" i="889"/>
  <c r="G178" i="889"/>
  <c r="F179" i="889"/>
  <c r="H180" i="889"/>
  <c r="I180" i="889"/>
  <c r="E180" i="889"/>
  <c r="J181" i="889"/>
  <c r="E182" i="889"/>
  <c r="I182" i="889"/>
  <c r="E183" i="889"/>
  <c r="I183" i="889"/>
  <c r="E184" i="889"/>
  <c r="I184" i="889"/>
  <c r="E185" i="889"/>
  <c r="I185" i="889"/>
  <c r="E186" i="889"/>
  <c r="I186" i="889"/>
  <c r="E187" i="889"/>
  <c r="I187" i="889"/>
  <c r="E188" i="889"/>
  <c r="I188" i="889"/>
  <c r="E189" i="889"/>
  <c r="I189" i="889"/>
  <c r="E190" i="889"/>
  <c r="I190" i="889"/>
  <c r="E191" i="889"/>
  <c r="I191" i="889"/>
  <c r="E192" i="889"/>
  <c r="I192" i="889"/>
  <c r="E193" i="889"/>
  <c r="I193" i="889"/>
  <c r="E194" i="889"/>
  <c r="I194" i="889"/>
  <c r="E195" i="889"/>
  <c r="I195" i="889"/>
  <c r="E196" i="889"/>
  <c r="I196" i="889"/>
  <c r="E197" i="889"/>
  <c r="I197" i="889"/>
  <c r="E198" i="889"/>
  <c r="I198" i="889"/>
  <c r="E199" i="889"/>
  <c r="I199" i="889"/>
  <c r="E200" i="889"/>
  <c r="I200" i="889"/>
  <c r="E201" i="889"/>
  <c r="I201" i="889"/>
  <c r="E202" i="889"/>
  <c r="I202" i="889"/>
  <c r="E203" i="889"/>
  <c r="I203" i="889"/>
  <c r="I14" i="888"/>
  <c r="I15" i="888"/>
  <c r="I16" i="888"/>
  <c r="I17" i="888"/>
  <c r="I18" i="888"/>
  <c r="I19" i="888"/>
  <c r="I20" i="888"/>
  <c r="I21" i="888"/>
  <c r="H14" i="888"/>
  <c r="H15" i="888"/>
  <c r="H16" i="888"/>
  <c r="H17" i="888"/>
  <c r="H18" i="888"/>
  <c r="H19" i="888"/>
  <c r="H20" i="888"/>
  <c r="H21" i="888"/>
  <c r="H22" i="888"/>
  <c r="F14" i="888"/>
  <c r="F15" i="888"/>
  <c r="F16" i="888"/>
  <c r="F17" i="888"/>
  <c r="F18" i="888"/>
  <c r="F19" i="888"/>
  <c r="F20" i="888"/>
  <c r="F21" i="888"/>
  <c r="F22" i="888"/>
  <c r="H24" i="888"/>
  <c r="H26" i="888"/>
  <c r="E23" i="888"/>
  <c r="I60" i="888"/>
  <c r="E60" i="888"/>
  <c r="H60" i="888"/>
  <c r="J60" i="888"/>
  <c r="F60" i="888"/>
  <c r="I64" i="888"/>
  <c r="E64" i="888"/>
  <c r="H64" i="888"/>
  <c r="J64" i="888"/>
  <c r="F64" i="888"/>
  <c r="I68" i="888"/>
  <c r="E68" i="888"/>
  <c r="H68" i="888"/>
  <c r="J68" i="888"/>
  <c r="F68" i="888"/>
  <c r="G23" i="888"/>
  <c r="G24" i="888"/>
  <c r="G25" i="888"/>
  <c r="G26" i="888"/>
  <c r="G27" i="888"/>
  <c r="G28" i="888"/>
  <c r="G29" i="888"/>
  <c r="G30" i="888"/>
  <c r="G31" i="888"/>
  <c r="G32" i="888"/>
  <c r="G33" i="888"/>
  <c r="G34" i="888"/>
  <c r="G35" i="888"/>
  <c r="G36" i="888"/>
  <c r="G37" i="888"/>
  <c r="G38" i="888"/>
  <c r="G39" i="888"/>
  <c r="G40" i="888"/>
  <c r="I59" i="888"/>
  <c r="E59" i="888"/>
  <c r="H59" i="888"/>
  <c r="J59" i="888"/>
  <c r="F59" i="888"/>
  <c r="I63" i="888"/>
  <c r="E63" i="888"/>
  <c r="H63" i="888"/>
  <c r="J63" i="888"/>
  <c r="F63" i="888"/>
  <c r="I67" i="888"/>
  <c r="E67" i="888"/>
  <c r="H67" i="888"/>
  <c r="J67" i="888"/>
  <c r="F67" i="888"/>
  <c r="I58" i="888"/>
  <c r="E58" i="888"/>
  <c r="H58" i="888"/>
  <c r="J58" i="888"/>
  <c r="F58" i="888"/>
  <c r="I62" i="888"/>
  <c r="E62" i="888"/>
  <c r="H62" i="888"/>
  <c r="J62" i="888"/>
  <c r="F62" i="888"/>
  <c r="I66" i="888"/>
  <c r="E66" i="888"/>
  <c r="H66" i="888"/>
  <c r="J66" i="888"/>
  <c r="F66" i="888"/>
  <c r="I23" i="888"/>
  <c r="J23" i="888"/>
  <c r="F23" i="888"/>
  <c r="I24" i="888"/>
  <c r="E24" i="888"/>
  <c r="J24" i="888"/>
  <c r="F24" i="888"/>
  <c r="I25" i="888"/>
  <c r="E25" i="888"/>
  <c r="J25" i="888"/>
  <c r="F25" i="888"/>
  <c r="I26" i="888"/>
  <c r="E26" i="888"/>
  <c r="J26" i="888"/>
  <c r="F26" i="888"/>
  <c r="I27" i="888"/>
  <c r="E27" i="888"/>
  <c r="J27" i="888"/>
  <c r="F27" i="888"/>
  <c r="I28" i="888"/>
  <c r="E28" i="888"/>
  <c r="J28" i="888"/>
  <c r="F28" i="888"/>
  <c r="I29" i="888"/>
  <c r="E29" i="888"/>
  <c r="J29" i="888"/>
  <c r="F29" i="888"/>
  <c r="I30" i="888"/>
  <c r="E30" i="888"/>
  <c r="J30" i="888"/>
  <c r="F30" i="888"/>
  <c r="I31" i="888"/>
  <c r="E31" i="888"/>
  <c r="J31" i="888"/>
  <c r="F31" i="888"/>
  <c r="I32" i="888"/>
  <c r="E32" i="888"/>
  <c r="J32" i="888"/>
  <c r="F32" i="888"/>
  <c r="I33" i="888"/>
  <c r="E33" i="888"/>
  <c r="J33" i="888"/>
  <c r="F33" i="888"/>
  <c r="I34" i="888"/>
  <c r="E34" i="888"/>
  <c r="J34" i="888"/>
  <c r="F34" i="888"/>
  <c r="I35" i="888"/>
  <c r="E35" i="888"/>
  <c r="J35" i="888"/>
  <c r="F35" i="888"/>
  <c r="I36" i="888"/>
  <c r="E36" i="888"/>
  <c r="J36" i="888"/>
  <c r="F36" i="888"/>
  <c r="I37" i="888"/>
  <c r="E37" i="888"/>
  <c r="J37" i="888"/>
  <c r="F37" i="888"/>
  <c r="I38" i="888"/>
  <c r="E38" i="888"/>
  <c r="J38" i="888"/>
  <c r="F38" i="888"/>
  <c r="I39" i="888"/>
  <c r="E39" i="888"/>
  <c r="J39" i="888"/>
  <c r="F39" i="888"/>
  <c r="I40" i="888"/>
  <c r="E40" i="888"/>
  <c r="J40" i="888"/>
  <c r="F40" i="888"/>
  <c r="I41" i="888"/>
  <c r="E41" i="888"/>
  <c r="J41" i="888"/>
  <c r="F41" i="888"/>
  <c r="I42" i="888"/>
  <c r="E42" i="888"/>
  <c r="J42" i="888"/>
  <c r="F42" i="888"/>
  <c r="I43" i="888"/>
  <c r="E43" i="888"/>
  <c r="J43" i="888"/>
  <c r="F43" i="888"/>
  <c r="I44" i="888"/>
  <c r="E44" i="888"/>
  <c r="J44" i="888"/>
  <c r="F44" i="888"/>
  <c r="I45" i="888"/>
  <c r="E45" i="888"/>
  <c r="J45" i="888"/>
  <c r="F45" i="888"/>
  <c r="I46" i="888"/>
  <c r="E46" i="888"/>
  <c r="J46" i="888"/>
  <c r="F46" i="888"/>
  <c r="I47" i="888"/>
  <c r="E47" i="888"/>
  <c r="J47" i="888"/>
  <c r="F47" i="888"/>
  <c r="I48" i="888"/>
  <c r="E48" i="888"/>
  <c r="J48" i="888"/>
  <c r="F48" i="888"/>
  <c r="I49" i="888"/>
  <c r="E49" i="888"/>
  <c r="J49" i="888"/>
  <c r="F49" i="888"/>
  <c r="I50" i="888"/>
  <c r="E50" i="888"/>
  <c r="J50" i="888"/>
  <c r="F50" i="888"/>
  <c r="I51" i="888"/>
  <c r="E51" i="888"/>
  <c r="J51" i="888"/>
  <c r="F51" i="888"/>
  <c r="I52" i="888"/>
  <c r="E52" i="888"/>
  <c r="J52" i="888"/>
  <c r="F52" i="888"/>
  <c r="I53" i="888"/>
  <c r="E53" i="888"/>
  <c r="J53" i="888"/>
  <c r="F53" i="888"/>
  <c r="I54" i="888"/>
  <c r="E54" i="888"/>
  <c r="J54" i="888"/>
  <c r="F54" i="888"/>
  <c r="I55" i="888"/>
  <c r="E55" i="888"/>
  <c r="J55" i="888"/>
  <c r="F55" i="888"/>
  <c r="I56" i="888"/>
  <c r="E56" i="888"/>
  <c r="J56" i="888"/>
  <c r="F56" i="888"/>
  <c r="I57" i="888"/>
  <c r="E57" i="888"/>
  <c r="J57" i="888"/>
  <c r="F57" i="888"/>
  <c r="G60" i="888"/>
  <c r="I61" i="888"/>
  <c r="E61" i="888"/>
  <c r="H61" i="888"/>
  <c r="J61" i="888"/>
  <c r="F61" i="888"/>
  <c r="G64" i="888"/>
  <c r="I65" i="888"/>
  <c r="E65" i="888"/>
  <c r="H65" i="888"/>
  <c r="J65" i="888"/>
  <c r="F65" i="888"/>
  <c r="G68" i="888"/>
  <c r="I69" i="888"/>
  <c r="E69" i="888"/>
  <c r="H69" i="888"/>
  <c r="J69" i="888"/>
  <c r="F69" i="888"/>
  <c r="F70" i="888"/>
  <c r="J70" i="888"/>
  <c r="F71" i="888"/>
  <c r="J71" i="888"/>
  <c r="F72" i="888"/>
  <c r="J72" i="888"/>
  <c r="F73" i="888"/>
  <c r="J73" i="888"/>
  <c r="F74" i="888"/>
  <c r="J74" i="888"/>
  <c r="F75" i="888"/>
  <c r="J75" i="888"/>
  <c r="F76" i="888"/>
  <c r="J76" i="888"/>
  <c r="F77" i="888"/>
  <c r="J77" i="888"/>
  <c r="F78" i="888"/>
  <c r="J78" i="888"/>
  <c r="F79" i="888"/>
  <c r="J79" i="888"/>
  <c r="F80" i="888"/>
  <c r="J80" i="888"/>
  <c r="F81" i="888"/>
  <c r="J81" i="888"/>
  <c r="F82" i="888"/>
  <c r="J82" i="888"/>
  <c r="F83" i="888"/>
  <c r="J83" i="888"/>
  <c r="F84" i="888"/>
  <c r="J84" i="888"/>
  <c r="F85" i="888"/>
  <c r="J85" i="888"/>
  <c r="F86" i="888"/>
  <c r="J86" i="888"/>
  <c r="F87" i="888"/>
  <c r="J87" i="888"/>
  <c r="F88" i="888"/>
  <c r="J88" i="888"/>
  <c r="F89" i="888"/>
  <c r="J89" i="888"/>
  <c r="F90" i="888"/>
  <c r="J90" i="888"/>
  <c r="F91" i="888"/>
  <c r="J91" i="888"/>
  <c r="F92" i="888"/>
  <c r="J92" i="888"/>
  <c r="F93" i="888"/>
  <c r="J93" i="888"/>
  <c r="F94" i="888"/>
  <c r="J94" i="888"/>
  <c r="F95" i="888"/>
  <c r="J95" i="888"/>
  <c r="F96" i="888"/>
  <c r="J96" i="888"/>
  <c r="I99" i="888"/>
  <c r="E99" i="888"/>
  <c r="I101" i="888"/>
  <c r="E101" i="888"/>
  <c r="I103" i="888"/>
  <c r="E103" i="888"/>
  <c r="I105" i="888"/>
  <c r="E105" i="888"/>
  <c r="I107" i="888"/>
  <c r="E107" i="888"/>
  <c r="I109" i="888"/>
  <c r="E109" i="888"/>
  <c r="I111" i="888"/>
  <c r="E111" i="888"/>
  <c r="I113" i="888"/>
  <c r="E113" i="888"/>
  <c r="I115" i="888"/>
  <c r="E115" i="888"/>
  <c r="I118" i="888"/>
  <c r="E118" i="888"/>
  <c r="H118" i="888"/>
  <c r="J118" i="888"/>
  <c r="F118" i="888"/>
  <c r="I122" i="888"/>
  <c r="E122" i="888"/>
  <c r="H122" i="888"/>
  <c r="J122" i="888"/>
  <c r="F122" i="888"/>
  <c r="I117" i="888"/>
  <c r="E117" i="888"/>
  <c r="H117" i="888"/>
  <c r="J117" i="888"/>
  <c r="F117" i="888"/>
  <c r="I121" i="888"/>
  <c r="E121" i="888"/>
  <c r="H121" i="888"/>
  <c r="J121" i="888"/>
  <c r="F121" i="888"/>
  <c r="H70" i="888"/>
  <c r="H71" i="888"/>
  <c r="H72" i="888"/>
  <c r="H73" i="888"/>
  <c r="H74" i="888"/>
  <c r="H75" i="888"/>
  <c r="H76" i="888"/>
  <c r="H77" i="888"/>
  <c r="H78" i="888"/>
  <c r="H79" i="888"/>
  <c r="H80" i="888"/>
  <c r="H81" i="888"/>
  <c r="H82" i="888"/>
  <c r="H83" i="888"/>
  <c r="H84" i="888"/>
  <c r="H85" i="888"/>
  <c r="H86" i="888"/>
  <c r="H87" i="888"/>
  <c r="H88" i="888"/>
  <c r="H89" i="888"/>
  <c r="H90" i="888"/>
  <c r="H91" i="888"/>
  <c r="H92" i="888"/>
  <c r="H93" i="888"/>
  <c r="H94" i="888"/>
  <c r="H95" i="888"/>
  <c r="H96" i="888"/>
  <c r="I98" i="888"/>
  <c r="E98" i="888"/>
  <c r="I100" i="888"/>
  <c r="E100" i="888"/>
  <c r="I102" i="888"/>
  <c r="E102" i="888"/>
  <c r="I104" i="888"/>
  <c r="E104" i="888"/>
  <c r="I106" i="888"/>
  <c r="E106" i="888"/>
  <c r="I108" i="888"/>
  <c r="E108" i="888"/>
  <c r="I110" i="888"/>
  <c r="E110" i="888"/>
  <c r="I112" i="888"/>
  <c r="E112" i="888"/>
  <c r="I114" i="888"/>
  <c r="E114" i="888"/>
  <c r="I116" i="888"/>
  <c r="E116" i="888"/>
  <c r="I120" i="888"/>
  <c r="E120" i="888"/>
  <c r="H120" i="888"/>
  <c r="J120" i="888"/>
  <c r="F120" i="888"/>
  <c r="E70" i="888"/>
  <c r="E71" i="888"/>
  <c r="E72" i="888"/>
  <c r="E73" i="888"/>
  <c r="E74" i="888"/>
  <c r="E75" i="888"/>
  <c r="E76" i="888"/>
  <c r="E77" i="888"/>
  <c r="E78" i="888"/>
  <c r="E79" i="888"/>
  <c r="E80" i="888"/>
  <c r="E81" i="888"/>
  <c r="E82" i="888"/>
  <c r="E83" i="888"/>
  <c r="E84" i="888"/>
  <c r="E85" i="888"/>
  <c r="E86" i="888"/>
  <c r="E87" i="888"/>
  <c r="E88" i="888"/>
  <c r="E89" i="888"/>
  <c r="E90" i="888"/>
  <c r="E91" i="888"/>
  <c r="E92" i="888"/>
  <c r="E93" i="888"/>
  <c r="E94" i="888"/>
  <c r="E95" i="888"/>
  <c r="E96" i="888"/>
  <c r="E97" i="888"/>
  <c r="J97" i="888"/>
  <c r="G98" i="888"/>
  <c r="J99" i="888"/>
  <c r="G100" i="888"/>
  <c r="J101" i="888"/>
  <c r="G102" i="888"/>
  <c r="J103" i="888"/>
  <c r="G104" i="888"/>
  <c r="J105" i="888"/>
  <c r="G106" i="888"/>
  <c r="J107" i="888"/>
  <c r="G108" i="888"/>
  <c r="J109" i="888"/>
  <c r="G110" i="888"/>
  <c r="J111" i="888"/>
  <c r="G112" i="888"/>
  <c r="J113" i="888"/>
  <c r="G114" i="888"/>
  <c r="J115" i="888"/>
  <c r="G116" i="888"/>
  <c r="G118" i="888"/>
  <c r="I119" i="888"/>
  <c r="E119" i="888"/>
  <c r="H119" i="888"/>
  <c r="J119" i="888"/>
  <c r="F119" i="888"/>
  <c r="G122" i="888"/>
  <c r="F123" i="888"/>
  <c r="J123" i="888"/>
  <c r="F124" i="888"/>
  <c r="J124" i="888"/>
  <c r="F125" i="888"/>
  <c r="J125" i="888"/>
  <c r="F126" i="888"/>
  <c r="J126" i="888"/>
  <c r="E130" i="888"/>
  <c r="J130" i="888"/>
  <c r="H134" i="888"/>
  <c r="I134" i="888"/>
  <c r="H138" i="888"/>
  <c r="I138" i="888"/>
  <c r="E138" i="888"/>
  <c r="H142" i="888"/>
  <c r="I142" i="888"/>
  <c r="E142" i="888"/>
  <c r="H146" i="888"/>
  <c r="I146" i="888"/>
  <c r="E146" i="888"/>
  <c r="H150" i="888"/>
  <c r="I150" i="888"/>
  <c r="E150" i="888"/>
  <c r="H154" i="888"/>
  <c r="I154" i="888"/>
  <c r="E154" i="888"/>
  <c r="H135" i="888"/>
  <c r="I135" i="888"/>
  <c r="E135" i="888"/>
  <c r="H139" i="888"/>
  <c r="I139" i="888"/>
  <c r="E139" i="888"/>
  <c r="H143" i="888"/>
  <c r="I143" i="888"/>
  <c r="E143" i="888"/>
  <c r="H147" i="888"/>
  <c r="I147" i="888"/>
  <c r="E147" i="888"/>
  <c r="H151" i="888"/>
  <c r="I151" i="888"/>
  <c r="E151" i="888"/>
  <c r="H155" i="888"/>
  <c r="I155" i="888"/>
  <c r="E155" i="888"/>
  <c r="H123" i="888"/>
  <c r="H124" i="888"/>
  <c r="H125" i="888"/>
  <c r="H126" i="888"/>
  <c r="I127" i="888"/>
  <c r="G130" i="888"/>
  <c r="I131" i="888"/>
  <c r="G134" i="888"/>
  <c r="F135" i="888"/>
  <c r="H136" i="888"/>
  <c r="I136" i="888"/>
  <c r="E136" i="888"/>
  <c r="G138" i="888"/>
  <c r="F139" i="888"/>
  <c r="H140" i="888"/>
  <c r="I140" i="888"/>
  <c r="E140" i="888"/>
  <c r="G142" i="888"/>
  <c r="F143" i="888"/>
  <c r="H144" i="888"/>
  <c r="I144" i="888"/>
  <c r="E144" i="888"/>
  <c r="G146" i="888"/>
  <c r="F147" i="888"/>
  <c r="H148" i="888"/>
  <c r="I148" i="888"/>
  <c r="E148" i="888"/>
  <c r="G150" i="888"/>
  <c r="F151" i="888"/>
  <c r="H152" i="888"/>
  <c r="I152" i="888"/>
  <c r="E152" i="888"/>
  <c r="G154" i="888"/>
  <c r="F155" i="888"/>
  <c r="E123" i="888"/>
  <c r="E124" i="888"/>
  <c r="E125" i="888"/>
  <c r="E126" i="888"/>
  <c r="E127" i="888"/>
  <c r="J127" i="888"/>
  <c r="G129" i="888"/>
  <c r="I130" i="888"/>
  <c r="E131" i="888"/>
  <c r="J131" i="888"/>
  <c r="G133" i="888"/>
  <c r="J134" i="888"/>
  <c r="G135" i="888"/>
  <c r="F136" i="888"/>
  <c r="H137" i="888"/>
  <c r="I137" i="888"/>
  <c r="E137" i="888"/>
  <c r="J138" i="888"/>
  <c r="G139" i="888"/>
  <c r="F140" i="888"/>
  <c r="H141" i="888"/>
  <c r="I141" i="888"/>
  <c r="E141" i="888"/>
  <c r="J142" i="888"/>
  <c r="G143" i="888"/>
  <c r="F144" i="888"/>
  <c r="H145" i="888"/>
  <c r="I145" i="888"/>
  <c r="E145" i="888"/>
  <c r="J146" i="888"/>
  <c r="G147" i="888"/>
  <c r="F148" i="888"/>
  <c r="H149" i="888"/>
  <c r="I149" i="888"/>
  <c r="E149" i="888"/>
  <c r="J150" i="888"/>
  <c r="G151" i="888"/>
  <c r="F152" i="888"/>
  <c r="H153" i="888"/>
  <c r="I153" i="888"/>
  <c r="E153" i="888"/>
  <c r="J154" i="888"/>
  <c r="G155" i="888"/>
  <c r="E156" i="888"/>
  <c r="I156" i="888"/>
  <c r="E157" i="888"/>
  <c r="I157" i="888"/>
  <c r="E158" i="888"/>
  <c r="I158" i="888"/>
  <c r="E159" i="888"/>
  <c r="I159" i="888"/>
  <c r="E160" i="888"/>
  <c r="I160" i="888"/>
  <c r="E161" i="888"/>
  <c r="I161" i="888"/>
  <c r="E162" i="888"/>
  <c r="I162" i="888"/>
  <c r="E163" i="888"/>
  <c r="I163" i="888"/>
  <c r="E164" i="888"/>
  <c r="I164" i="888"/>
  <c r="E165" i="888"/>
  <c r="I165" i="888"/>
  <c r="E166" i="888"/>
  <c r="I166" i="888"/>
  <c r="E167" i="888"/>
  <c r="I167" i="888"/>
  <c r="E168" i="888"/>
  <c r="I168" i="888"/>
  <c r="E169" i="888"/>
  <c r="I169" i="888"/>
  <c r="E170" i="888"/>
  <c r="I170" i="888"/>
  <c r="E171" i="888"/>
  <c r="I171" i="888"/>
  <c r="E172" i="888"/>
  <c r="I172" i="888"/>
  <c r="E173" i="888"/>
  <c r="I173" i="888"/>
  <c r="E174" i="888"/>
  <c r="I174" i="888"/>
  <c r="E175" i="888"/>
  <c r="I175" i="888"/>
  <c r="I176" i="888"/>
  <c r="I177" i="888"/>
  <c r="J166" i="888"/>
  <c r="I31" i="887"/>
  <c r="I22" i="887"/>
  <c r="I23" i="887"/>
  <c r="I21" i="887"/>
  <c r="I26" i="887"/>
  <c r="I27" i="887"/>
  <c r="I33" i="887"/>
  <c r="I34" i="887"/>
  <c r="I35" i="887"/>
  <c r="I36" i="887"/>
  <c r="I37" i="887"/>
  <c r="I38" i="887"/>
  <c r="I39" i="887"/>
  <c r="I40" i="887"/>
  <c r="I41" i="887"/>
  <c r="I42" i="887"/>
  <c r="I25" i="887"/>
  <c r="F21" i="887"/>
  <c r="F25" i="887"/>
  <c r="F28" i="887"/>
  <c r="H28" i="887"/>
  <c r="G29" i="887"/>
  <c r="I30" i="887"/>
  <c r="F32" i="887"/>
  <c r="H32" i="887"/>
  <c r="G21" i="887"/>
  <c r="F22" i="887"/>
  <c r="G25" i="887"/>
  <c r="F26" i="887"/>
  <c r="G28" i="887"/>
  <c r="I29" i="887"/>
  <c r="H31" i="887"/>
  <c r="G32" i="887"/>
  <c r="H33" i="887"/>
  <c r="H34" i="887"/>
  <c r="H35" i="887"/>
  <c r="H36" i="887"/>
  <c r="H37" i="887"/>
  <c r="H38" i="887"/>
  <c r="H39" i="887"/>
  <c r="H40" i="887"/>
  <c r="H41" i="887"/>
  <c r="H42" i="887"/>
  <c r="G14" i="887"/>
  <c r="J15" i="887"/>
  <c r="G18" i="887"/>
  <c r="J19" i="887"/>
  <c r="J20" i="887"/>
  <c r="J21" i="887"/>
  <c r="G22" i="887"/>
  <c r="F23" i="887"/>
  <c r="I24" i="887"/>
  <c r="J25" i="887"/>
  <c r="G26" i="887"/>
  <c r="F27" i="887"/>
  <c r="I28" i="887"/>
  <c r="E29" i="887"/>
  <c r="J29" i="887"/>
  <c r="H30" i="887"/>
  <c r="G31" i="887"/>
  <c r="I32" i="887"/>
  <c r="E33" i="887"/>
  <c r="E34" i="887"/>
  <c r="E35" i="887"/>
  <c r="E36" i="887"/>
  <c r="E37" i="887"/>
  <c r="E38" i="887"/>
  <c r="E39" i="887"/>
  <c r="E40" i="887"/>
  <c r="E41" i="887"/>
  <c r="E42" i="887"/>
  <c r="H14" i="887"/>
  <c r="H15" i="887"/>
  <c r="H16" i="887"/>
  <c r="H17" i="887"/>
  <c r="H18" i="887"/>
  <c r="H19" i="887"/>
  <c r="H20" i="887"/>
  <c r="H21" i="887"/>
  <c r="H22" i="887"/>
  <c r="H23" i="887"/>
  <c r="H24" i="887"/>
  <c r="H25" i="887"/>
  <c r="H26" i="887"/>
  <c r="H27" i="887"/>
  <c r="H161" i="887"/>
  <c r="H165" i="887"/>
  <c r="J165" i="887"/>
  <c r="F165" i="887"/>
  <c r="I165" i="887"/>
  <c r="E165" i="887"/>
  <c r="H169" i="887"/>
  <c r="J169" i="887"/>
  <c r="F169" i="887"/>
  <c r="I169" i="887"/>
  <c r="E169" i="887"/>
  <c r="H173" i="887"/>
  <c r="J173" i="887"/>
  <c r="F173" i="887"/>
  <c r="I173" i="887"/>
  <c r="E173" i="887"/>
  <c r="H177" i="887"/>
  <c r="J177" i="887"/>
  <c r="F177" i="887"/>
  <c r="I177" i="887"/>
  <c r="E177" i="887"/>
  <c r="H181" i="887"/>
  <c r="J181" i="887"/>
  <c r="F181" i="887"/>
  <c r="I181" i="887"/>
  <c r="E181" i="887"/>
  <c r="E14" i="887"/>
  <c r="I14" i="887"/>
  <c r="E15" i="887"/>
  <c r="I15" i="887"/>
  <c r="E16" i="887"/>
  <c r="I16" i="887"/>
  <c r="E17" i="887"/>
  <c r="I17" i="887"/>
  <c r="E18" i="887"/>
  <c r="I18" i="887"/>
  <c r="E19" i="887"/>
  <c r="I19" i="887"/>
  <c r="E20" i="887"/>
  <c r="I20" i="887"/>
  <c r="E21" i="887"/>
  <c r="E22" i="887"/>
  <c r="E23" i="887"/>
  <c r="E24" i="887"/>
  <c r="E25" i="887"/>
  <c r="E26" i="887"/>
  <c r="E27" i="887"/>
  <c r="H164" i="887"/>
  <c r="J164" i="887"/>
  <c r="F164" i="887"/>
  <c r="I164" i="887"/>
  <c r="E164" i="887"/>
  <c r="H168" i="887"/>
  <c r="J168" i="887"/>
  <c r="F168" i="887"/>
  <c r="I168" i="887"/>
  <c r="E168" i="887"/>
  <c r="H172" i="887"/>
  <c r="J172" i="887"/>
  <c r="F172" i="887"/>
  <c r="I172" i="887"/>
  <c r="E172" i="887"/>
  <c r="H176" i="887"/>
  <c r="J176" i="887"/>
  <c r="F176" i="887"/>
  <c r="I176" i="887"/>
  <c r="E176" i="887"/>
  <c r="H180" i="887"/>
  <c r="J180" i="887"/>
  <c r="F180" i="887"/>
  <c r="I180" i="887"/>
  <c r="E180" i="887"/>
  <c r="F14" i="887"/>
  <c r="F15" i="887"/>
  <c r="F16" i="887"/>
  <c r="F17" i="887"/>
  <c r="F18" i="887"/>
  <c r="F19" i="887"/>
  <c r="J162" i="887"/>
  <c r="F162" i="887"/>
  <c r="I162" i="887"/>
  <c r="E162" i="887"/>
  <c r="J163" i="887"/>
  <c r="F163" i="887"/>
  <c r="I163" i="887"/>
  <c r="E163" i="887"/>
  <c r="H167" i="887"/>
  <c r="J167" i="887"/>
  <c r="F167" i="887"/>
  <c r="I167" i="887"/>
  <c r="E167" i="887"/>
  <c r="H171" i="887"/>
  <c r="J171" i="887"/>
  <c r="F171" i="887"/>
  <c r="I171" i="887"/>
  <c r="E171" i="887"/>
  <c r="H175" i="887"/>
  <c r="J175" i="887"/>
  <c r="F175" i="887"/>
  <c r="I175" i="887"/>
  <c r="E175" i="887"/>
  <c r="H179" i="887"/>
  <c r="J179" i="887"/>
  <c r="F179" i="887"/>
  <c r="I179" i="887"/>
  <c r="E179" i="887"/>
  <c r="G161" i="887"/>
  <c r="G165" i="887"/>
  <c r="H166" i="887"/>
  <c r="J166" i="887"/>
  <c r="F166" i="887"/>
  <c r="I166" i="887"/>
  <c r="E166" i="887"/>
  <c r="G169" i="887"/>
  <c r="H170" i="887"/>
  <c r="J170" i="887"/>
  <c r="F170" i="887"/>
  <c r="I170" i="887"/>
  <c r="E170" i="887"/>
  <c r="G173" i="887"/>
  <c r="H174" i="887"/>
  <c r="J174" i="887"/>
  <c r="F174" i="887"/>
  <c r="I174" i="887"/>
  <c r="E174" i="887"/>
  <c r="G177" i="887"/>
  <c r="H178" i="887"/>
  <c r="J178" i="887"/>
  <c r="F178" i="887"/>
  <c r="I178" i="887"/>
  <c r="E178" i="887"/>
  <c r="G181" i="887"/>
  <c r="E182" i="887"/>
  <c r="I182" i="887"/>
  <c r="E183" i="887"/>
  <c r="I183" i="887"/>
  <c r="E184" i="887"/>
  <c r="I184" i="887"/>
  <c r="E185" i="887"/>
  <c r="I185" i="887"/>
  <c r="E186" i="887"/>
  <c r="I186" i="887"/>
  <c r="E187" i="887"/>
  <c r="I187" i="887"/>
  <c r="E188" i="887"/>
  <c r="I188" i="887"/>
  <c r="E189" i="887"/>
  <c r="I189" i="887"/>
  <c r="E190" i="887"/>
  <c r="I190" i="887"/>
  <c r="E191" i="887"/>
  <c r="I191" i="887"/>
  <c r="E192" i="887"/>
  <c r="I192" i="887"/>
  <c r="E193" i="887"/>
  <c r="I193" i="887"/>
  <c r="E194" i="887"/>
  <c r="I194" i="887"/>
  <c r="E195" i="887"/>
  <c r="I195" i="887"/>
  <c r="E196" i="887"/>
  <c r="I196" i="887"/>
  <c r="E197" i="887"/>
  <c r="I197" i="887"/>
  <c r="E198" i="887"/>
  <c r="I198" i="887"/>
  <c r="E199" i="887"/>
  <c r="I199" i="887"/>
  <c r="E200" i="887"/>
  <c r="I200" i="887"/>
  <c r="E201" i="887"/>
  <c r="I201" i="887"/>
  <c r="E202" i="887"/>
  <c r="I202" i="887"/>
  <c r="E203" i="887"/>
  <c r="I203" i="887"/>
  <c r="F182" i="887"/>
  <c r="J182" i="887"/>
  <c r="F183" i="887"/>
  <c r="J183" i="887"/>
  <c r="F184" i="887"/>
  <c r="J184" i="887"/>
  <c r="F185" i="887"/>
  <c r="J185" i="887"/>
  <c r="F186" i="887"/>
  <c r="J186" i="887"/>
  <c r="F187" i="887"/>
  <c r="J187" i="887"/>
  <c r="F188" i="887"/>
  <c r="J188" i="887"/>
  <c r="F189" i="887"/>
  <c r="J189" i="887"/>
  <c r="F190" i="887"/>
  <c r="J190" i="887"/>
  <c r="F191" i="887"/>
  <c r="J191" i="887"/>
  <c r="F192" i="887"/>
  <c r="J192" i="887"/>
  <c r="F193" i="887"/>
  <c r="J193" i="887"/>
  <c r="F194" i="887"/>
  <c r="J194" i="887"/>
  <c r="F195" i="887"/>
  <c r="J195" i="887"/>
  <c r="F196" i="887"/>
  <c r="J196" i="887"/>
  <c r="F197" i="887"/>
  <c r="J197" i="887"/>
  <c r="F198" i="887"/>
  <c r="J198" i="887"/>
  <c r="F199" i="887"/>
  <c r="J199" i="887"/>
  <c r="F200" i="887"/>
  <c r="J200" i="887"/>
  <c r="F201" i="887"/>
  <c r="J201" i="887"/>
  <c r="F202" i="887"/>
  <c r="J202" i="887"/>
  <c r="F203" i="887"/>
  <c r="J203" i="887"/>
  <c r="I14" i="886"/>
  <c r="I15" i="886"/>
  <c r="I16" i="886"/>
  <c r="I17" i="886"/>
  <c r="I18" i="886"/>
  <c r="I19" i="886"/>
  <c r="I20" i="886"/>
  <c r="I21" i="886"/>
  <c r="I22" i="886"/>
  <c r="I23" i="886"/>
  <c r="I24" i="886"/>
  <c r="I25" i="886"/>
  <c r="I26" i="886"/>
  <c r="I27" i="886"/>
  <c r="I28" i="886"/>
  <c r="I29" i="886"/>
  <c r="I30" i="886"/>
  <c r="I31" i="886"/>
  <c r="I32" i="886"/>
  <c r="I33" i="886"/>
  <c r="I34" i="886"/>
  <c r="I35" i="886"/>
  <c r="I36" i="886"/>
  <c r="I37" i="886"/>
  <c r="I38" i="886"/>
  <c r="I39" i="886"/>
  <c r="I40" i="886"/>
  <c r="I41" i="886"/>
  <c r="I42" i="886"/>
  <c r="I43" i="886"/>
  <c r="I44" i="886"/>
  <c r="H71" i="886"/>
  <c r="I72" i="886"/>
  <c r="E72" i="886"/>
  <c r="I74" i="886"/>
  <c r="E74" i="886"/>
  <c r="I76" i="886"/>
  <c r="E76" i="886"/>
  <c r="I78" i="886"/>
  <c r="E78" i="886"/>
  <c r="I80" i="886"/>
  <c r="E80" i="886"/>
  <c r="I82" i="886"/>
  <c r="E82" i="886"/>
  <c r="I84" i="886"/>
  <c r="E84" i="886"/>
  <c r="H88" i="886"/>
  <c r="I88" i="886"/>
  <c r="E88" i="886"/>
  <c r="H92" i="886"/>
  <c r="I92" i="886"/>
  <c r="E92" i="886"/>
  <c r="H96" i="886"/>
  <c r="I96" i="886"/>
  <c r="E96" i="886"/>
  <c r="H100" i="886"/>
  <c r="I100" i="886"/>
  <c r="E100" i="886"/>
  <c r="H104" i="886"/>
  <c r="I104" i="886"/>
  <c r="E104" i="886"/>
  <c r="H108" i="886"/>
  <c r="I108" i="886"/>
  <c r="E108" i="886"/>
  <c r="H112" i="886"/>
  <c r="I112" i="886"/>
  <c r="E112" i="886"/>
  <c r="H85" i="886"/>
  <c r="I85" i="886"/>
  <c r="E85" i="886"/>
  <c r="H89" i="886"/>
  <c r="I89" i="886"/>
  <c r="E89" i="886"/>
  <c r="H93" i="886"/>
  <c r="I93" i="886"/>
  <c r="E93" i="886"/>
  <c r="H97" i="886"/>
  <c r="I97" i="886"/>
  <c r="E97" i="886"/>
  <c r="H101" i="886"/>
  <c r="I101" i="886"/>
  <c r="E101" i="886"/>
  <c r="H105" i="886"/>
  <c r="I105" i="886"/>
  <c r="E105" i="886"/>
  <c r="H109" i="886"/>
  <c r="I109" i="886"/>
  <c r="E109" i="886"/>
  <c r="I73" i="886"/>
  <c r="E73" i="886"/>
  <c r="I75" i="886"/>
  <c r="E75" i="886"/>
  <c r="I77" i="886"/>
  <c r="E77" i="886"/>
  <c r="I79" i="886"/>
  <c r="E79" i="886"/>
  <c r="I81" i="886"/>
  <c r="E81" i="886"/>
  <c r="I83" i="886"/>
  <c r="E83" i="886"/>
  <c r="F85" i="886"/>
  <c r="H86" i="886"/>
  <c r="I86" i="886"/>
  <c r="E86" i="886"/>
  <c r="F89" i="886"/>
  <c r="H90" i="886"/>
  <c r="I90" i="886"/>
  <c r="E90" i="886"/>
  <c r="F93" i="886"/>
  <c r="H94" i="886"/>
  <c r="I94" i="886"/>
  <c r="E94" i="886"/>
  <c r="F97" i="886"/>
  <c r="H98" i="886"/>
  <c r="I98" i="886"/>
  <c r="E98" i="886"/>
  <c r="F101" i="886"/>
  <c r="H102" i="886"/>
  <c r="I102" i="886"/>
  <c r="E102" i="886"/>
  <c r="F105" i="886"/>
  <c r="H106" i="886"/>
  <c r="I106" i="886"/>
  <c r="E106" i="886"/>
  <c r="G108" i="886"/>
  <c r="F109" i="886"/>
  <c r="H110" i="886"/>
  <c r="I110" i="886"/>
  <c r="E110" i="886"/>
  <c r="G112" i="886"/>
  <c r="G71" i="886"/>
  <c r="J72" i="886"/>
  <c r="G73" i="886"/>
  <c r="J74" i="886"/>
  <c r="G75" i="886"/>
  <c r="J76" i="886"/>
  <c r="G77" i="886"/>
  <c r="J78" i="886"/>
  <c r="G79" i="886"/>
  <c r="J80" i="886"/>
  <c r="G81" i="886"/>
  <c r="J82" i="886"/>
  <c r="G83" i="886"/>
  <c r="J84" i="886"/>
  <c r="G85" i="886"/>
  <c r="F86" i="886"/>
  <c r="H87" i="886"/>
  <c r="I87" i="886"/>
  <c r="E87" i="886"/>
  <c r="J88" i="886"/>
  <c r="G89" i="886"/>
  <c r="F90" i="886"/>
  <c r="H91" i="886"/>
  <c r="I91" i="886"/>
  <c r="E91" i="886"/>
  <c r="J92" i="886"/>
  <c r="G93" i="886"/>
  <c r="F94" i="886"/>
  <c r="H95" i="886"/>
  <c r="I95" i="886"/>
  <c r="E95" i="886"/>
  <c r="J96" i="886"/>
  <c r="G97" i="886"/>
  <c r="F98" i="886"/>
  <c r="H99" i="886"/>
  <c r="I99" i="886"/>
  <c r="E99" i="886"/>
  <c r="J100" i="886"/>
  <c r="G101" i="886"/>
  <c r="F102" i="886"/>
  <c r="H103" i="886"/>
  <c r="I103" i="886"/>
  <c r="E103" i="886"/>
  <c r="J104" i="886"/>
  <c r="G105" i="886"/>
  <c r="F106" i="886"/>
  <c r="H107" i="886"/>
  <c r="I107" i="886"/>
  <c r="E107" i="886"/>
  <c r="J108" i="886"/>
  <c r="G109" i="886"/>
  <c r="F110" i="886"/>
  <c r="H111" i="886"/>
  <c r="I111" i="886"/>
  <c r="E111" i="886"/>
  <c r="J112" i="886"/>
  <c r="E113" i="886"/>
  <c r="I113" i="886"/>
  <c r="E114" i="886"/>
  <c r="I114" i="886"/>
  <c r="E115" i="886"/>
  <c r="I115" i="886"/>
  <c r="E116" i="886"/>
  <c r="I116" i="886"/>
  <c r="E117" i="886"/>
  <c r="I117" i="886"/>
  <c r="E118" i="886"/>
  <c r="I118" i="886"/>
  <c r="E119" i="886"/>
  <c r="I119" i="886"/>
  <c r="E120" i="886"/>
  <c r="I120" i="886"/>
  <c r="E121" i="886"/>
  <c r="I121" i="886"/>
  <c r="E122" i="886"/>
  <c r="I122" i="886"/>
  <c r="E123" i="886"/>
  <c r="I123" i="886"/>
  <c r="E124" i="886"/>
  <c r="I124" i="886"/>
  <c r="E125" i="886"/>
  <c r="I125" i="886"/>
  <c r="E126" i="886"/>
  <c r="I126" i="886"/>
  <c r="E127" i="886"/>
  <c r="I127" i="886"/>
  <c r="E128" i="886"/>
  <c r="I128" i="886"/>
  <c r="E129" i="886"/>
  <c r="I129" i="886"/>
  <c r="E130" i="886"/>
  <c r="I130" i="886"/>
  <c r="E131" i="886"/>
  <c r="I131" i="886"/>
  <c r="E132" i="886"/>
  <c r="I132" i="886"/>
  <c r="E133" i="886"/>
  <c r="I133" i="886"/>
  <c r="E134" i="886"/>
  <c r="I134" i="886"/>
  <c r="E135" i="886"/>
  <c r="I135" i="886"/>
  <c r="E136" i="886"/>
  <c r="I136" i="886"/>
  <c r="E137" i="886"/>
  <c r="I137" i="886"/>
  <c r="E138" i="886"/>
  <c r="I138" i="886"/>
  <c r="E139" i="886"/>
  <c r="I139" i="886"/>
  <c r="E140" i="886"/>
  <c r="I140" i="886"/>
  <c r="E141" i="886"/>
  <c r="I141" i="886"/>
  <c r="E142" i="886"/>
  <c r="I142" i="886"/>
  <c r="E143" i="886"/>
  <c r="I143" i="886"/>
  <c r="E144" i="886"/>
  <c r="I144" i="886"/>
  <c r="E145" i="886"/>
  <c r="I145" i="886"/>
  <c r="E146" i="886"/>
  <c r="I146" i="886"/>
  <c r="E147" i="886"/>
  <c r="I147" i="886"/>
  <c r="E148" i="886"/>
  <c r="I148" i="886"/>
  <c r="E149" i="886"/>
  <c r="I149" i="886"/>
  <c r="I150" i="886"/>
  <c r="E150" i="886"/>
  <c r="I152" i="886"/>
  <c r="E152" i="886"/>
  <c r="I154" i="886"/>
  <c r="E154" i="886"/>
  <c r="I156" i="886"/>
  <c r="E156" i="886"/>
  <c r="H160" i="886"/>
  <c r="I160" i="886"/>
  <c r="E160" i="886"/>
  <c r="H164" i="886"/>
  <c r="I164" i="886"/>
  <c r="E164" i="886"/>
  <c r="H168" i="886"/>
  <c r="I168" i="886"/>
  <c r="E168" i="886"/>
  <c r="H157" i="886"/>
  <c r="I157" i="886"/>
  <c r="E157" i="886"/>
  <c r="H161" i="886"/>
  <c r="I161" i="886"/>
  <c r="E161" i="886"/>
  <c r="H165" i="886"/>
  <c r="I165" i="886"/>
  <c r="E165" i="886"/>
  <c r="H169" i="886"/>
  <c r="I169" i="886"/>
  <c r="E169" i="886"/>
  <c r="I151" i="886"/>
  <c r="E151" i="886"/>
  <c r="I153" i="886"/>
  <c r="E153" i="886"/>
  <c r="I155" i="886"/>
  <c r="E155" i="886"/>
  <c r="F157" i="886"/>
  <c r="H158" i="886"/>
  <c r="I158" i="886"/>
  <c r="E158" i="886"/>
  <c r="F161" i="886"/>
  <c r="H162" i="886"/>
  <c r="I162" i="886"/>
  <c r="E162" i="886"/>
  <c r="G164" i="886"/>
  <c r="F165" i="886"/>
  <c r="H166" i="886"/>
  <c r="I166" i="886"/>
  <c r="E166" i="886"/>
  <c r="G168" i="886"/>
  <c r="F169" i="886"/>
  <c r="H170" i="886"/>
  <c r="I170" i="886"/>
  <c r="E170" i="886"/>
  <c r="J150" i="886"/>
  <c r="G151" i="886"/>
  <c r="J152" i="886"/>
  <c r="G153" i="886"/>
  <c r="J154" i="886"/>
  <c r="G155" i="886"/>
  <c r="J156" i="886"/>
  <c r="G157" i="886"/>
  <c r="F158" i="886"/>
  <c r="H159" i="886"/>
  <c r="I159" i="886"/>
  <c r="E159" i="886"/>
  <c r="J160" i="886"/>
  <c r="G161" i="886"/>
  <c r="F162" i="886"/>
  <c r="H163" i="886"/>
  <c r="I163" i="886"/>
  <c r="E163" i="886"/>
  <c r="J164" i="886"/>
  <c r="G165" i="886"/>
  <c r="F166" i="886"/>
  <c r="H167" i="886"/>
  <c r="I167" i="886"/>
  <c r="E167" i="886"/>
  <c r="J168" i="886"/>
  <c r="G169" i="886"/>
  <c r="F170" i="886"/>
  <c r="E171" i="886"/>
  <c r="I171" i="886"/>
  <c r="E172" i="886"/>
  <c r="I172" i="886"/>
  <c r="E173" i="886"/>
  <c r="I173" i="886"/>
  <c r="E174" i="886"/>
  <c r="I174" i="886"/>
  <c r="E175" i="886"/>
  <c r="I175" i="886"/>
  <c r="E176" i="886"/>
  <c r="I176" i="886"/>
  <c r="E177" i="886"/>
  <c r="I177" i="886"/>
  <c r="E178" i="886"/>
  <c r="I178" i="886"/>
  <c r="E179" i="886"/>
  <c r="I179" i="886"/>
  <c r="E180" i="886"/>
  <c r="I180" i="886"/>
  <c r="E181" i="886"/>
  <c r="I181" i="886"/>
  <c r="E182" i="886"/>
  <c r="I182" i="886"/>
  <c r="E183" i="886"/>
  <c r="I183" i="886"/>
  <c r="E184" i="886"/>
  <c r="I184" i="886"/>
  <c r="E185" i="886"/>
  <c r="I185" i="886"/>
  <c r="E186" i="886"/>
  <c r="I186" i="886"/>
  <c r="E187" i="886"/>
  <c r="I187" i="886"/>
  <c r="E188" i="886"/>
  <c r="I188" i="886"/>
  <c r="E189" i="886"/>
  <c r="I189" i="886"/>
  <c r="E190" i="886"/>
  <c r="I190" i="886"/>
  <c r="E191" i="886"/>
  <c r="I191" i="886"/>
  <c r="I192" i="886"/>
  <c r="I125" i="885"/>
  <c r="I21" i="885"/>
  <c r="I37" i="885"/>
  <c r="I86" i="885"/>
  <c r="I91" i="885"/>
  <c r="I95" i="885"/>
  <c r="I107" i="885"/>
  <c r="I113" i="885"/>
  <c r="I127" i="885"/>
  <c r="I129" i="885"/>
  <c r="I132" i="885"/>
  <c r="I135" i="885"/>
  <c r="I137" i="885"/>
  <c r="I140" i="885"/>
  <c r="I143" i="885"/>
  <c r="I145" i="885"/>
  <c r="I148" i="885"/>
  <c r="I151" i="885"/>
  <c r="I153" i="885"/>
  <c r="I156" i="885"/>
  <c r="I159" i="885"/>
  <c r="I23" i="885"/>
  <c r="I31" i="885"/>
  <c r="I42" i="885"/>
  <c r="I116" i="885"/>
  <c r="I117" i="885"/>
  <c r="I121" i="885"/>
  <c r="I124" i="885"/>
  <c r="I15" i="885"/>
  <c r="I25" i="885"/>
  <c r="I33" i="885"/>
  <c r="I41" i="885"/>
  <c r="I103" i="885"/>
  <c r="I112" i="885"/>
  <c r="I128" i="885"/>
  <c r="I131" i="885"/>
  <c r="I133" i="885"/>
  <c r="I136" i="885"/>
  <c r="I139" i="885"/>
  <c r="I141" i="885"/>
  <c r="I144" i="885"/>
  <c r="I147" i="885"/>
  <c r="I149" i="885"/>
  <c r="I152" i="885"/>
  <c r="I155" i="885"/>
  <c r="I157" i="885"/>
  <c r="I160" i="885"/>
  <c r="I17" i="885"/>
  <c r="I19" i="885"/>
  <c r="I27" i="885"/>
  <c r="I35" i="885"/>
  <c r="I82" i="885"/>
  <c r="I87" i="885"/>
  <c r="I98" i="885"/>
  <c r="I120" i="885"/>
  <c r="I122" i="885"/>
  <c r="I45" i="885"/>
  <c r="G45" i="885"/>
  <c r="F52" i="885"/>
  <c r="F53" i="885"/>
  <c r="F55" i="885"/>
  <c r="F59" i="885"/>
  <c r="I62" i="885"/>
  <c r="F62" i="885"/>
  <c r="J62" i="885"/>
  <c r="F67" i="885"/>
  <c r="I70" i="885"/>
  <c r="F70" i="885"/>
  <c r="J70" i="885"/>
  <c r="F75" i="885"/>
  <c r="H78" i="885"/>
  <c r="G78" i="885"/>
  <c r="J78" i="885"/>
  <c r="E78" i="885"/>
  <c r="H79" i="885"/>
  <c r="J79" i="885"/>
  <c r="F79" i="885"/>
  <c r="F82" i="885"/>
  <c r="F86" i="885"/>
  <c r="H89" i="885"/>
  <c r="F89" i="885"/>
  <c r="F91" i="885"/>
  <c r="F92" i="885"/>
  <c r="F113" i="885"/>
  <c r="F136" i="885"/>
  <c r="F157" i="885"/>
  <c r="F153" i="885"/>
  <c r="F149" i="885"/>
  <c r="F145" i="885"/>
  <c r="F141" i="885"/>
  <c r="F137" i="885"/>
  <c r="F133" i="885"/>
  <c r="F129" i="885"/>
  <c r="F122" i="885"/>
  <c r="F158" i="885"/>
  <c r="F154" i="885"/>
  <c r="F150" i="885"/>
  <c r="F107" i="885"/>
  <c r="F160" i="885"/>
  <c r="F134" i="885"/>
  <c r="I29" i="885"/>
  <c r="I44" i="885"/>
  <c r="J44" i="885"/>
  <c r="I46" i="885"/>
  <c r="F46" i="885"/>
  <c r="G15" i="885"/>
  <c r="I16" i="885"/>
  <c r="G19" i="885"/>
  <c r="I20" i="885"/>
  <c r="G23" i="885"/>
  <c r="I24" i="885"/>
  <c r="G27" i="885"/>
  <c r="I28" i="885"/>
  <c r="G31" i="885"/>
  <c r="I32" i="885"/>
  <c r="G35" i="885"/>
  <c r="I39" i="885"/>
  <c r="G39" i="885"/>
  <c r="F42" i="885"/>
  <c r="F43" i="885"/>
  <c r="I48" i="885"/>
  <c r="J48" i="885"/>
  <c r="I49" i="885"/>
  <c r="G49" i="885"/>
  <c r="I50" i="885"/>
  <c r="F50" i="885"/>
  <c r="I60" i="885"/>
  <c r="J60" i="885"/>
  <c r="F60" i="885"/>
  <c r="I68" i="885"/>
  <c r="J68" i="885"/>
  <c r="F68" i="885"/>
  <c r="I76" i="885"/>
  <c r="J76" i="885"/>
  <c r="F76" i="885"/>
  <c r="J91" i="885"/>
  <c r="H92" i="885"/>
  <c r="J92" i="885"/>
  <c r="E92" i="885"/>
  <c r="F98" i="885"/>
  <c r="F101" i="885"/>
  <c r="H114" i="885"/>
  <c r="I114" i="885"/>
  <c r="G114" i="885"/>
  <c r="E114" i="885"/>
  <c r="J114" i="885"/>
  <c r="F114" i="885"/>
  <c r="F119" i="885"/>
  <c r="H130" i="885"/>
  <c r="G130" i="885"/>
  <c r="J130" i="885"/>
  <c r="E130" i="885"/>
  <c r="I130" i="885"/>
  <c r="F130" i="885"/>
  <c r="F131" i="885"/>
  <c r="F44" i="885"/>
  <c r="F45" i="885"/>
  <c r="G46" i="885"/>
  <c r="F47" i="885"/>
  <c r="I52" i="885"/>
  <c r="J52" i="885"/>
  <c r="I53" i="885"/>
  <c r="G53" i="885"/>
  <c r="I54" i="885"/>
  <c r="F54" i="885"/>
  <c r="I58" i="885"/>
  <c r="F58" i="885"/>
  <c r="J58" i="885"/>
  <c r="F63" i="885"/>
  <c r="I66" i="885"/>
  <c r="F66" i="885"/>
  <c r="J66" i="885"/>
  <c r="F71" i="885"/>
  <c r="I74" i="885"/>
  <c r="F74" i="885"/>
  <c r="J74" i="885"/>
  <c r="F78" i="885"/>
  <c r="E79" i="885"/>
  <c r="H81" i="885"/>
  <c r="F81" i="885"/>
  <c r="J82" i="885"/>
  <c r="F83" i="885"/>
  <c r="F84" i="885"/>
  <c r="H86" i="885"/>
  <c r="J86" i="885"/>
  <c r="E86" i="885"/>
  <c r="G86" i="885"/>
  <c r="H87" i="885"/>
  <c r="F87" i="885"/>
  <c r="J87" i="885"/>
  <c r="F90" i="885"/>
  <c r="F94" i="885"/>
  <c r="H100" i="885"/>
  <c r="E100" i="885"/>
  <c r="J100" i="885"/>
  <c r="F100" i="885"/>
  <c r="H102" i="885"/>
  <c r="J102" i="885"/>
  <c r="E102" i="885"/>
  <c r="F102" i="885"/>
  <c r="I102" i="885"/>
  <c r="G102" i="885"/>
  <c r="F104" i="885"/>
  <c r="F105" i="885"/>
  <c r="F111" i="885"/>
  <c r="F118" i="885"/>
  <c r="H146" i="885"/>
  <c r="G146" i="885"/>
  <c r="J146" i="885"/>
  <c r="E146" i="885"/>
  <c r="I146" i="885"/>
  <c r="F146" i="885"/>
  <c r="F147" i="885"/>
  <c r="F155" i="885"/>
  <c r="I14" i="885"/>
  <c r="G17" i="885"/>
  <c r="I18" i="885"/>
  <c r="G21" i="885"/>
  <c r="I22" i="885"/>
  <c r="G25" i="885"/>
  <c r="I26" i="885"/>
  <c r="G29" i="885"/>
  <c r="I30" i="885"/>
  <c r="G33" i="885"/>
  <c r="I34" i="885"/>
  <c r="G37" i="885"/>
  <c r="I38" i="885"/>
  <c r="G44" i="885"/>
  <c r="J45" i="885"/>
  <c r="J46" i="885"/>
  <c r="F51" i="885"/>
  <c r="I56" i="885"/>
  <c r="J56" i="885"/>
  <c r="I57" i="885"/>
  <c r="G62" i="885"/>
  <c r="I64" i="885"/>
  <c r="J64" i="885"/>
  <c r="F64" i="885"/>
  <c r="G70" i="885"/>
  <c r="I72" i="885"/>
  <c r="J72" i="885"/>
  <c r="F72" i="885"/>
  <c r="F77" i="885"/>
  <c r="I78" i="885"/>
  <c r="I79" i="885"/>
  <c r="H84" i="885"/>
  <c r="E84" i="885"/>
  <c r="J84" i="885"/>
  <c r="F88" i="885"/>
  <c r="F93" i="885"/>
  <c r="H94" i="885"/>
  <c r="G94" i="885"/>
  <c r="J94" i="885"/>
  <c r="E94" i="885"/>
  <c r="I94" i="885"/>
  <c r="F99" i="885"/>
  <c r="F106" i="885"/>
  <c r="F108" i="885"/>
  <c r="F110" i="885"/>
  <c r="H115" i="885"/>
  <c r="J115" i="885"/>
  <c r="E115" i="885"/>
  <c r="I115" i="885"/>
  <c r="G115" i="885"/>
  <c r="F115" i="885"/>
  <c r="F121" i="885"/>
  <c r="F142" i="885"/>
  <c r="H95" i="885"/>
  <c r="H97" i="885"/>
  <c r="H110" i="885"/>
  <c r="I110" i="885"/>
  <c r="G110" i="885"/>
  <c r="H111" i="885"/>
  <c r="J111" i="885"/>
  <c r="E111" i="885"/>
  <c r="I111" i="885"/>
  <c r="F117" i="885"/>
  <c r="H118" i="885"/>
  <c r="I118" i="885"/>
  <c r="G118" i="885"/>
  <c r="H119" i="885"/>
  <c r="J119" i="885"/>
  <c r="E119" i="885"/>
  <c r="I119" i="885"/>
  <c r="H123" i="885"/>
  <c r="G123" i="885"/>
  <c r="J123" i="885"/>
  <c r="E123" i="885"/>
  <c r="I123" i="885"/>
  <c r="F124" i="885"/>
  <c r="F128" i="885"/>
  <c r="H138" i="885"/>
  <c r="G138" i="885"/>
  <c r="J138" i="885"/>
  <c r="E138" i="885"/>
  <c r="I138" i="885"/>
  <c r="F139" i="885"/>
  <c r="F144" i="885"/>
  <c r="F151" i="885"/>
  <c r="F159" i="885"/>
  <c r="I61" i="885"/>
  <c r="I65" i="885"/>
  <c r="I69" i="885"/>
  <c r="I73" i="885"/>
  <c r="H80" i="885"/>
  <c r="H83" i="885"/>
  <c r="H85" i="885"/>
  <c r="H90" i="885"/>
  <c r="F95" i="885"/>
  <c r="H96" i="885"/>
  <c r="H99" i="885"/>
  <c r="H101" i="885"/>
  <c r="E110" i="885"/>
  <c r="F112" i="885"/>
  <c r="G117" i="885"/>
  <c r="E118" i="885"/>
  <c r="F120" i="885"/>
  <c r="F125" i="885"/>
  <c r="J131" i="885"/>
  <c r="H134" i="885"/>
  <c r="G134" i="885"/>
  <c r="J134" i="885"/>
  <c r="E134" i="885"/>
  <c r="I134" i="885"/>
  <c r="F135" i="885"/>
  <c r="F140" i="885"/>
  <c r="F152" i="885"/>
  <c r="I36" i="885"/>
  <c r="I40" i="885"/>
  <c r="I43" i="885"/>
  <c r="I47" i="885"/>
  <c r="I51" i="885"/>
  <c r="I55" i="885"/>
  <c r="G57" i="885"/>
  <c r="I59" i="885"/>
  <c r="G61" i="885"/>
  <c r="I63" i="885"/>
  <c r="G65" i="885"/>
  <c r="I67" i="885"/>
  <c r="G69" i="885"/>
  <c r="I71" i="885"/>
  <c r="G73" i="885"/>
  <c r="I75" i="885"/>
  <c r="H77" i="885"/>
  <c r="F80" i="885"/>
  <c r="H82" i="885"/>
  <c r="I83" i="885"/>
  <c r="H88" i="885"/>
  <c r="I90" i="885"/>
  <c r="H91" i="885"/>
  <c r="H93" i="885"/>
  <c r="J95" i="885"/>
  <c r="F96" i="885"/>
  <c r="F97" i="885"/>
  <c r="H98" i="885"/>
  <c r="I99" i="885"/>
  <c r="H103" i="885"/>
  <c r="F103" i="885"/>
  <c r="H105" i="885"/>
  <c r="H106" i="885"/>
  <c r="J106" i="885"/>
  <c r="E106" i="885"/>
  <c r="I106" i="885"/>
  <c r="J110" i="885"/>
  <c r="G111" i="885"/>
  <c r="G113" i="885"/>
  <c r="F116" i="885"/>
  <c r="J118" i="885"/>
  <c r="G119" i="885"/>
  <c r="G121" i="885"/>
  <c r="F123" i="885"/>
  <c r="J124" i="885"/>
  <c r="H126" i="885"/>
  <c r="F126" i="885"/>
  <c r="J126" i="885"/>
  <c r="G126" i="885"/>
  <c r="F127" i="885"/>
  <c r="F132" i="885"/>
  <c r="F138" i="885"/>
  <c r="J139" i="885"/>
  <c r="H142" i="885"/>
  <c r="G142" i="885"/>
  <c r="J142" i="885"/>
  <c r="E142" i="885"/>
  <c r="I142" i="885"/>
  <c r="F143" i="885"/>
  <c r="F148" i="885"/>
  <c r="F156" i="885"/>
  <c r="H104" i="885"/>
  <c r="H107" i="885"/>
  <c r="H109" i="885"/>
  <c r="E112" i="885"/>
  <c r="H113" i="885"/>
  <c r="E116" i="885"/>
  <c r="H117" i="885"/>
  <c r="E120" i="885"/>
  <c r="H121" i="885"/>
  <c r="G122" i="885"/>
  <c r="E124" i="885"/>
  <c r="H125" i="885"/>
  <c r="E127" i="885"/>
  <c r="H128" i="885"/>
  <c r="G129" i="885"/>
  <c r="E131" i="885"/>
  <c r="H132" i="885"/>
  <c r="G133" i="885"/>
  <c r="E135" i="885"/>
  <c r="H136" i="885"/>
  <c r="G137" i="885"/>
  <c r="E139" i="885"/>
  <c r="H140" i="885"/>
  <c r="G141" i="885"/>
  <c r="E143" i="885"/>
  <c r="H144" i="885"/>
  <c r="G145" i="885"/>
  <c r="E147" i="885"/>
  <c r="H148" i="885"/>
  <c r="G149" i="885"/>
  <c r="I150" i="885"/>
  <c r="E151" i="885"/>
  <c r="H152" i="885"/>
  <c r="G153" i="885"/>
  <c r="I154" i="885"/>
  <c r="E155" i="885"/>
  <c r="H156" i="885"/>
  <c r="G157" i="885"/>
  <c r="I158" i="885"/>
  <c r="E159" i="885"/>
  <c r="H160" i="885"/>
  <c r="H108" i="885"/>
  <c r="H112" i="885"/>
  <c r="H116" i="885"/>
  <c r="H120" i="885"/>
  <c r="H124" i="885"/>
  <c r="H127" i="885"/>
  <c r="H131" i="885"/>
  <c r="H135" i="885"/>
  <c r="H139" i="885"/>
  <c r="H143" i="885"/>
  <c r="H147" i="885"/>
  <c r="E150" i="885"/>
  <c r="J150" i="885"/>
  <c r="H151" i="885"/>
  <c r="E154" i="885"/>
  <c r="J154" i="885"/>
  <c r="H155" i="885"/>
  <c r="E158" i="885"/>
  <c r="J158" i="885"/>
  <c r="H159" i="885"/>
  <c r="H122" i="885"/>
  <c r="H129" i="885"/>
  <c r="H133" i="885"/>
  <c r="H137" i="885"/>
  <c r="H141" i="885"/>
  <c r="H145" i="885"/>
  <c r="H149" i="885"/>
  <c r="G150" i="885"/>
  <c r="H153" i="885"/>
  <c r="G154" i="885"/>
  <c r="H157" i="885"/>
  <c r="G158" i="885"/>
  <c r="F14" i="885"/>
  <c r="J14" i="885"/>
  <c r="F15" i="885"/>
  <c r="J15" i="885"/>
  <c r="K6" i="885"/>
  <c r="Q7" i="885"/>
  <c r="F16" i="885"/>
  <c r="J16" i="885"/>
  <c r="F17" i="885"/>
  <c r="J17" i="885"/>
  <c r="F18" i="885"/>
  <c r="J18" i="885"/>
  <c r="F19" i="885"/>
  <c r="J19" i="885"/>
  <c r="F20" i="885"/>
  <c r="J20" i="885"/>
  <c r="F21" i="885"/>
  <c r="J21" i="885"/>
  <c r="F22" i="885"/>
  <c r="J22" i="885"/>
  <c r="F23" i="885"/>
  <c r="J23" i="885"/>
  <c r="F24" i="885"/>
  <c r="J24" i="885"/>
  <c r="F25" i="885"/>
  <c r="J25" i="885"/>
  <c r="F26" i="885"/>
  <c r="J26" i="885"/>
  <c r="F27" i="885"/>
  <c r="J27" i="885"/>
  <c r="F28" i="885"/>
  <c r="J28" i="885"/>
  <c r="F29" i="885"/>
  <c r="J29" i="885"/>
  <c r="F30" i="885"/>
  <c r="J30" i="885"/>
  <c r="F31" i="885"/>
  <c r="J31" i="885"/>
  <c r="F32" i="885"/>
  <c r="J32" i="885"/>
  <c r="F33" i="885"/>
  <c r="J33" i="885"/>
  <c r="F34" i="885"/>
  <c r="J34" i="885"/>
  <c r="F35" i="885"/>
  <c r="J35" i="885"/>
  <c r="F36" i="885"/>
  <c r="J36" i="885"/>
  <c r="F37" i="885"/>
  <c r="J37" i="885"/>
  <c r="F38" i="885"/>
  <c r="J38" i="885"/>
  <c r="F39" i="885"/>
  <c r="J39" i="885"/>
  <c r="F40" i="885"/>
  <c r="J40" i="885"/>
  <c r="F41" i="885"/>
  <c r="J41" i="885"/>
  <c r="J42" i="885"/>
  <c r="G77" i="885"/>
  <c r="G81" i="885"/>
  <c r="G85" i="885"/>
  <c r="G89" i="885"/>
  <c r="G93" i="885"/>
  <c r="G97" i="885"/>
  <c r="G101" i="885"/>
  <c r="G105" i="885"/>
  <c r="G109" i="885"/>
  <c r="H14" i="885"/>
  <c r="H15" i="885"/>
  <c r="H16" i="885"/>
  <c r="H17" i="885"/>
  <c r="H18" i="885"/>
  <c r="H19" i="885"/>
  <c r="H20" i="885"/>
  <c r="H21" i="885"/>
  <c r="H22" i="885"/>
  <c r="H23" i="885"/>
  <c r="H24" i="885"/>
  <c r="H25" i="885"/>
  <c r="H26" i="885"/>
  <c r="H27" i="885"/>
  <c r="H28" i="885"/>
  <c r="H29" i="885"/>
  <c r="H30" i="885"/>
  <c r="H31" i="885"/>
  <c r="H32" i="885"/>
  <c r="H33" i="885"/>
  <c r="H34" i="885"/>
  <c r="H35" i="885"/>
  <c r="H36" i="885"/>
  <c r="H37" i="885"/>
  <c r="H38" i="885"/>
  <c r="H39" i="885"/>
  <c r="H40" i="885"/>
  <c r="H41" i="885"/>
  <c r="H42" i="885"/>
  <c r="H43" i="885"/>
  <c r="H44" i="885"/>
  <c r="H45" i="885"/>
  <c r="H46" i="885"/>
  <c r="H47" i="885"/>
  <c r="H48" i="885"/>
  <c r="H49" i="885"/>
  <c r="H50" i="885"/>
  <c r="H51" i="885"/>
  <c r="H52" i="885"/>
  <c r="H53" i="885"/>
  <c r="H54" i="885"/>
  <c r="H55" i="885"/>
  <c r="H56" i="885"/>
  <c r="H57" i="885"/>
  <c r="H58" i="885"/>
  <c r="H59" i="885"/>
  <c r="H60" i="885"/>
  <c r="H61" i="885"/>
  <c r="H62" i="885"/>
  <c r="H63" i="885"/>
  <c r="H64" i="885"/>
  <c r="H65" i="885"/>
  <c r="H66" i="885"/>
  <c r="H67" i="885"/>
  <c r="H68" i="885"/>
  <c r="H69" i="885"/>
  <c r="H70" i="885"/>
  <c r="H71" i="885"/>
  <c r="H72" i="885"/>
  <c r="H73" i="885"/>
  <c r="H74" i="885"/>
  <c r="H75" i="885"/>
  <c r="H76" i="885"/>
  <c r="I77" i="885"/>
  <c r="G80" i="885"/>
  <c r="I81" i="885"/>
  <c r="G84" i="885"/>
  <c r="I85" i="885"/>
  <c r="G88" i="885"/>
  <c r="I89" i="885"/>
  <c r="G92" i="885"/>
  <c r="I93" i="885"/>
  <c r="G96" i="885"/>
  <c r="I97" i="885"/>
  <c r="G100" i="885"/>
  <c r="I101" i="885"/>
  <c r="G104" i="885"/>
  <c r="I105" i="885"/>
  <c r="G108" i="885"/>
  <c r="I109" i="885"/>
  <c r="E14" i="885"/>
  <c r="E15" i="885"/>
  <c r="E16" i="885"/>
  <c r="E17" i="885"/>
  <c r="E18" i="885"/>
  <c r="E19" i="885"/>
  <c r="E20" i="885"/>
  <c r="E21" i="885"/>
  <c r="E22" i="885"/>
  <c r="E23" i="885"/>
  <c r="E24" i="885"/>
  <c r="E25" i="885"/>
  <c r="E26" i="885"/>
  <c r="E27" i="885"/>
  <c r="E28" i="885"/>
  <c r="E29" i="885"/>
  <c r="E30" i="885"/>
  <c r="E31" i="885"/>
  <c r="E32" i="885"/>
  <c r="E33" i="885"/>
  <c r="E34" i="885"/>
  <c r="E35" i="885"/>
  <c r="E36" i="885"/>
  <c r="E37" i="885"/>
  <c r="E38" i="885"/>
  <c r="E39" i="885"/>
  <c r="E40" i="885"/>
  <c r="E41" i="885"/>
  <c r="E42" i="885"/>
  <c r="E43" i="885"/>
  <c r="E44" i="885"/>
  <c r="E45" i="885"/>
  <c r="E46" i="885"/>
  <c r="E47" i="885"/>
  <c r="E48" i="885"/>
  <c r="E49" i="885"/>
  <c r="E50" i="885"/>
  <c r="E51" i="885"/>
  <c r="E52" i="885"/>
  <c r="E53" i="885"/>
  <c r="E54" i="885"/>
  <c r="E55" i="885"/>
  <c r="E56" i="885"/>
  <c r="E57" i="885"/>
  <c r="E58" i="885"/>
  <c r="E59" i="885"/>
  <c r="E60" i="885"/>
  <c r="E61" i="885"/>
  <c r="E62" i="885"/>
  <c r="E63" i="885"/>
  <c r="E64" i="885"/>
  <c r="E65" i="885"/>
  <c r="E66" i="885"/>
  <c r="E67" i="885"/>
  <c r="E68" i="885"/>
  <c r="E69" i="885"/>
  <c r="E70" i="885"/>
  <c r="E71" i="885"/>
  <c r="E72" i="885"/>
  <c r="E73" i="885"/>
  <c r="E74" i="885"/>
  <c r="E75" i="885"/>
  <c r="E76" i="885"/>
  <c r="E77" i="885"/>
  <c r="J77" i="885"/>
  <c r="G79" i="885"/>
  <c r="I80" i="885"/>
  <c r="E81" i="885"/>
  <c r="J81" i="885"/>
  <c r="G83" i="885"/>
  <c r="I84" i="885"/>
  <c r="E85" i="885"/>
  <c r="J85" i="885"/>
  <c r="G87" i="885"/>
  <c r="I88" i="885"/>
  <c r="E89" i="885"/>
  <c r="J89" i="885"/>
  <c r="G91" i="885"/>
  <c r="I92" i="885"/>
  <c r="E93" i="885"/>
  <c r="J93" i="885"/>
  <c r="G95" i="885"/>
  <c r="I96" i="885"/>
  <c r="E97" i="885"/>
  <c r="J97" i="885"/>
  <c r="G99" i="885"/>
  <c r="I100" i="885"/>
  <c r="E101" i="885"/>
  <c r="J101" i="885"/>
  <c r="G103" i="885"/>
  <c r="I104" i="885"/>
  <c r="E105" i="885"/>
  <c r="J105" i="885"/>
  <c r="G107" i="885"/>
  <c r="I108" i="885"/>
  <c r="E109" i="885"/>
  <c r="J109" i="885"/>
  <c r="I126" i="885"/>
  <c r="H177" i="885"/>
  <c r="J177" i="885"/>
  <c r="F177" i="885"/>
  <c r="I177" i="885"/>
  <c r="E177" i="885"/>
  <c r="H176" i="885"/>
  <c r="J176" i="885"/>
  <c r="F176" i="885"/>
  <c r="I176" i="885"/>
  <c r="E176" i="885"/>
  <c r="J161" i="885"/>
  <c r="F161" i="885"/>
  <c r="I161" i="885"/>
  <c r="E161" i="885"/>
  <c r="J162" i="885"/>
  <c r="F162" i="885"/>
  <c r="I162" i="885"/>
  <c r="E162" i="885"/>
  <c r="J163" i="885"/>
  <c r="F163" i="885"/>
  <c r="I163" i="885"/>
  <c r="E163" i="885"/>
  <c r="J164" i="885"/>
  <c r="F164" i="885"/>
  <c r="I164" i="885"/>
  <c r="E164" i="885"/>
  <c r="J165" i="885"/>
  <c r="F165" i="885"/>
  <c r="I165" i="885"/>
  <c r="E165" i="885"/>
  <c r="J166" i="885"/>
  <c r="F166" i="885"/>
  <c r="I166" i="885"/>
  <c r="E166" i="885"/>
  <c r="J167" i="885"/>
  <c r="F167" i="885"/>
  <c r="I167" i="885"/>
  <c r="E167" i="885"/>
  <c r="J168" i="885"/>
  <c r="F168" i="885"/>
  <c r="I168" i="885"/>
  <c r="E168" i="885"/>
  <c r="J169" i="885"/>
  <c r="F169" i="885"/>
  <c r="I169" i="885"/>
  <c r="E169" i="885"/>
  <c r="J170" i="885"/>
  <c r="F170" i="885"/>
  <c r="I170" i="885"/>
  <c r="E170" i="885"/>
  <c r="J171" i="885"/>
  <c r="F171" i="885"/>
  <c r="I171" i="885"/>
  <c r="E171" i="885"/>
  <c r="J172" i="885"/>
  <c r="F172" i="885"/>
  <c r="I172" i="885"/>
  <c r="E172" i="885"/>
  <c r="J173" i="885"/>
  <c r="F173" i="885"/>
  <c r="I173" i="885"/>
  <c r="E173" i="885"/>
  <c r="J174" i="885"/>
  <c r="F174" i="885"/>
  <c r="I174" i="885"/>
  <c r="E174" i="885"/>
  <c r="J175" i="885"/>
  <c r="F175" i="885"/>
  <c r="I175" i="885"/>
  <c r="E175" i="885"/>
  <c r="H179" i="885"/>
  <c r="J179" i="885"/>
  <c r="F179" i="885"/>
  <c r="I179" i="885"/>
  <c r="E179" i="885"/>
  <c r="G177" i="885"/>
  <c r="H178" i="885"/>
  <c r="J178" i="885"/>
  <c r="F178" i="885"/>
  <c r="I178" i="885"/>
  <c r="E178" i="885"/>
  <c r="E180" i="885"/>
  <c r="I180" i="885"/>
  <c r="E181" i="885"/>
  <c r="I181" i="885"/>
  <c r="E182" i="885"/>
  <c r="I182" i="885"/>
  <c r="E183" i="885"/>
  <c r="I183" i="885"/>
  <c r="E184" i="885"/>
  <c r="I184" i="885"/>
  <c r="E185" i="885"/>
  <c r="I185" i="885"/>
  <c r="E186" i="885"/>
  <c r="I186" i="885"/>
  <c r="E187" i="885"/>
  <c r="I187" i="885"/>
  <c r="E188" i="885"/>
  <c r="I188" i="885"/>
  <c r="E189" i="885"/>
  <c r="I189" i="885"/>
  <c r="E190" i="885"/>
  <c r="I190" i="885"/>
  <c r="E191" i="885"/>
  <c r="I191" i="885"/>
  <c r="E192" i="885"/>
  <c r="I192" i="885"/>
  <c r="E193" i="885"/>
  <c r="I193" i="885"/>
  <c r="E194" i="885"/>
  <c r="I194" i="885"/>
  <c r="E195" i="885"/>
  <c r="I195" i="885"/>
  <c r="E196" i="885"/>
  <c r="I196" i="885"/>
  <c r="E197" i="885"/>
  <c r="I197" i="885"/>
  <c r="E198" i="885"/>
  <c r="I198" i="885"/>
  <c r="E199" i="885"/>
  <c r="I199" i="885"/>
  <c r="E200" i="885"/>
  <c r="I200" i="885"/>
  <c r="E201" i="885"/>
  <c r="I201" i="885"/>
  <c r="E202" i="885"/>
  <c r="I202" i="885"/>
  <c r="I203" i="885"/>
  <c r="F180" i="885"/>
  <c r="J180" i="885"/>
  <c r="F181" i="885"/>
  <c r="J181" i="885"/>
  <c r="F182" i="885"/>
  <c r="J182" i="885"/>
  <c r="F183" i="885"/>
  <c r="J183" i="885"/>
  <c r="F184" i="885"/>
  <c r="J184" i="885"/>
  <c r="F185" i="885"/>
  <c r="J185" i="885"/>
  <c r="F186" i="885"/>
  <c r="J186" i="885"/>
  <c r="F187" i="885"/>
  <c r="J187" i="885"/>
  <c r="F188" i="885"/>
  <c r="J188" i="885"/>
  <c r="F189" i="885"/>
  <c r="J189" i="885"/>
  <c r="F190" i="885"/>
  <c r="F191" i="885"/>
  <c r="F192" i="885"/>
  <c r="F193" i="885"/>
  <c r="F194" i="885"/>
  <c r="F195" i="885"/>
  <c r="F196" i="885"/>
  <c r="F197" i="885"/>
  <c r="F198" i="885"/>
  <c r="F199" i="885"/>
  <c r="F200" i="885"/>
  <c r="F201" i="885"/>
  <c r="F202" i="885"/>
  <c r="I20" i="884"/>
  <c r="I28" i="884"/>
  <c r="I36" i="884"/>
  <c r="I44" i="884"/>
  <c r="I47" i="884"/>
  <c r="I55" i="884"/>
  <c r="I18" i="884"/>
  <c r="I26" i="884"/>
  <c r="I34" i="884"/>
  <c r="I42" i="884"/>
  <c r="I50" i="884"/>
  <c r="I58" i="884"/>
  <c r="I56" i="884"/>
  <c r="I16" i="884"/>
  <c r="I24" i="884"/>
  <c r="I32" i="884"/>
  <c r="I40" i="884"/>
  <c r="I51" i="884"/>
  <c r="I59" i="884"/>
  <c r="I14" i="884"/>
  <c r="I22" i="884"/>
  <c r="I30" i="884"/>
  <c r="I38" i="884"/>
  <c r="I46" i="884"/>
  <c r="I49" i="884"/>
  <c r="I53" i="884"/>
  <c r="I57" i="884"/>
  <c r="I60" i="884"/>
  <c r="I15" i="884"/>
  <c r="K5" i="884"/>
  <c r="P7" i="884"/>
  <c r="I17" i="884"/>
  <c r="I19" i="884"/>
  <c r="I21" i="884"/>
  <c r="I23" i="884"/>
  <c r="I25" i="884"/>
  <c r="I27" i="884"/>
  <c r="I29" i="884"/>
  <c r="I31" i="884"/>
  <c r="I33" i="884"/>
  <c r="I35" i="884"/>
  <c r="I37" i="884"/>
  <c r="I39" i="884"/>
  <c r="I41" i="884"/>
  <c r="I43" i="884"/>
  <c r="I45" i="884"/>
  <c r="I48" i="884"/>
  <c r="I52" i="884"/>
  <c r="G14" i="884"/>
  <c r="G15" i="884"/>
  <c r="G16" i="884"/>
  <c r="G17" i="884"/>
  <c r="G18" i="884"/>
  <c r="G19" i="884"/>
  <c r="G20" i="884"/>
  <c r="G21" i="884"/>
  <c r="G22" i="884"/>
  <c r="G23" i="884"/>
  <c r="G24" i="884"/>
  <c r="G25" i="884"/>
  <c r="G26" i="884"/>
  <c r="G27" i="884"/>
  <c r="G28" i="884"/>
  <c r="G29" i="884"/>
  <c r="G30" i="884"/>
  <c r="G31" i="884"/>
  <c r="G32" i="884"/>
  <c r="G33" i="884"/>
  <c r="G34" i="884"/>
  <c r="G35" i="884"/>
  <c r="G36" i="884"/>
  <c r="G37" i="884"/>
  <c r="G38" i="884"/>
  <c r="G39" i="884"/>
  <c r="G40" i="884"/>
  <c r="G41" i="884"/>
  <c r="G42" i="884"/>
  <c r="G43" i="884"/>
  <c r="G44" i="884"/>
  <c r="G45" i="884"/>
  <c r="G46" i="884"/>
  <c r="G47" i="884"/>
  <c r="G48" i="884"/>
  <c r="G49" i="884"/>
  <c r="G50" i="884"/>
  <c r="G51" i="884"/>
  <c r="G52" i="884"/>
  <c r="G53" i="884"/>
  <c r="G54" i="884"/>
  <c r="G55" i="884"/>
  <c r="G56" i="884"/>
  <c r="G57" i="884"/>
  <c r="G58" i="884"/>
  <c r="G59" i="884"/>
  <c r="G60" i="884"/>
  <c r="F47" i="884"/>
  <c r="F48" i="884"/>
  <c r="F49" i="884"/>
  <c r="F50" i="884"/>
  <c r="F51" i="884"/>
  <c r="F52" i="884"/>
  <c r="F53" i="884"/>
  <c r="F54" i="884"/>
  <c r="F55" i="884"/>
  <c r="F56" i="884"/>
  <c r="F57" i="884"/>
  <c r="F58" i="884"/>
  <c r="F59" i="884"/>
  <c r="I119" i="884"/>
  <c r="E120" i="884"/>
  <c r="J120" i="884"/>
  <c r="I123" i="884"/>
  <c r="E124" i="884"/>
  <c r="J124" i="884"/>
  <c r="I127" i="884"/>
  <c r="E128" i="884"/>
  <c r="J128" i="884"/>
  <c r="I131" i="884"/>
  <c r="E132" i="884"/>
  <c r="J132" i="884"/>
  <c r="I135" i="884"/>
  <c r="E136" i="884"/>
  <c r="J136" i="884"/>
  <c r="I139" i="884"/>
  <c r="E140" i="884"/>
  <c r="J140" i="884"/>
  <c r="I143" i="884"/>
  <c r="E144" i="884"/>
  <c r="J144" i="884"/>
  <c r="E119" i="884"/>
  <c r="J119" i="884"/>
  <c r="E123" i="884"/>
  <c r="J123" i="884"/>
  <c r="E127" i="884"/>
  <c r="J127" i="884"/>
  <c r="E131" i="884"/>
  <c r="J131" i="884"/>
  <c r="E135" i="884"/>
  <c r="J135" i="884"/>
  <c r="E139" i="884"/>
  <c r="J139" i="884"/>
  <c r="E143" i="884"/>
  <c r="J143" i="884"/>
  <c r="G119" i="884"/>
  <c r="I120" i="884"/>
  <c r="E121" i="884"/>
  <c r="J121" i="884"/>
  <c r="G123" i="884"/>
  <c r="I124" i="884"/>
  <c r="E125" i="884"/>
  <c r="J125" i="884"/>
  <c r="G127" i="884"/>
  <c r="I128" i="884"/>
  <c r="E129" i="884"/>
  <c r="J129" i="884"/>
  <c r="G131" i="884"/>
  <c r="I132" i="884"/>
  <c r="E133" i="884"/>
  <c r="J133" i="884"/>
  <c r="G135" i="884"/>
  <c r="I136" i="884"/>
  <c r="E137" i="884"/>
  <c r="J137" i="884"/>
  <c r="G139" i="884"/>
  <c r="I140" i="884"/>
  <c r="E141" i="884"/>
  <c r="J141" i="884"/>
  <c r="G143" i="884"/>
  <c r="I144" i="884"/>
  <c r="I16" i="883"/>
  <c r="I20" i="883"/>
  <c r="I24" i="883"/>
  <c r="I28" i="883"/>
  <c r="I32" i="883"/>
  <c r="I36" i="883"/>
  <c r="I47" i="883"/>
  <c r="I49" i="883"/>
  <c r="I14" i="883"/>
  <c r="I18" i="883"/>
  <c r="I57" i="883"/>
  <c r="I58" i="883"/>
  <c r="I59" i="883"/>
  <c r="I17" i="883"/>
  <c r="I21" i="883"/>
  <c r="I25" i="883"/>
  <c r="I29" i="883"/>
  <c r="I33" i="883"/>
  <c r="I41" i="883"/>
  <c r="I91" i="883"/>
  <c r="I22" i="883"/>
  <c r="I26" i="883"/>
  <c r="I30" i="883"/>
  <c r="I34" i="883"/>
  <c r="I42" i="883"/>
  <c r="I46" i="883"/>
  <c r="I50" i="883"/>
  <c r="I62" i="883"/>
  <c r="I63" i="883"/>
  <c r="I67" i="883"/>
  <c r="I70" i="883"/>
  <c r="I71" i="883"/>
  <c r="I78" i="883"/>
  <c r="I79" i="883"/>
  <c r="I86" i="883"/>
  <c r="I87" i="883"/>
  <c r="I39" i="883"/>
  <c r="I51" i="883"/>
  <c r="I53" i="883"/>
  <c r="I55" i="883"/>
  <c r="I74" i="883"/>
  <c r="I75" i="883"/>
  <c r="I82" i="883"/>
  <c r="I83" i="883"/>
  <c r="I90" i="883"/>
  <c r="E15" i="883"/>
  <c r="J15" i="883"/>
  <c r="H16" i="883"/>
  <c r="E19" i="883"/>
  <c r="J19" i="883"/>
  <c r="H20" i="883"/>
  <c r="E23" i="883"/>
  <c r="J23" i="883"/>
  <c r="H24" i="883"/>
  <c r="E27" i="883"/>
  <c r="J27" i="883"/>
  <c r="H28" i="883"/>
  <c r="E31" i="883"/>
  <c r="J31" i="883"/>
  <c r="H32" i="883"/>
  <c r="E35" i="883"/>
  <c r="J35" i="883"/>
  <c r="H36" i="883"/>
  <c r="H40" i="883"/>
  <c r="I40" i="883"/>
  <c r="F42" i="883"/>
  <c r="F44" i="883"/>
  <c r="H45" i="883"/>
  <c r="J45" i="883"/>
  <c r="E45" i="883"/>
  <c r="H47" i="883"/>
  <c r="G47" i="883"/>
  <c r="F49" i="883"/>
  <c r="F51" i="883"/>
  <c r="H56" i="883"/>
  <c r="I56" i="883"/>
  <c r="H60" i="883"/>
  <c r="G60" i="883"/>
  <c r="I60" i="883"/>
  <c r="H61" i="883"/>
  <c r="I61" i="883"/>
  <c r="J61" i="883"/>
  <c r="E61" i="883"/>
  <c r="F68" i="883"/>
  <c r="F69" i="883"/>
  <c r="F70" i="883"/>
  <c r="F80" i="883"/>
  <c r="H41" i="883"/>
  <c r="J41" i="883"/>
  <c r="E41" i="883"/>
  <c r="H43" i="883"/>
  <c r="G43" i="883"/>
  <c r="F45" i="883"/>
  <c r="F47" i="883"/>
  <c r="H52" i="883"/>
  <c r="I52" i="883"/>
  <c r="F54" i="883"/>
  <c r="F56" i="883"/>
  <c r="H57" i="883"/>
  <c r="J57" i="883"/>
  <c r="E57" i="883"/>
  <c r="F64" i="883"/>
  <c r="F65" i="883"/>
  <c r="F66" i="883"/>
  <c r="F76" i="883"/>
  <c r="F81" i="883"/>
  <c r="F82" i="883"/>
  <c r="F89" i="883"/>
  <c r="F90" i="883"/>
  <c r="H14" i="883"/>
  <c r="G15" i="883"/>
  <c r="H18" i="883"/>
  <c r="G19" i="883"/>
  <c r="H22" i="883"/>
  <c r="G23" i="883"/>
  <c r="H26" i="883"/>
  <c r="G27" i="883"/>
  <c r="H30" i="883"/>
  <c r="G31" i="883"/>
  <c r="H34" i="883"/>
  <c r="G35" i="883"/>
  <c r="H37" i="883"/>
  <c r="J37" i="883"/>
  <c r="I38" i="883"/>
  <c r="H39" i="883"/>
  <c r="G39" i="883"/>
  <c r="F41" i="883"/>
  <c r="F43" i="883"/>
  <c r="H48" i="883"/>
  <c r="I48" i="883"/>
  <c r="F50" i="883"/>
  <c r="F52" i="883"/>
  <c r="H53" i="883"/>
  <c r="J53" i="883"/>
  <c r="E53" i="883"/>
  <c r="I54" i="883"/>
  <c r="H55" i="883"/>
  <c r="G55" i="883"/>
  <c r="G56" i="883"/>
  <c r="F57" i="883"/>
  <c r="F60" i="883"/>
  <c r="F61" i="883"/>
  <c r="F62" i="883"/>
  <c r="G63" i="883"/>
  <c r="H68" i="883"/>
  <c r="G68" i="883"/>
  <c r="I68" i="883"/>
  <c r="H69" i="883"/>
  <c r="I69" i="883"/>
  <c r="J69" i="883"/>
  <c r="E69" i="883"/>
  <c r="H76" i="883"/>
  <c r="G76" i="883"/>
  <c r="J76" i="883"/>
  <c r="E76" i="883"/>
  <c r="I76" i="883"/>
  <c r="F77" i="883"/>
  <c r="F78" i="883"/>
  <c r="G79" i="883"/>
  <c r="G14" i="883"/>
  <c r="F91" i="883"/>
  <c r="F87" i="883"/>
  <c r="F83" i="883"/>
  <c r="F79" i="883"/>
  <c r="F75" i="883"/>
  <c r="F71" i="883"/>
  <c r="F67" i="883"/>
  <c r="F63" i="883"/>
  <c r="F59" i="883"/>
  <c r="F92" i="883"/>
  <c r="F88" i="883"/>
  <c r="F84" i="883"/>
  <c r="F93" i="883"/>
  <c r="I15" i="883"/>
  <c r="K5" i="883"/>
  <c r="E16" i="883"/>
  <c r="J16" i="883"/>
  <c r="K6" i="883"/>
  <c r="Q7" i="883"/>
  <c r="H17" i="883"/>
  <c r="G18" i="883"/>
  <c r="I19" i="883"/>
  <c r="E20" i="883"/>
  <c r="J20" i="883"/>
  <c r="H21" i="883"/>
  <c r="G22" i="883"/>
  <c r="I23" i="883"/>
  <c r="E24" i="883"/>
  <c r="J24" i="883"/>
  <c r="H25" i="883"/>
  <c r="G26" i="883"/>
  <c r="I27" i="883"/>
  <c r="E28" i="883"/>
  <c r="J28" i="883"/>
  <c r="H29" i="883"/>
  <c r="G30" i="883"/>
  <c r="I31" i="883"/>
  <c r="E32" i="883"/>
  <c r="J32" i="883"/>
  <c r="H33" i="883"/>
  <c r="G34" i="883"/>
  <c r="I35" i="883"/>
  <c r="E36" i="883"/>
  <c r="J36" i="883"/>
  <c r="F37" i="883"/>
  <c r="F39" i="883"/>
  <c r="J40" i="883"/>
  <c r="G41" i="883"/>
  <c r="I43" i="883"/>
  <c r="H44" i="883"/>
  <c r="I44" i="883"/>
  <c r="I45" i="883"/>
  <c r="F46" i="883"/>
  <c r="J47" i="883"/>
  <c r="F48" i="883"/>
  <c r="H49" i="883"/>
  <c r="J49" i="883"/>
  <c r="E49" i="883"/>
  <c r="H51" i="883"/>
  <c r="G51" i="883"/>
  <c r="G52" i="883"/>
  <c r="F53" i="883"/>
  <c r="F55" i="883"/>
  <c r="J56" i="883"/>
  <c r="G57" i="883"/>
  <c r="F58" i="883"/>
  <c r="G59" i="883"/>
  <c r="J60" i="883"/>
  <c r="G61" i="883"/>
  <c r="H64" i="883"/>
  <c r="G64" i="883"/>
  <c r="I64" i="883"/>
  <c r="H65" i="883"/>
  <c r="I65" i="883"/>
  <c r="J65" i="883"/>
  <c r="E65" i="883"/>
  <c r="I66" i="883"/>
  <c r="E68" i="883"/>
  <c r="H72" i="883"/>
  <c r="G72" i="883"/>
  <c r="J72" i="883"/>
  <c r="E72" i="883"/>
  <c r="I72" i="883"/>
  <c r="F73" i="883"/>
  <c r="F74" i="883"/>
  <c r="G75" i="883"/>
  <c r="F85" i="883"/>
  <c r="F86" i="883"/>
  <c r="H38" i="883"/>
  <c r="H42" i="883"/>
  <c r="H46" i="883"/>
  <c r="H50" i="883"/>
  <c r="H54" i="883"/>
  <c r="H58" i="883"/>
  <c r="H62" i="883"/>
  <c r="H66" i="883"/>
  <c r="H70" i="883"/>
  <c r="E73" i="883"/>
  <c r="J73" i="883"/>
  <c r="H74" i="883"/>
  <c r="E77" i="883"/>
  <c r="J77" i="883"/>
  <c r="H78" i="883"/>
  <c r="I80" i="883"/>
  <c r="E81" i="883"/>
  <c r="J81" i="883"/>
  <c r="H82" i="883"/>
  <c r="I84" i="883"/>
  <c r="E85" i="883"/>
  <c r="J85" i="883"/>
  <c r="H86" i="883"/>
  <c r="I88" i="883"/>
  <c r="E89" i="883"/>
  <c r="J89" i="883"/>
  <c r="H90" i="883"/>
  <c r="I92" i="883"/>
  <c r="E93" i="883"/>
  <c r="J93" i="883"/>
  <c r="E80" i="883"/>
  <c r="J80" i="883"/>
  <c r="E84" i="883"/>
  <c r="J84" i="883"/>
  <c r="E88" i="883"/>
  <c r="J88" i="883"/>
  <c r="E92" i="883"/>
  <c r="J92" i="883"/>
  <c r="G93" i="883"/>
  <c r="H59" i="883"/>
  <c r="H63" i="883"/>
  <c r="H67" i="883"/>
  <c r="H71" i="883"/>
  <c r="I73" i="883"/>
  <c r="H75" i="883"/>
  <c r="I77" i="883"/>
  <c r="H79" i="883"/>
  <c r="G80" i="883"/>
  <c r="I81" i="883"/>
  <c r="H83" i="883"/>
  <c r="G84" i="883"/>
  <c r="I85" i="883"/>
  <c r="H87" i="883"/>
  <c r="G88" i="883"/>
  <c r="I89" i="883"/>
  <c r="H91" i="883"/>
  <c r="G92" i="883"/>
  <c r="I93" i="883"/>
  <c r="H161" i="883"/>
  <c r="I162" i="883"/>
  <c r="E162" i="883"/>
  <c r="H163" i="883"/>
  <c r="I164" i="883"/>
  <c r="E164" i="883"/>
  <c r="H165" i="883"/>
  <c r="I166" i="883"/>
  <c r="E166" i="883"/>
  <c r="H167" i="883"/>
  <c r="I168" i="883"/>
  <c r="E168" i="883"/>
  <c r="H169" i="883"/>
  <c r="I170" i="883"/>
  <c r="E170" i="883"/>
  <c r="H181" i="883"/>
  <c r="J181" i="883"/>
  <c r="F181" i="883"/>
  <c r="I181" i="883"/>
  <c r="E181" i="883"/>
  <c r="H185" i="883"/>
  <c r="J185" i="883"/>
  <c r="F185" i="883"/>
  <c r="I185" i="883"/>
  <c r="E185" i="883"/>
  <c r="H189" i="883"/>
  <c r="J189" i="883"/>
  <c r="F189" i="883"/>
  <c r="I189" i="883"/>
  <c r="E189" i="883"/>
  <c r="H193" i="883"/>
  <c r="J193" i="883"/>
  <c r="F193" i="883"/>
  <c r="I193" i="883"/>
  <c r="E193" i="883"/>
  <c r="E161" i="883"/>
  <c r="J161" i="883"/>
  <c r="J171" i="883"/>
  <c r="I171" i="883"/>
  <c r="E171" i="883"/>
  <c r="J172" i="883"/>
  <c r="F172" i="883"/>
  <c r="I172" i="883"/>
  <c r="E172" i="883"/>
  <c r="J173" i="883"/>
  <c r="F173" i="883"/>
  <c r="I173" i="883"/>
  <c r="E173" i="883"/>
  <c r="J174" i="883"/>
  <c r="F174" i="883"/>
  <c r="I174" i="883"/>
  <c r="E174" i="883"/>
  <c r="J175" i="883"/>
  <c r="F175" i="883"/>
  <c r="I175" i="883"/>
  <c r="E175" i="883"/>
  <c r="J176" i="883"/>
  <c r="F176" i="883"/>
  <c r="I176" i="883"/>
  <c r="E176" i="883"/>
  <c r="J177" i="883"/>
  <c r="F177" i="883"/>
  <c r="I177" i="883"/>
  <c r="E177" i="883"/>
  <c r="J178" i="883"/>
  <c r="F178" i="883"/>
  <c r="I178" i="883"/>
  <c r="E178" i="883"/>
  <c r="J179" i="883"/>
  <c r="F179" i="883"/>
  <c r="I179" i="883"/>
  <c r="E179" i="883"/>
  <c r="J180" i="883"/>
  <c r="F180" i="883"/>
  <c r="I180" i="883"/>
  <c r="E180" i="883"/>
  <c r="H184" i="883"/>
  <c r="J184" i="883"/>
  <c r="F184" i="883"/>
  <c r="I184" i="883"/>
  <c r="E184" i="883"/>
  <c r="H188" i="883"/>
  <c r="J188" i="883"/>
  <c r="F188" i="883"/>
  <c r="I188" i="883"/>
  <c r="E188" i="883"/>
  <c r="H192" i="883"/>
  <c r="J192" i="883"/>
  <c r="F192" i="883"/>
  <c r="I192" i="883"/>
  <c r="E192" i="883"/>
  <c r="H196" i="883"/>
  <c r="J196" i="883"/>
  <c r="F196" i="883"/>
  <c r="I196" i="883"/>
  <c r="E196" i="883"/>
  <c r="I163" i="883"/>
  <c r="E163" i="883"/>
  <c r="I165" i="883"/>
  <c r="E165" i="883"/>
  <c r="I167" i="883"/>
  <c r="E167" i="883"/>
  <c r="I169" i="883"/>
  <c r="E169" i="883"/>
  <c r="H183" i="883"/>
  <c r="J183" i="883"/>
  <c r="F183" i="883"/>
  <c r="I183" i="883"/>
  <c r="E183" i="883"/>
  <c r="H187" i="883"/>
  <c r="J187" i="883"/>
  <c r="F187" i="883"/>
  <c r="I187" i="883"/>
  <c r="E187" i="883"/>
  <c r="H191" i="883"/>
  <c r="J191" i="883"/>
  <c r="F191" i="883"/>
  <c r="I191" i="883"/>
  <c r="E191" i="883"/>
  <c r="H195" i="883"/>
  <c r="J195" i="883"/>
  <c r="F195" i="883"/>
  <c r="I195" i="883"/>
  <c r="E195" i="883"/>
  <c r="G161" i="883"/>
  <c r="J162" i="883"/>
  <c r="G163" i="883"/>
  <c r="J164" i="883"/>
  <c r="G165" i="883"/>
  <c r="J166" i="883"/>
  <c r="G167" i="883"/>
  <c r="J168" i="883"/>
  <c r="G169" i="883"/>
  <c r="J170" i="883"/>
  <c r="G171" i="883"/>
  <c r="G172" i="883"/>
  <c r="G173" i="883"/>
  <c r="G174" i="883"/>
  <c r="G175" i="883"/>
  <c r="G176" i="883"/>
  <c r="G177" i="883"/>
  <c r="G178" i="883"/>
  <c r="G179" i="883"/>
  <c r="G180" i="883"/>
  <c r="G181" i="883"/>
  <c r="H182" i="883"/>
  <c r="J182" i="883"/>
  <c r="F182" i="883"/>
  <c r="I182" i="883"/>
  <c r="E182" i="883"/>
  <c r="G185" i="883"/>
  <c r="H186" i="883"/>
  <c r="J186" i="883"/>
  <c r="F186" i="883"/>
  <c r="I186" i="883"/>
  <c r="E186" i="883"/>
  <c r="G189" i="883"/>
  <c r="H190" i="883"/>
  <c r="J190" i="883"/>
  <c r="F190" i="883"/>
  <c r="I190" i="883"/>
  <c r="E190" i="883"/>
  <c r="G193" i="883"/>
  <c r="H194" i="883"/>
  <c r="J194" i="883"/>
  <c r="F194" i="883"/>
  <c r="I194" i="883"/>
  <c r="E194" i="883"/>
  <c r="E197" i="883"/>
  <c r="I197" i="883"/>
  <c r="E198" i="883"/>
  <c r="I198" i="883"/>
  <c r="E199" i="883"/>
  <c r="I199" i="883"/>
  <c r="E200" i="883"/>
  <c r="I200" i="883"/>
  <c r="E201" i="883"/>
  <c r="I201" i="883"/>
  <c r="E202" i="883"/>
  <c r="I202" i="883"/>
  <c r="E203" i="883"/>
  <c r="I203" i="883"/>
  <c r="F197" i="883"/>
  <c r="J197" i="883"/>
  <c r="F198" i="883"/>
  <c r="J198" i="883"/>
  <c r="F199" i="883"/>
  <c r="J199" i="883"/>
  <c r="F200" i="883"/>
  <c r="J200" i="883"/>
  <c r="F201" i="883"/>
  <c r="J201" i="883"/>
  <c r="F202" i="883"/>
  <c r="J202" i="883"/>
  <c r="F203" i="883"/>
  <c r="J203" i="883"/>
  <c r="K8" i="304"/>
  <c r="N7" i="304" s="1"/>
  <c r="V6" i="304"/>
  <c r="P7" i="304"/>
  <c r="K5" i="890"/>
  <c r="P7" i="890"/>
  <c r="K5" i="889"/>
  <c r="P7" i="889"/>
  <c r="K5" i="888"/>
  <c r="P7" i="888"/>
  <c r="K5" i="887"/>
  <c r="K5" i="886"/>
  <c r="K5" i="885"/>
  <c r="P7" i="885"/>
  <c r="P7" i="887"/>
  <c r="P7" i="886"/>
  <c r="P7" i="883"/>
  <c r="F24" i="883"/>
  <c r="F25" i="883"/>
  <c r="F27" i="883"/>
  <c r="F38" i="883"/>
  <c r="H146" i="883"/>
  <c r="J146" i="883"/>
  <c r="F146" i="883"/>
  <c r="H150" i="883"/>
  <c r="J150" i="883"/>
  <c r="F150" i="883"/>
  <c r="H154" i="883"/>
  <c r="J154" i="883"/>
  <c r="F154" i="883"/>
  <c r="H158" i="883"/>
  <c r="J158" i="883"/>
  <c r="F158" i="883"/>
  <c r="H123" i="884"/>
  <c r="F123" i="884"/>
  <c r="F144" i="884"/>
  <c r="H144" i="884"/>
  <c r="G144" i="884"/>
  <c r="I148" i="884"/>
  <c r="G148" i="884"/>
  <c r="H148" i="884"/>
  <c r="E148" i="884"/>
  <c r="J148" i="884"/>
  <c r="I152" i="884"/>
  <c r="G152" i="884"/>
  <c r="H152" i="884"/>
  <c r="E152" i="884"/>
  <c r="J152" i="884"/>
  <c r="I156" i="884"/>
  <c r="G156" i="884"/>
  <c r="H156" i="884"/>
  <c r="E156" i="884"/>
  <c r="J156" i="884"/>
  <c r="I160" i="884"/>
  <c r="G160" i="884"/>
  <c r="H160" i="884"/>
  <c r="E160" i="884"/>
  <c r="J160" i="884"/>
  <c r="I164" i="884"/>
  <c r="G164" i="884"/>
  <c r="H164" i="884"/>
  <c r="E164" i="884"/>
  <c r="J164" i="884"/>
  <c r="I168" i="884"/>
  <c r="G168" i="884"/>
  <c r="H168" i="884"/>
  <c r="E168" i="884"/>
  <c r="J168" i="884"/>
  <c r="I172" i="884"/>
  <c r="G172" i="884"/>
  <c r="H172" i="884"/>
  <c r="E172" i="884"/>
  <c r="J172" i="884"/>
  <c r="J16" i="304"/>
  <c r="G17" i="883"/>
  <c r="J17" i="883"/>
  <c r="F26" i="883"/>
  <c r="J29" i="883"/>
  <c r="G29" i="883"/>
  <c r="J42" i="883"/>
  <c r="G48" i="883"/>
  <c r="J59" i="883"/>
  <c r="J66" i="883"/>
  <c r="H73" i="883"/>
  <c r="H80" i="883"/>
  <c r="J94" i="883"/>
  <c r="E95" i="883"/>
  <c r="H95" i="883"/>
  <c r="G97" i="883"/>
  <c r="J98" i="883"/>
  <c r="E99" i="883"/>
  <c r="H99" i="883"/>
  <c r="G101" i="883"/>
  <c r="J102" i="883"/>
  <c r="E103" i="883"/>
  <c r="H103" i="883"/>
  <c r="G105" i="883"/>
  <c r="J106" i="883"/>
  <c r="E107" i="883"/>
  <c r="J107" i="883"/>
  <c r="G109" i="883"/>
  <c r="I110" i="883"/>
  <c r="E111" i="883"/>
  <c r="J111" i="883"/>
  <c r="G113" i="883"/>
  <c r="I114" i="883"/>
  <c r="E115" i="883"/>
  <c r="J115" i="883"/>
  <c r="G117" i="883"/>
  <c r="I118" i="883"/>
  <c r="E119" i="883"/>
  <c r="J119" i="883"/>
  <c r="G121" i="883"/>
  <c r="I122" i="883"/>
  <c r="E123" i="883"/>
  <c r="J123" i="883"/>
  <c r="G125" i="883"/>
  <c r="I126" i="883"/>
  <c r="E127" i="883"/>
  <c r="J127" i="883"/>
  <c r="G129" i="883"/>
  <c r="I130" i="883"/>
  <c r="E131" i="883"/>
  <c r="J131" i="883"/>
  <c r="G133" i="883"/>
  <c r="I134" i="883"/>
  <c r="E135" i="883"/>
  <c r="J135" i="883"/>
  <c r="G137" i="883"/>
  <c r="I138" i="883"/>
  <c r="E139" i="883"/>
  <c r="J139" i="883"/>
  <c r="G141" i="883"/>
  <c r="I142" i="883"/>
  <c r="E143" i="883"/>
  <c r="J143" i="883"/>
  <c r="E146" i="883"/>
  <c r="H147" i="883"/>
  <c r="J147" i="883"/>
  <c r="F147" i="883"/>
  <c r="E150" i="883"/>
  <c r="H151" i="883"/>
  <c r="J151" i="883"/>
  <c r="F151" i="883"/>
  <c r="E154" i="883"/>
  <c r="H155" i="883"/>
  <c r="J155" i="883"/>
  <c r="F155" i="883"/>
  <c r="E158" i="883"/>
  <c r="H159" i="883"/>
  <c r="J159" i="883"/>
  <c r="F159" i="883"/>
  <c r="H164" i="883"/>
  <c r="F164" i="883"/>
  <c r="G200" i="883"/>
  <c r="I54" i="884"/>
  <c r="E17" i="884"/>
  <c r="J17" i="884"/>
  <c r="H17" i="884"/>
  <c r="F17" i="884"/>
  <c r="E21" i="884"/>
  <c r="J21" i="884"/>
  <c r="H21" i="884"/>
  <c r="F21" i="884"/>
  <c r="E25" i="884"/>
  <c r="J25" i="884"/>
  <c r="H25" i="884"/>
  <c r="F25" i="884"/>
  <c r="E29" i="884"/>
  <c r="J29" i="884"/>
  <c r="H29" i="884"/>
  <c r="F29" i="884"/>
  <c r="E33" i="884"/>
  <c r="J33" i="884"/>
  <c r="H33" i="884"/>
  <c r="F33" i="884"/>
  <c r="E37" i="884"/>
  <c r="J37" i="884"/>
  <c r="H37" i="884"/>
  <c r="F37" i="884"/>
  <c r="E41" i="884"/>
  <c r="J41" i="884"/>
  <c r="H41" i="884"/>
  <c r="F41" i="884"/>
  <c r="E45" i="884"/>
  <c r="J45" i="884"/>
  <c r="H45" i="884"/>
  <c r="F45" i="884"/>
  <c r="J48" i="884"/>
  <c r="H48" i="884"/>
  <c r="E48" i="884"/>
  <c r="J52" i="884"/>
  <c r="H52" i="884"/>
  <c r="E52" i="884"/>
  <c r="J56" i="884"/>
  <c r="H56" i="884"/>
  <c r="E56" i="884"/>
  <c r="H60" i="884"/>
  <c r="J60" i="884"/>
  <c r="E60" i="884"/>
  <c r="F128" i="884"/>
  <c r="H128" i="884"/>
  <c r="G128" i="884"/>
  <c r="H15" i="883"/>
  <c r="F16" i="883"/>
  <c r="F17" i="883"/>
  <c r="F20" i="883"/>
  <c r="F22" i="883"/>
  <c r="F23" i="883"/>
  <c r="E25" i="883"/>
  <c r="G25" i="883"/>
  <c r="E30" i="883"/>
  <c r="G33" i="883"/>
  <c r="J33" i="883"/>
  <c r="F34" i="883"/>
  <c r="F40" i="883"/>
  <c r="E55" i="883"/>
  <c r="G74" i="883"/>
  <c r="J74" i="883"/>
  <c r="J90" i="883"/>
  <c r="G90" i="883"/>
  <c r="G91" i="883"/>
  <c r="J97" i="883"/>
  <c r="J101" i="883"/>
  <c r="J105" i="883"/>
  <c r="I109" i="883"/>
  <c r="I113" i="883"/>
  <c r="I117" i="883"/>
  <c r="I121" i="883"/>
  <c r="I125" i="883"/>
  <c r="I129" i="883"/>
  <c r="I133" i="883"/>
  <c r="I137" i="883"/>
  <c r="I141" i="883"/>
  <c r="G146" i="883"/>
  <c r="H148" i="883"/>
  <c r="J148" i="883"/>
  <c r="F148" i="883"/>
  <c r="G150" i="883"/>
  <c r="H152" i="883"/>
  <c r="J152" i="883"/>
  <c r="F152" i="883"/>
  <c r="G154" i="883"/>
  <c r="H156" i="883"/>
  <c r="J156" i="883"/>
  <c r="F156" i="883"/>
  <c r="G158" i="883"/>
  <c r="H160" i="883"/>
  <c r="J160" i="883"/>
  <c r="F160" i="883"/>
  <c r="F168" i="883"/>
  <c r="H168" i="883"/>
  <c r="H203" i="883"/>
  <c r="G203" i="883"/>
  <c r="J16" i="884"/>
  <c r="J20" i="884"/>
  <c r="J24" i="884"/>
  <c r="J28" i="884"/>
  <c r="J32" i="884"/>
  <c r="J36" i="884"/>
  <c r="J40" i="884"/>
  <c r="J44" i="884"/>
  <c r="I122" i="884"/>
  <c r="H122" i="884"/>
  <c r="F122" i="884"/>
  <c r="J122" i="884"/>
  <c r="E122" i="884"/>
  <c r="F143" i="884"/>
  <c r="H143" i="884"/>
  <c r="I37" i="883"/>
  <c r="J22" i="883"/>
  <c r="J25" i="883"/>
  <c r="H27" i="883"/>
  <c r="F28" i="883"/>
  <c r="F29" i="883"/>
  <c r="F30" i="883"/>
  <c r="F33" i="883"/>
  <c r="F36" i="883"/>
  <c r="J39" i="883"/>
  <c r="G40" i="883"/>
  <c r="G46" i="883"/>
  <c r="E46" i="883"/>
  <c r="G66" i="883"/>
  <c r="G81" i="883"/>
  <c r="G85" i="883"/>
  <c r="G95" i="883"/>
  <c r="E97" i="883"/>
  <c r="H97" i="883"/>
  <c r="G99" i="883"/>
  <c r="E101" i="883"/>
  <c r="H101" i="883"/>
  <c r="G103" i="883"/>
  <c r="E105" i="883"/>
  <c r="H105" i="883"/>
  <c r="G107" i="883"/>
  <c r="E109" i="883"/>
  <c r="J109" i="883"/>
  <c r="G111" i="883"/>
  <c r="E113" i="883"/>
  <c r="J113" i="883"/>
  <c r="G115" i="883"/>
  <c r="E117" i="883"/>
  <c r="J117" i="883"/>
  <c r="G119" i="883"/>
  <c r="E121" i="883"/>
  <c r="J121" i="883"/>
  <c r="G123" i="883"/>
  <c r="E125" i="883"/>
  <c r="J125" i="883"/>
  <c r="G127" i="883"/>
  <c r="E129" i="883"/>
  <c r="J129" i="883"/>
  <c r="G131" i="883"/>
  <c r="E133" i="883"/>
  <c r="J133" i="883"/>
  <c r="G135" i="883"/>
  <c r="E137" i="883"/>
  <c r="J137" i="883"/>
  <c r="G139" i="883"/>
  <c r="E141" i="883"/>
  <c r="J141" i="883"/>
  <c r="G143" i="883"/>
  <c r="H145" i="883"/>
  <c r="J145" i="883"/>
  <c r="I146" i="883"/>
  <c r="E148" i="883"/>
  <c r="H149" i="883"/>
  <c r="J149" i="883"/>
  <c r="F149" i="883"/>
  <c r="I150" i="883"/>
  <c r="E152" i="883"/>
  <c r="H153" i="883"/>
  <c r="J153" i="883"/>
  <c r="F153" i="883"/>
  <c r="I154" i="883"/>
  <c r="E156" i="883"/>
  <c r="H157" i="883"/>
  <c r="J157" i="883"/>
  <c r="F157" i="883"/>
  <c r="I158" i="883"/>
  <c r="E160" i="883"/>
  <c r="F165" i="883"/>
  <c r="G198" i="883"/>
  <c r="G202" i="883"/>
  <c r="J15" i="884"/>
  <c r="K6" i="884"/>
  <c r="Q7" i="884"/>
  <c r="E15" i="884"/>
  <c r="H15" i="884"/>
  <c r="E19" i="884"/>
  <c r="J19" i="884"/>
  <c r="H19" i="884"/>
  <c r="F19" i="884"/>
  <c r="E23" i="884"/>
  <c r="J23" i="884"/>
  <c r="H23" i="884"/>
  <c r="F23" i="884"/>
  <c r="E27" i="884"/>
  <c r="J27" i="884"/>
  <c r="H27" i="884"/>
  <c r="F27" i="884"/>
  <c r="E31" i="884"/>
  <c r="J31" i="884"/>
  <c r="H31" i="884"/>
  <c r="F31" i="884"/>
  <c r="E35" i="884"/>
  <c r="J35" i="884"/>
  <c r="H35" i="884"/>
  <c r="F35" i="884"/>
  <c r="E39" i="884"/>
  <c r="J39" i="884"/>
  <c r="H39" i="884"/>
  <c r="F39" i="884"/>
  <c r="E43" i="884"/>
  <c r="J43" i="884"/>
  <c r="H43" i="884"/>
  <c r="F43" i="884"/>
  <c r="G121" i="884"/>
  <c r="H121" i="884"/>
  <c r="I121" i="884"/>
  <c r="F148" i="884"/>
  <c r="F152" i="884"/>
  <c r="F156" i="884"/>
  <c r="F160" i="884"/>
  <c r="F164" i="884"/>
  <c r="F168" i="884"/>
  <c r="F172" i="884"/>
  <c r="F56" i="885"/>
  <c r="J75" i="885"/>
  <c r="J80" i="885"/>
  <c r="E80" i="885"/>
  <c r="J125" i="885"/>
  <c r="G125" i="885"/>
  <c r="E125" i="885"/>
  <c r="J127" i="885"/>
  <c r="G127" i="885"/>
  <c r="J141" i="885"/>
  <c r="E141" i="885"/>
  <c r="G156" i="885"/>
  <c r="E156" i="885"/>
  <c r="E160" i="885"/>
  <c r="J160" i="885"/>
  <c r="G160" i="885"/>
  <c r="H164" i="885"/>
  <c r="H193" i="885"/>
  <c r="G193" i="885"/>
  <c r="J18" i="886"/>
  <c r="G18" i="886"/>
  <c r="H18" i="886"/>
  <c r="E18" i="886"/>
  <c r="F18" i="886"/>
  <c r="J22" i="886"/>
  <c r="G22" i="886"/>
  <c r="H22" i="886"/>
  <c r="E22" i="886"/>
  <c r="F22" i="886"/>
  <c r="J26" i="886"/>
  <c r="G26" i="886"/>
  <c r="H26" i="886"/>
  <c r="E26" i="886"/>
  <c r="F26" i="886"/>
  <c r="J30" i="886"/>
  <c r="G30" i="886"/>
  <c r="H30" i="886"/>
  <c r="E30" i="886"/>
  <c r="F30" i="886"/>
  <c r="J34" i="886"/>
  <c r="G34" i="886"/>
  <c r="H34" i="886"/>
  <c r="E34" i="886"/>
  <c r="F34" i="886"/>
  <c r="F36" i="886"/>
  <c r="J38" i="886"/>
  <c r="G38" i="886"/>
  <c r="H38" i="886"/>
  <c r="E38" i="886"/>
  <c r="F38" i="886"/>
  <c r="F40" i="886"/>
  <c r="J42" i="886"/>
  <c r="G42" i="886"/>
  <c r="H42" i="886"/>
  <c r="E42" i="886"/>
  <c r="F42" i="886"/>
  <c r="F44" i="886"/>
  <c r="G88" i="886"/>
  <c r="F88" i="886"/>
  <c r="J95" i="886"/>
  <c r="G95" i="886"/>
  <c r="F95" i="886"/>
  <c r="G104" i="886"/>
  <c r="F104" i="886"/>
  <c r="H153" i="886"/>
  <c r="J153" i="886"/>
  <c r="F153" i="886"/>
  <c r="G170" i="886"/>
  <c r="J170" i="886"/>
  <c r="H172" i="886"/>
  <c r="J172" i="886"/>
  <c r="G172" i="886"/>
  <c r="H174" i="886"/>
  <c r="J174" i="886"/>
  <c r="G174" i="886"/>
  <c r="H176" i="886"/>
  <c r="J176" i="886"/>
  <c r="G176" i="886"/>
  <c r="H178" i="886"/>
  <c r="J178" i="886"/>
  <c r="G178" i="886"/>
  <c r="H180" i="886"/>
  <c r="J180" i="886"/>
  <c r="G180" i="886"/>
  <c r="H182" i="886"/>
  <c r="J182" i="886"/>
  <c r="G182" i="886"/>
  <c r="H184" i="886"/>
  <c r="J184" i="886"/>
  <c r="G184" i="886"/>
  <c r="H186" i="886"/>
  <c r="J186" i="886"/>
  <c r="G186" i="886"/>
  <c r="H188" i="886"/>
  <c r="J188" i="886"/>
  <c r="G188" i="886"/>
  <c r="H190" i="886"/>
  <c r="J190" i="886"/>
  <c r="G190" i="886"/>
  <c r="G24" i="887"/>
  <c r="F24" i="887"/>
  <c r="J24" i="887"/>
  <c r="H190" i="887"/>
  <c r="G190" i="887"/>
  <c r="G54" i="888"/>
  <c r="H54" i="888"/>
  <c r="H113" i="888"/>
  <c r="G113" i="888"/>
  <c r="F113" i="888"/>
  <c r="E16" i="884"/>
  <c r="E18" i="884"/>
  <c r="E20" i="884"/>
  <c r="E22" i="884"/>
  <c r="E24" i="884"/>
  <c r="E26" i="884"/>
  <c r="E28" i="884"/>
  <c r="E30" i="884"/>
  <c r="E32" i="884"/>
  <c r="E34" i="884"/>
  <c r="E36" i="884"/>
  <c r="E38" i="884"/>
  <c r="E40" i="884"/>
  <c r="E42" i="884"/>
  <c r="E44" i="884"/>
  <c r="E46" i="884"/>
  <c r="F120" i="884"/>
  <c r="G129" i="884"/>
  <c r="I130" i="884"/>
  <c r="F137" i="884"/>
  <c r="G146" i="884"/>
  <c r="G150" i="884"/>
  <c r="G154" i="884"/>
  <c r="G158" i="884"/>
  <c r="G162" i="884"/>
  <c r="G166" i="884"/>
  <c r="G170" i="884"/>
  <c r="G174" i="884"/>
  <c r="G55" i="885"/>
  <c r="J55" i="885"/>
  <c r="J103" i="885"/>
  <c r="E103" i="885"/>
  <c r="J108" i="885"/>
  <c r="F109" i="885"/>
  <c r="G155" i="885"/>
  <c r="J159" i="885"/>
  <c r="G162" i="885"/>
  <c r="H163" i="885"/>
  <c r="H180" i="885"/>
  <c r="H184" i="885"/>
  <c r="H188" i="885"/>
  <c r="J192" i="885"/>
  <c r="H192" i="885"/>
  <c r="J200" i="885"/>
  <c r="H200" i="885"/>
  <c r="G200" i="885"/>
  <c r="H76" i="886"/>
  <c r="G76" i="886"/>
  <c r="F76" i="886"/>
  <c r="H84" i="886"/>
  <c r="G84" i="886"/>
  <c r="F84" i="886"/>
  <c r="J91" i="886"/>
  <c r="G91" i="886"/>
  <c r="F91" i="886"/>
  <c r="G100" i="886"/>
  <c r="F100" i="886"/>
  <c r="J107" i="886"/>
  <c r="G107" i="886"/>
  <c r="F107" i="886"/>
  <c r="J16" i="887"/>
  <c r="K6" i="887"/>
  <c r="Q7" i="887"/>
  <c r="G16" i="887"/>
  <c r="J32" i="887"/>
  <c r="E32" i="887"/>
  <c r="J36" i="887"/>
  <c r="G41" i="887"/>
  <c r="J41" i="887"/>
  <c r="F41" i="887"/>
  <c r="H186" i="887"/>
  <c r="G186" i="887"/>
  <c r="G50" i="888"/>
  <c r="H50" i="888"/>
  <c r="J110" i="888"/>
  <c r="F110" i="888"/>
  <c r="H110" i="888"/>
  <c r="J128" i="885"/>
  <c r="G128" i="885"/>
  <c r="E128" i="885"/>
  <c r="G136" i="885"/>
  <c r="E136" i="885"/>
  <c r="G148" i="885"/>
  <c r="E148" i="885"/>
  <c r="J87" i="886"/>
  <c r="G87" i="886"/>
  <c r="F87" i="886"/>
  <c r="G96" i="886"/>
  <c r="F96" i="886"/>
  <c r="J103" i="886"/>
  <c r="G103" i="886"/>
  <c r="F103" i="886"/>
  <c r="H113" i="886"/>
  <c r="J113" i="886"/>
  <c r="G113" i="886"/>
  <c r="H115" i="886"/>
  <c r="J115" i="886"/>
  <c r="G115" i="886"/>
  <c r="H117" i="886"/>
  <c r="J117" i="886"/>
  <c r="G117" i="886"/>
  <c r="H119" i="886"/>
  <c r="J119" i="886"/>
  <c r="G119" i="886"/>
  <c r="H121" i="886"/>
  <c r="J121" i="886"/>
  <c r="G121" i="886"/>
  <c r="H123" i="886"/>
  <c r="J123" i="886"/>
  <c r="G123" i="886"/>
  <c r="H125" i="886"/>
  <c r="J125" i="886"/>
  <c r="G125" i="886"/>
  <c r="H127" i="886"/>
  <c r="J127" i="886"/>
  <c r="G127" i="886"/>
  <c r="H129" i="886"/>
  <c r="J129" i="886"/>
  <c r="G129" i="886"/>
  <c r="H131" i="886"/>
  <c r="J131" i="886"/>
  <c r="G131" i="886"/>
  <c r="H133" i="886"/>
  <c r="J133" i="886"/>
  <c r="G133" i="886"/>
  <c r="H135" i="886"/>
  <c r="J135" i="886"/>
  <c r="G135" i="886"/>
  <c r="H137" i="886"/>
  <c r="J137" i="886"/>
  <c r="G137" i="886"/>
  <c r="H139" i="886"/>
  <c r="J139" i="886"/>
  <c r="G139" i="886"/>
  <c r="H141" i="886"/>
  <c r="J141" i="886"/>
  <c r="G141" i="886"/>
  <c r="H143" i="886"/>
  <c r="J143" i="886"/>
  <c r="G143" i="886"/>
  <c r="H145" i="886"/>
  <c r="J145" i="886"/>
  <c r="G145" i="886"/>
  <c r="H147" i="886"/>
  <c r="J147" i="886"/>
  <c r="G147" i="886"/>
  <c r="H149" i="886"/>
  <c r="J149" i="886"/>
  <c r="G149" i="886"/>
  <c r="J23" i="887"/>
  <c r="G23" i="887"/>
  <c r="G37" i="887"/>
  <c r="J37" i="887"/>
  <c r="F37" i="887"/>
  <c r="H182" i="887"/>
  <c r="G182" i="887"/>
  <c r="H198" i="887"/>
  <c r="G198" i="887"/>
  <c r="H200" i="887"/>
  <c r="G200" i="887"/>
  <c r="H202" i="887"/>
  <c r="G202" i="887"/>
  <c r="G46" i="888"/>
  <c r="H46" i="888"/>
  <c r="I97" i="888"/>
  <c r="H97" i="888"/>
  <c r="G97" i="888"/>
  <c r="F97" i="888"/>
  <c r="J144" i="888"/>
  <c r="G144" i="888"/>
  <c r="E47" i="884"/>
  <c r="E51" i="884"/>
  <c r="E55" i="884"/>
  <c r="E59" i="884"/>
  <c r="E126" i="884"/>
  <c r="F130" i="884"/>
  <c r="H137" i="884"/>
  <c r="G141" i="884"/>
  <c r="J142" i="884"/>
  <c r="E142" i="884"/>
  <c r="J145" i="884"/>
  <c r="E146" i="884"/>
  <c r="H146" i="884"/>
  <c r="J149" i="884"/>
  <c r="E150" i="884"/>
  <c r="H150" i="884"/>
  <c r="J153" i="884"/>
  <c r="E154" i="884"/>
  <c r="H154" i="884"/>
  <c r="J157" i="884"/>
  <c r="E158" i="884"/>
  <c r="H158" i="884"/>
  <c r="J161" i="884"/>
  <c r="E162" i="884"/>
  <c r="H162" i="884"/>
  <c r="J165" i="884"/>
  <c r="E166" i="884"/>
  <c r="H166" i="884"/>
  <c r="J169" i="884"/>
  <c r="E170" i="884"/>
  <c r="H170" i="884"/>
  <c r="J173" i="884"/>
  <c r="E174" i="884"/>
  <c r="H174" i="884"/>
  <c r="G18" i="885"/>
  <c r="J47" i="885"/>
  <c r="J57" i="885"/>
  <c r="J63" i="885"/>
  <c r="F69" i="885"/>
  <c r="G71" i="885"/>
  <c r="J71" i="885"/>
  <c r="F73" i="885"/>
  <c r="G75" i="885"/>
  <c r="J104" i="885"/>
  <c r="E104" i="885"/>
  <c r="G135" i="885"/>
  <c r="J140" i="885"/>
  <c r="G147" i="885"/>
  <c r="J151" i="885"/>
  <c r="G152" i="885"/>
  <c r="E152" i="885"/>
  <c r="J156" i="885"/>
  <c r="H161" i="885"/>
  <c r="G164" i="885"/>
  <c r="H182" i="885"/>
  <c r="H186" i="885"/>
  <c r="J193" i="885"/>
  <c r="J196" i="885"/>
  <c r="H196" i="885"/>
  <c r="G196" i="885"/>
  <c r="G19" i="886"/>
  <c r="H19" i="886"/>
  <c r="G23" i="886"/>
  <c r="H23" i="886"/>
  <c r="G27" i="886"/>
  <c r="H27" i="886"/>
  <c r="G31" i="886"/>
  <c r="H31" i="886"/>
  <c r="G35" i="886"/>
  <c r="H35" i="886"/>
  <c r="G39" i="886"/>
  <c r="H39" i="886"/>
  <c r="G43" i="886"/>
  <c r="H43" i="886"/>
  <c r="H72" i="886"/>
  <c r="G72" i="886"/>
  <c r="F72" i="886"/>
  <c r="H80" i="886"/>
  <c r="G80" i="886"/>
  <c r="F80" i="886"/>
  <c r="G92" i="886"/>
  <c r="F92" i="886"/>
  <c r="J99" i="886"/>
  <c r="G99" i="886"/>
  <c r="F99" i="886"/>
  <c r="F172" i="886"/>
  <c r="F174" i="886"/>
  <c r="F176" i="886"/>
  <c r="F178" i="886"/>
  <c r="F180" i="886"/>
  <c r="F182" i="886"/>
  <c r="F184" i="886"/>
  <c r="F186" i="886"/>
  <c r="F188" i="886"/>
  <c r="F190" i="886"/>
  <c r="G15" i="887"/>
  <c r="J31" i="887"/>
  <c r="E31" i="887"/>
  <c r="F31" i="887"/>
  <c r="G33" i="887"/>
  <c r="J33" i="887"/>
  <c r="F33" i="887"/>
  <c r="H194" i="887"/>
  <c r="G194" i="887"/>
  <c r="J18" i="888"/>
  <c r="G18" i="888"/>
  <c r="E18" i="888"/>
  <c r="G42" i="888"/>
  <c r="H42" i="888"/>
  <c r="J159" i="888"/>
  <c r="G159" i="888"/>
  <c r="J163" i="888"/>
  <c r="G163" i="888"/>
  <c r="H171" i="888"/>
  <c r="J171" i="888"/>
  <c r="J175" i="889"/>
  <c r="G175" i="889"/>
  <c r="J182" i="889"/>
  <c r="G182" i="889"/>
  <c r="F182" i="889"/>
  <c r="J192" i="889"/>
  <c r="H192" i="889"/>
  <c r="G192" i="889"/>
  <c r="J14" i="890"/>
  <c r="G14" i="890"/>
  <c r="H14" i="890"/>
  <c r="F14" i="890"/>
  <c r="E27" i="890"/>
  <c r="J27" i="890"/>
  <c r="G27" i="890"/>
  <c r="H27" i="890"/>
  <c r="I49" i="890"/>
  <c r="E49" i="890"/>
  <c r="H49" i="890"/>
  <c r="J49" i="890"/>
  <c r="G49" i="890"/>
  <c r="F49" i="890"/>
  <c r="I57" i="890"/>
  <c r="E57" i="890"/>
  <c r="H57" i="890"/>
  <c r="J57" i="890"/>
  <c r="G57" i="890"/>
  <c r="F57" i="890"/>
  <c r="I65" i="890"/>
  <c r="E65" i="890"/>
  <c r="H65" i="890"/>
  <c r="J65" i="890"/>
  <c r="G65" i="890"/>
  <c r="F65" i="890"/>
  <c r="I73" i="890"/>
  <c r="E73" i="890"/>
  <c r="H73" i="890"/>
  <c r="J73" i="890"/>
  <c r="G73" i="890"/>
  <c r="F73" i="890"/>
  <c r="I81" i="890"/>
  <c r="E81" i="890"/>
  <c r="H81" i="890"/>
  <c r="J81" i="890"/>
  <c r="G81" i="890"/>
  <c r="F81" i="890"/>
  <c r="I89" i="890"/>
  <c r="E89" i="890"/>
  <c r="H89" i="890"/>
  <c r="J89" i="890"/>
  <c r="G89" i="890"/>
  <c r="F89" i="890"/>
  <c r="I97" i="890"/>
  <c r="E97" i="890"/>
  <c r="H97" i="890"/>
  <c r="J97" i="890"/>
  <c r="G97" i="890"/>
  <c r="F97" i="890"/>
  <c r="I105" i="890"/>
  <c r="E105" i="890"/>
  <c r="H105" i="890"/>
  <c r="J105" i="890"/>
  <c r="G105" i="890"/>
  <c r="F105" i="890"/>
  <c r="J165" i="890"/>
  <c r="E165" i="890"/>
  <c r="H165" i="890"/>
  <c r="I165" i="890"/>
  <c r="G165" i="890"/>
  <c r="F165" i="890"/>
  <c r="J181" i="890"/>
  <c r="E181" i="890"/>
  <c r="H181" i="890"/>
  <c r="I181" i="890"/>
  <c r="G181" i="890"/>
  <c r="F181" i="890"/>
  <c r="I144" i="887"/>
  <c r="E144" i="887"/>
  <c r="I146" i="887"/>
  <c r="E146" i="887"/>
  <c r="I148" i="887"/>
  <c r="E148" i="887"/>
  <c r="I150" i="887"/>
  <c r="E150" i="887"/>
  <c r="I152" i="887"/>
  <c r="E152" i="887"/>
  <c r="I154" i="887"/>
  <c r="E154" i="887"/>
  <c r="I156" i="887"/>
  <c r="E156" i="887"/>
  <c r="I158" i="887"/>
  <c r="E158" i="887"/>
  <c r="I160" i="887"/>
  <c r="E160" i="887"/>
  <c r="G15" i="888"/>
  <c r="J21" i="888"/>
  <c r="J106" i="888"/>
  <c r="F106" i="888"/>
  <c r="H109" i="888"/>
  <c r="G109" i="888"/>
  <c r="H131" i="888"/>
  <c r="G131" i="888"/>
  <c r="H132" i="888"/>
  <c r="F132" i="888"/>
  <c r="J132" i="888"/>
  <c r="E132" i="888"/>
  <c r="H173" i="888"/>
  <c r="J173" i="888"/>
  <c r="G21" i="889"/>
  <c r="J21" i="889"/>
  <c r="F21" i="889"/>
  <c r="I138" i="889"/>
  <c r="H138" i="889"/>
  <c r="G138" i="889"/>
  <c r="I142" i="889"/>
  <c r="E142" i="889"/>
  <c r="H142" i="889"/>
  <c r="G142" i="889"/>
  <c r="I146" i="889"/>
  <c r="E146" i="889"/>
  <c r="H146" i="889"/>
  <c r="G146" i="889"/>
  <c r="I150" i="889"/>
  <c r="E150" i="889"/>
  <c r="H150" i="889"/>
  <c r="G150" i="889"/>
  <c r="I154" i="889"/>
  <c r="E154" i="889"/>
  <c r="H154" i="889"/>
  <c r="G154" i="889"/>
  <c r="I158" i="889"/>
  <c r="E158" i="889"/>
  <c r="H158" i="889"/>
  <c r="G158" i="889"/>
  <c r="H163" i="889"/>
  <c r="F163" i="889"/>
  <c r="F165" i="889"/>
  <c r="J165" i="889"/>
  <c r="H165" i="889"/>
  <c r="G170" i="889"/>
  <c r="F170" i="889"/>
  <c r="F172" i="889"/>
  <c r="J172" i="889"/>
  <c r="G172" i="889"/>
  <c r="J184" i="889"/>
  <c r="H184" i="889"/>
  <c r="G184" i="889"/>
  <c r="K6" i="890"/>
  <c r="Q7" i="890"/>
  <c r="J16" i="890"/>
  <c r="G16" i="890"/>
  <c r="H16" i="890"/>
  <c r="F16" i="890"/>
  <c r="J20" i="890"/>
  <c r="G20" i="890"/>
  <c r="H20" i="890"/>
  <c r="E20" i="890"/>
  <c r="F27" i="890"/>
  <c r="J32" i="890"/>
  <c r="G32" i="890"/>
  <c r="H32" i="890"/>
  <c r="E32" i="890"/>
  <c r="G33" i="890"/>
  <c r="H33" i="890"/>
  <c r="E35" i="890"/>
  <c r="J35" i="890"/>
  <c r="G35" i="890"/>
  <c r="H35" i="890"/>
  <c r="F35" i="890"/>
  <c r="G39" i="890"/>
  <c r="H39" i="890"/>
  <c r="I43" i="890"/>
  <c r="E43" i="890"/>
  <c r="J43" i="890"/>
  <c r="H43" i="890"/>
  <c r="G43" i="890"/>
  <c r="J115" i="890"/>
  <c r="F115" i="890"/>
  <c r="H115" i="890"/>
  <c r="G115" i="890"/>
  <c r="I115" i="890"/>
  <c r="E115" i="890"/>
  <c r="G197" i="885"/>
  <c r="G201" i="885"/>
  <c r="G203" i="885"/>
  <c r="F15" i="886"/>
  <c r="J15" i="886"/>
  <c r="K6" i="886"/>
  <c r="Q7" i="886"/>
  <c r="F17" i="886"/>
  <c r="F21" i="886"/>
  <c r="F25" i="886"/>
  <c r="F29" i="886"/>
  <c r="F33" i="886"/>
  <c r="F37" i="886"/>
  <c r="F41" i="886"/>
  <c r="H45" i="886"/>
  <c r="H46" i="886"/>
  <c r="H47" i="886"/>
  <c r="H48" i="886"/>
  <c r="H49" i="886"/>
  <c r="H50" i="886"/>
  <c r="H51" i="886"/>
  <c r="H52" i="886"/>
  <c r="H53" i="886"/>
  <c r="H54" i="886"/>
  <c r="H55" i="886"/>
  <c r="H56" i="886"/>
  <c r="H57" i="886"/>
  <c r="H58" i="886"/>
  <c r="H59" i="886"/>
  <c r="H60" i="886"/>
  <c r="H61" i="886"/>
  <c r="H62" i="886"/>
  <c r="H63" i="886"/>
  <c r="H64" i="886"/>
  <c r="H65" i="886"/>
  <c r="H66" i="886"/>
  <c r="H67" i="886"/>
  <c r="H68" i="886"/>
  <c r="H69" i="886"/>
  <c r="H70" i="886"/>
  <c r="F73" i="886"/>
  <c r="F77" i="886"/>
  <c r="F81" i="886"/>
  <c r="F150" i="886"/>
  <c r="F154" i="886"/>
  <c r="G192" i="886"/>
  <c r="I193" i="886"/>
  <c r="I194" i="886"/>
  <c r="I195" i="886"/>
  <c r="I196" i="886"/>
  <c r="I197" i="886"/>
  <c r="I198" i="886"/>
  <c r="I199" i="886"/>
  <c r="I200" i="886"/>
  <c r="I201" i="886"/>
  <c r="I202" i="886"/>
  <c r="I203" i="886"/>
  <c r="G142" i="887"/>
  <c r="G144" i="887"/>
  <c r="G146" i="887"/>
  <c r="G148" i="887"/>
  <c r="G150" i="887"/>
  <c r="G152" i="887"/>
  <c r="G154" i="887"/>
  <c r="G156" i="887"/>
  <c r="G158" i="887"/>
  <c r="G160" i="887"/>
  <c r="H199" i="887"/>
  <c r="G199" i="887"/>
  <c r="H201" i="887"/>
  <c r="G201" i="887"/>
  <c r="H203" i="887"/>
  <c r="G203" i="887"/>
  <c r="J22" i="888"/>
  <c r="G22" i="888"/>
  <c r="E22" i="888"/>
  <c r="J102" i="888"/>
  <c r="F102" i="888"/>
  <c r="H105" i="888"/>
  <c r="G105" i="888"/>
  <c r="J157" i="888"/>
  <c r="G157" i="888"/>
  <c r="F159" i="888"/>
  <c r="J161" i="888"/>
  <c r="G161" i="888"/>
  <c r="F163" i="888"/>
  <c r="J165" i="888"/>
  <c r="G165" i="888"/>
  <c r="H167" i="888"/>
  <c r="J167" i="888"/>
  <c r="F171" i="888"/>
  <c r="H175" i="888"/>
  <c r="J175" i="888"/>
  <c r="J14" i="889"/>
  <c r="J16" i="889"/>
  <c r="K6" i="889"/>
  <c r="Q7" i="889"/>
  <c r="F18" i="889"/>
  <c r="J24" i="889"/>
  <c r="F26" i="889"/>
  <c r="E138" i="889"/>
  <c r="G176" i="889"/>
  <c r="J176" i="889"/>
  <c r="F176" i="889"/>
  <c r="J180" i="889"/>
  <c r="F180" i="889"/>
  <c r="J198" i="889"/>
  <c r="G198" i="889"/>
  <c r="F198" i="889"/>
  <c r="F18" i="890"/>
  <c r="J18" i="890"/>
  <c r="G18" i="890"/>
  <c r="E18" i="890"/>
  <c r="F20" i="890"/>
  <c r="E23" i="890"/>
  <c r="F23" i="890"/>
  <c r="F32" i="890"/>
  <c r="E45" i="886"/>
  <c r="E46" i="886"/>
  <c r="E47" i="886"/>
  <c r="E48" i="886"/>
  <c r="E49" i="886"/>
  <c r="E50" i="886"/>
  <c r="E51" i="886"/>
  <c r="E52" i="886"/>
  <c r="E53" i="886"/>
  <c r="E54" i="886"/>
  <c r="E55" i="886"/>
  <c r="E56" i="886"/>
  <c r="E57" i="886"/>
  <c r="E58" i="886"/>
  <c r="E59" i="886"/>
  <c r="E60" i="886"/>
  <c r="E61" i="886"/>
  <c r="E62" i="886"/>
  <c r="E63" i="886"/>
  <c r="E64" i="886"/>
  <c r="E65" i="886"/>
  <c r="E66" i="886"/>
  <c r="E67" i="886"/>
  <c r="E68" i="886"/>
  <c r="E69" i="886"/>
  <c r="E70" i="886"/>
  <c r="E193" i="886"/>
  <c r="E194" i="886"/>
  <c r="E195" i="886"/>
  <c r="E196" i="886"/>
  <c r="E197" i="886"/>
  <c r="E198" i="886"/>
  <c r="E199" i="886"/>
  <c r="E200" i="886"/>
  <c r="E201" i="886"/>
  <c r="E202" i="886"/>
  <c r="E203" i="886"/>
  <c r="H142" i="887"/>
  <c r="I143" i="887"/>
  <c r="E143" i="887"/>
  <c r="H144" i="887"/>
  <c r="I145" i="887"/>
  <c r="E145" i="887"/>
  <c r="H146" i="887"/>
  <c r="I147" i="887"/>
  <c r="E147" i="887"/>
  <c r="H148" i="887"/>
  <c r="I149" i="887"/>
  <c r="E149" i="887"/>
  <c r="H150" i="887"/>
  <c r="I151" i="887"/>
  <c r="E151" i="887"/>
  <c r="H152" i="887"/>
  <c r="I153" i="887"/>
  <c r="E153" i="887"/>
  <c r="H154" i="887"/>
  <c r="I155" i="887"/>
  <c r="E155" i="887"/>
  <c r="H156" i="887"/>
  <c r="I157" i="887"/>
  <c r="E157" i="887"/>
  <c r="H158" i="887"/>
  <c r="I159" i="887"/>
  <c r="E159" i="887"/>
  <c r="H160" i="887"/>
  <c r="E15" i="888"/>
  <c r="J17" i="888"/>
  <c r="G19" i="888"/>
  <c r="E19" i="888"/>
  <c r="J98" i="888"/>
  <c r="F98" i="888"/>
  <c r="H101" i="888"/>
  <c r="G101" i="888"/>
  <c r="J114" i="888"/>
  <c r="F114" i="888"/>
  <c r="H127" i="888"/>
  <c r="G127" i="888"/>
  <c r="H128" i="888"/>
  <c r="F128" i="888"/>
  <c r="J128" i="888"/>
  <c r="E128" i="888"/>
  <c r="G132" i="888"/>
  <c r="G145" i="888"/>
  <c r="F145" i="888"/>
  <c r="J149" i="888"/>
  <c r="G149" i="888"/>
  <c r="H159" i="888"/>
  <c r="H163" i="888"/>
  <c r="H169" i="888"/>
  <c r="J169" i="888"/>
  <c r="G171" i="888"/>
  <c r="F173" i="888"/>
  <c r="G17" i="889"/>
  <c r="J17" i="889"/>
  <c r="F17" i="889"/>
  <c r="J22" i="889"/>
  <c r="G22" i="889"/>
  <c r="F23" i="889"/>
  <c r="G25" i="889"/>
  <c r="J25" i="889"/>
  <c r="F25" i="889"/>
  <c r="F138" i="889"/>
  <c r="I140" i="889"/>
  <c r="E140" i="889"/>
  <c r="H140" i="889"/>
  <c r="G140" i="889"/>
  <c r="F142" i="889"/>
  <c r="I144" i="889"/>
  <c r="E144" i="889"/>
  <c r="H144" i="889"/>
  <c r="G144" i="889"/>
  <c r="F146" i="889"/>
  <c r="I148" i="889"/>
  <c r="E148" i="889"/>
  <c r="H148" i="889"/>
  <c r="G148" i="889"/>
  <c r="F150" i="889"/>
  <c r="I152" i="889"/>
  <c r="E152" i="889"/>
  <c r="H152" i="889"/>
  <c r="G152" i="889"/>
  <c r="F154" i="889"/>
  <c r="I156" i="889"/>
  <c r="E156" i="889"/>
  <c r="H156" i="889"/>
  <c r="G156" i="889"/>
  <c r="F158" i="889"/>
  <c r="I160" i="889"/>
  <c r="E160" i="889"/>
  <c r="H160" i="889"/>
  <c r="G160" i="889"/>
  <c r="F164" i="889"/>
  <c r="G164" i="889"/>
  <c r="G166" i="889"/>
  <c r="F166" i="889"/>
  <c r="J169" i="889"/>
  <c r="F169" i="889"/>
  <c r="H171" i="889"/>
  <c r="J171" i="889"/>
  <c r="F171" i="889"/>
  <c r="H182" i="889"/>
  <c r="J190" i="889"/>
  <c r="G190" i="889"/>
  <c r="F190" i="889"/>
  <c r="F192" i="889"/>
  <c r="J200" i="889"/>
  <c r="H200" i="889"/>
  <c r="G200" i="889"/>
  <c r="E14" i="890"/>
  <c r="F22" i="890"/>
  <c r="H22" i="890"/>
  <c r="J22" i="890"/>
  <c r="G22" i="890"/>
  <c r="E22" i="890"/>
  <c r="G25" i="890"/>
  <c r="H25" i="890"/>
  <c r="E31" i="890"/>
  <c r="F31" i="890"/>
  <c r="H31" i="890"/>
  <c r="J31" i="890"/>
  <c r="G31" i="890"/>
  <c r="G37" i="890"/>
  <c r="H37" i="890"/>
  <c r="H38" i="890"/>
  <c r="I161" i="889"/>
  <c r="E161" i="889"/>
  <c r="J28" i="890"/>
  <c r="G28" i="890"/>
  <c r="H28" i="890"/>
  <c r="G29" i="890"/>
  <c r="H29" i="890"/>
  <c r="J40" i="890"/>
  <c r="G40" i="890"/>
  <c r="H40" i="890"/>
  <c r="F40" i="890"/>
  <c r="F42" i="890"/>
  <c r="H42" i="890"/>
  <c r="J42" i="890"/>
  <c r="G42" i="890"/>
  <c r="E42" i="890"/>
  <c r="I45" i="890"/>
  <c r="E45" i="890"/>
  <c r="J45" i="890"/>
  <c r="H45" i="890"/>
  <c r="G45" i="890"/>
  <c r="I53" i="890"/>
  <c r="E53" i="890"/>
  <c r="H53" i="890"/>
  <c r="J53" i="890"/>
  <c r="G53" i="890"/>
  <c r="F53" i="890"/>
  <c r="I61" i="890"/>
  <c r="E61" i="890"/>
  <c r="H61" i="890"/>
  <c r="J61" i="890"/>
  <c r="G61" i="890"/>
  <c r="F61" i="890"/>
  <c r="I69" i="890"/>
  <c r="E69" i="890"/>
  <c r="H69" i="890"/>
  <c r="J69" i="890"/>
  <c r="G69" i="890"/>
  <c r="F69" i="890"/>
  <c r="I77" i="890"/>
  <c r="E77" i="890"/>
  <c r="H77" i="890"/>
  <c r="J77" i="890"/>
  <c r="G77" i="890"/>
  <c r="F77" i="890"/>
  <c r="I85" i="890"/>
  <c r="E85" i="890"/>
  <c r="H85" i="890"/>
  <c r="J85" i="890"/>
  <c r="G85" i="890"/>
  <c r="F85" i="890"/>
  <c r="I93" i="890"/>
  <c r="E93" i="890"/>
  <c r="H93" i="890"/>
  <c r="J93" i="890"/>
  <c r="G93" i="890"/>
  <c r="F93" i="890"/>
  <c r="I101" i="890"/>
  <c r="E101" i="890"/>
  <c r="H101" i="890"/>
  <c r="J101" i="890"/>
  <c r="G101" i="890"/>
  <c r="F101" i="890"/>
  <c r="I109" i="890"/>
  <c r="E109" i="890"/>
  <c r="H109" i="890"/>
  <c r="J109" i="890"/>
  <c r="G109" i="890"/>
  <c r="F109" i="890"/>
  <c r="I139" i="889"/>
  <c r="E139" i="889"/>
  <c r="I141" i="889"/>
  <c r="E141" i="889"/>
  <c r="I143" i="889"/>
  <c r="E143" i="889"/>
  <c r="I145" i="889"/>
  <c r="E145" i="889"/>
  <c r="I147" i="889"/>
  <c r="E147" i="889"/>
  <c r="I149" i="889"/>
  <c r="E149" i="889"/>
  <c r="I151" i="889"/>
  <c r="E151" i="889"/>
  <c r="I153" i="889"/>
  <c r="E153" i="889"/>
  <c r="I155" i="889"/>
  <c r="E155" i="889"/>
  <c r="I157" i="889"/>
  <c r="E157" i="889"/>
  <c r="I159" i="889"/>
  <c r="E159" i="889"/>
  <c r="F161" i="889"/>
  <c r="F188" i="889"/>
  <c r="F196" i="889"/>
  <c r="F19" i="890"/>
  <c r="J24" i="890"/>
  <c r="G24" i="890"/>
  <c r="H24" i="890"/>
  <c r="F26" i="890"/>
  <c r="F28" i="890"/>
  <c r="F30" i="890"/>
  <c r="F41" i="890"/>
  <c r="J138" i="890"/>
  <c r="E138" i="890"/>
  <c r="I138" i="890"/>
  <c r="H138" i="890"/>
  <c r="G138" i="890"/>
  <c r="F138" i="890"/>
  <c r="J36" i="890"/>
  <c r="G36" i="890"/>
  <c r="H36" i="890"/>
  <c r="F38" i="890"/>
  <c r="I46" i="890"/>
  <c r="E46" i="890"/>
  <c r="H46" i="890"/>
  <c r="I50" i="890"/>
  <c r="E50" i="890"/>
  <c r="H50" i="890"/>
  <c r="I54" i="890"/>
  <c r="E54" i="890"/>
  <c r="H54" i="890"/>
  <c r="I58" i="890"/>
  <c r="E58" i="890"/>
  <c r="H58" i="890"/>
  <c r="I62" i="890"/>
  <c r="E62" i="890"/>
  <c r="H62" i="890"/>
  <c r="I66" i="890"/>
  <c r="E66" i="890"/>
  <c r="H66" i="890"/>
  <c r="I70" i="890"/>
  <c r="E70" i="890"/>
  <c r="H70" i="890"/>
  <c r="I74" i="890"/>
  <c r="E74" i="890"/>
  <c r="H74" i="890"/>
  <c r="I78" i="890"/>
  <c r="E78" i="890"/>
  <c r="H78" i="890"/>
  <c r="I82" i="890"/>
  <c r="E82" i="890"/>
  <c r="H82" i="890"/>
  <c r="I86" i="890"/>
  <c r="E86" i="890"/>
  <c r="H86" i="890"/>
  <c r="I90" i="890"/>
  <c r="E90" i="890"/>
  <c r="H90" i="890"/>
  <c r="I94" i="890"/>
  <c r="E94" i="890"/>
  <c r="H94" i="890"/>
  <c r="I98" i="890"/>
  <c r="E98" i="890"/>
  <c r="H98" i="890"/>
  <c r="I102" i="890"/>
  <c r="E102" i="890"/>
  <c r="H102" i="890"/>
  <c r="I106" i="890"/>
  <c r="E106" i="890"/>
  <c r="H106" i="890"/>
  <c r="I110" i="890"/>
  <c r="E110" i="890"/>
  <c r="H110" i="890"/>
  <c r="J117" i="890"/>
  <c r="F117" i="890"/>
  <c r="H117" i="890"/>
  <c r="G117" i="890"/>
  <c r="F119" i="890"/>
  <c r="H119" i="890"/>
  <c r="J119" i="890"/>
  <c r="H147" i="890"/>
  <c r="E147" i="890"/>
  <c r="J147" i="890"/>
  <c r="I147" i="890"/>
  <c r="F147" i="890"/>
  <c r="H150" i="890"/>
  <c r="F150" i="890"/>
  <c r="J150" i="890"/>
  <c r="E150" i="890"/>
  <c r="I150" i="890"/>
  <c r="H155" i="890"/>
  <c r="F155" i="890"/>
  <c r="J155" i="890"/>
  <c r="E155" i="890"/>
  <c r="I155" i="890"/>
  <c r="G155" i="890"/>
  <c r="H158" i="890"/>
  <c r="F158" i="890"/>
  <c r="J158" i="890"/>
  <c r="E158" i="890"/>
  <c r="I158" i="890"/>
  <c r="J167" i="890"/>
  <c r="E167" i="890"/>
  <c r="H167" i="890"/>
  <c r="I167" i="890"/>
  <c r="G167" i="890"/>
  <c r="F36" i="890"/>
  <c r="I44" i="890"/>
  <c r="E44" i="890"/>
  <c r="F46" i="890"/>
  <c r="I47" i="890"/>
  <c r="E47" i="890"/>
  <c r="H47" i="890"/>
  <c r="F50" i="890"/>
  <c r="I51" i="890"/>
  <c r="E51" i="890"/>
  <c r="H51" i="890"/>
  <c r="F54" i="890"/>
  <c r="I55" i="890"/>
  <c r="E55" i="890"/>
  <c r="H55" i="890"/>
  <c r="F58" i="890"/>
  <c r="I59" i="890"/>
  <c r="E59" i="890"/>
  <c r="H59" i="890"/>
  <c r="F62" i="890"/>
  <c r="I63" i="890"/>
  <c r="E63" i="890"/>
  <c r="H63" i="890"/>
  <c r="F66" i="890"/>
  <c r="I67" i="890"/>
  <c r="E67" i="890"/>
  <c r="H67" i="890"/>
  <c r="F70" i="890"/>
  <c r="I71" i="890"/>
  <c r="E71" i="890"/>
  <c r="H71" i="890"/>
  <c r="F74" i="890"/>
  <c r="I75" i="890"/>
  <c r="E75" i="890"/>
  <c r="H75" i="890"/>
  <c r="F78" i="890"/>
  <c r="I79" i="890"/>
  <c r="E79" i="890"/>
  <c r="H79" i="890"/>
  <c r="F82" i="890"/>
  <c r="I83" i="890"/>
  <c r="E83" i="890"/>
  <c r="H83" i="890"/>
  <c r="F86" i="890"/>
  <c r="I87" i="890"/>
  <c r="E87" i="890"/>
  <c r="H87" i="890"/>
  <c r="F90" i="890"/>
  <c r="I91" i="890"/>
  <c r="E91" i="890"/>
  <c r="H91" i="890"/>
  <c r="F94" i="890"/>
  <c r="I95" i="890"/>
  <c r="E95" i="890"/>
  <c r="H95" i="890"/>
  <c r="F98" i="890"/>
  <c r="I99" i="890"/>
  <c r="E99" i="890"/>
  <c r="H99" i="890"/>
  <c r="F102" i="890"/>
  <c r="I103" i="890"/>
  <c r="E103" i="890"/>
  <c r="H103" i="890"/>
  <c r="F106" i="890"/>
  <c r="I107" i="890"/>
  <c r="E107" i="890"/>
  <c r="H107" i="890"/>
  <c r="F110" i="890"/>
  <c r="I111" i="890"/>
  <c r="E111" i="890"/>
  <c r="H111" i="890"/>
  <c r="H121" i="890"/>
  <c r="G121" i="890"/>
  <c r="F121" i="890"/>
  <c r="F123" i="890"/>
  <c r="H123" i="890"/>
  <c r="J123" i="890"/>
  <c r="H139" i="890"/>
  <c r="E139" i="890"/>
  <c r="J139" i="890"/>
  <c r="I139" i="890"/>
  <c r="F139" i="890"/>
  <c r="H144" i="890"/>
  <c r="F144" i="890"/>
  <c r="J173" i="890"/>
  <c r="E173" i="890"/>
  <c r="H173" i="890"/>
  <c r="I173" i="890"/>
  <c r="G173" i="890"/>
  <c r="F173" i="890"/>
  <c r="G46" i="890"/>
  <c r="I48" i="890"/>
  <c r="E48" i="890"/>
  <c r="H48" i="890"/>
  <c r="G50" i="890"/>
  <c r="I52" i="890"/>
  <c r="E52" i="890"/>
  <c r="H52" i="890"/>
  <c r="G54" i="890"/>
  <c r="I56" i="890"/>
  <c r="E56" i="890"/>
  <c r="H56" i="890"/>
  <c r="G58" i="890"/>
  <c r="I60" i="890"/>
  <c r="E60" i="890"/>
  <c r="H60" i="890"/>
  <c r="G62" i="890"/>
  <c r="I64" i="890"/>
  <c r="E64" i="890"/>
  <c r="H64" i="890"/>
  <c r="G66" i="890"/>
  <c r="I68" i="890"/>
  <c r="E68" i="890"/>
  <c r="H68" i="890"/>
  <c r="G70" i="890"/>
  <c r="I72" i="890"/>
  <c r="E72" i="890"/>
  <c r="H72" i="890"/>
  <c r="G74" i="890"/>
  <c r="I76" i="890"/>
  <c r="E76" i="890"/>
  <c r="H76" i="890"/>
  <c r="G78" i="890"/>
  <c r="I80" i="890"/>
  <c r="E80" i="890"/>
  <c r="H80" i="890"/>
  <c r="G82" i="890"/>
  <c r="I84" i="890"/>
  <c r="E84" i="890"/>
  <c r="H84" i="890"/>
  <c r="G86" i="890"/>
  <c r="I88" i="890"/>
  <c r="E88" i="890"/>
  <c r="H88" i="890"/>
  <c r="G90" i="890"/>
  <c r="I92" i="890"/>
  <c r="E92" i="890"/>
  <c r="H92" i="890"/>
  <c r="G94" i="890"/>
  <c r="I96" i="890"/>
  <c r="E96" i="890"/>
  <c r="H96" i="890"/>
  <c r="G98" i="890"/>
  <c r="I100" i="890"/>
  <c r="E100" i="890"/>
  <c r="H100" i="890"/>
  <c r="G102" i="890"/>
  <c r="I104" i="890"/>
  <c r="E104" i="890"/>
  <c r="H104" i="890"/>
  <c r="G106" i="890"/>
  <c r="I108" i="890"/>
  <c r="E108" i="890"/>
  <c r="H108" i="890"/>
  <c r="G110" i="890"/>
  <c r="J113" i="890"/>
  <c r="F113" i="890"/>
  <c r="H113" i="890"/>
  <c r="G113" i="890"/>
  <c r="E117" i="890"/>
  <c r="H120" i="890"/>
  <c r="F120" i="890"/>
  <c r="G141" i="890"/>
  <c r="F141" i="890"/>
  <c r="J146" i="890"/>
  <c r="E146" i="890"/>
  <c r="I146" i="890"/>
  <c r="H146" i="890"/>
  <c r="G146" i="890"/>
  <c r="H151" i="890"/>
  <c r="F151" i="890"/>
  <c r="J151" i="890"/>
  <c r="E151" i="890"/>
  <c r="I151" i="890"/>
  <c r="G151" i="890"/>
  <c r="H154" i="890"/>
  <c r="F154" i="890"/>
  <c r="J154" i="890"/>
  <c r="E154" i="890"/>
  <c r="I154" i="890"/>
  <c r="H159" i="890"/>
  <c r="F159" i="890"/>
  <c r="J159" i="890"/>
  <c r="E159" i="890"/>
  <c r="I159" i="890"/>
  <c r="G159" i="890"/>
  <c r="J175" i="890"/>
  <c r="E175" i="890"/>
  <c r="H175" i="890"/>
  <c r="I175" i="890"/>
  <c r="G175" i="890"/>
  <c r="H124" i="890"/>
  <c r="J127" i="890"/>
  <c r="F127" i="890"/>
  <c r="H140" i="890"/>
  <c r="F140" i="890"/>
  <c r="J142" i="890"/>
  <c r="E142" i="890"/>
  <c r="I142" i="890"/>
  <c r="H143" i="890"/>
  <c r="E143" i="890"/>
  <c r="J143" i="890"/>
  <c r="H149" i="890"/>
  <c r="F149" i="890"/>
  <c r="J149" i="890"/>
  <c r="E149" i="890"/>
  <c r="I149" i="890"/>
  <c r="H153" i="890"/>
  <c r="F153" i="890"/>
  <c r="J153" i="890"/>
  <c r="E153" i="890"/>
  <c r="I153" i="890"/>
  <c r="H157" i="890"/>
  <c r="F157" i="890"/>
  <c r="J157" i="890"/>
  <c r="E157" i="890"/>
  <c r="I157" i="890"/>
  <c r="H161" i="890"/>
  <c r="F161" i="890"/>
  <c r="J161" i="890"/>
  <c r="E161" i="890"/>
  <c r="I161" i="890"/>
  <c r="J169" i="890"/>
  <c r="E169" i="890"/>
  <c r="H169" i="890"/>
  <c r="I169" i="890"/>
  <c r="G169" i="890"/>
  <c r="J177" i="890"/>
  <c r="E177" i="890"/>
  <c r="H177" i="890"/>
  <c r="I177" i="890"/>
  <c r="G177" i="890"/>
  <c r="J112" i="890"/>
  <c r="F112" i="890"/>
  <c r="J114" i="890"/>
  <c r="F114" i="890"/>
  <c r="J116" i="890"/>
  <c r="F116" i="890"/>
  <c r="J118" i="890"/>
  <c r="F118" i="890"/>
  <c r="H122" i="890"/>
  <c r="F122" i="890"/>
  <c r="H133" i="890"/>
  <c r="I133" i="890"/>
  <c r="H134" i="890"/>
  <c r="F134" i="890"/>
  <c r="J134" i="890"/>
  <c r="E134" i="890"/>
  <c r="I137" i="890"/>
  <c r="G137" i="890"/>
  <c r="G145" i="890"/>
  <c r="F145" i="890"/>
  <c r="H148" i="890"/>
  <c r="F148" i="890"/>
  <c r="J148" i="890"/>
  <c r="E148" i="890"/>
  <c r="I148" i="890"/>
  <c r="H152" i="890"/>
  <c r="F152" i="890"/>
  <c r="J152" i="890"/>
  <c r="E152" i="890"/>
  <c r="I152" i="890"/>
  <c r="H156" i="890"/>
  <c r="F156" i="890"/>
  <c r="J156" i="890"/>
  <c r="E156" i="890"/>
  <c r="I156" i="890"/>
  <c r="H160" i="890"/>
  <c r="F160" i="890"/>
  <c r="J160" i="890"/>
  <c r="E160" i="890"/>
  <c r="I160" i="890"/>
  <c r="J163" i="890"/>
  <c r="E163" i="890"/>
  <c r="H163" i="890"/>
  <c r="I163" i="890"/>
  <c r="G163" i="890"/>
  <c r="J171" i="890"/>
  <c r="E171" i="890"/>
  <c r="H171" i="890"/>
  <c r="I171" i="890"/>
  <c r="G171" i="890"/>
  <c r="J179" i="890"/>
  <c r="E179" i="890"/>
  <c r="H179" i="890"/>
  <c r="I179" i="890"/>
  <c r="G179" i="890"/>
  <c r="F126" i="890"/>
  <c r="F130" i="890"/>
  <c r="E135" i="890"/>
  <c r="J162" i="890"/>
  <c r="E162" i="890"/>
  <c r="J164" i="890"/>
  <c r="E164" i="890"/>
  <c r="J166" i="890"/>
  <c r="E166" i="890"/>
  <c r="J168" i="890"/>
  <c r="E168" i="890"/>
  <c r="J170" i="890"/>
  <c r="E170" i="890"/>
  <c r="J172" i="890"/>
  <c r="E172" i="890"/>
  <c r="J174" i="890"/>
  <c r="E174" i="890"/>
  <c r="J176" i="890"/>
  <c r="E176" i="890"/>
  <c r="J178" i="890"/>
  <c r="E178" i="890"/>
  <c r="J180" i="890"/>
  <c r="E180" i="890"/>
  <c r="D5" i="41"/>
  <c r="D4" i="41"/>
  <c r="E182" i="890"/>
  <c r="E183" i="890"/>
  <c r="E184" i="890"/>
  <c r="E185" i="890"/>
  <c r="E186" i="890"/>
  <c r="E187" i="890"/>
  <c r="E188" i="890"/>
  <c r="E189" i="890"/>
  <c r="E190" i="890"/>
  <c r="E191" i="890"/>
  <c r="E192" i="890"/>
  <c r="E193" i="890"/>
  <c r="E194" i="890"/>
  <c r="E195" i="890"/>
  <c r="E196" i="890"/>
  <c r="E197" i="890"/>
  <c r="E198" i="890"/>
  <c r="E199" i="890"/>
  <c r="E200" i="890"/>
  <c r="E201" i="890"/>
  <c r="E202" i="890"/>
  <c r="E203" i="890"/>
  <c r="K4" i="885"/>
  <c r="K4" i="886"/>
  <c r="K4" i="883"/>
  <c r="K4" i="889"/>
  <c r="K4" i="888"/>
  <c r="K4" i="890"/>
  <c r="K4" i="884"/>
  <c r="M9" i="41"/>
  <c r="M14" i="41"/>
  <c r="M13" i="41"/>
  <c r="M15" i="41"/>
  <c r="M12" i="41"/>
  <c r="M11" i="41"/>
  <c r="M16" i="41"/>
  <c r="M10" i="41"/>
  <c r="K4" i="887"/>
  <c r="K7" i="890"/>
  <c r="K8" i="890" s="1"/>
  <c r="N7" i="890" s="1"/>
  <c r="V6" i="890"/>
  <c r="V6" i="883"/>
  <c r="K7" i="883"/>
  <c r="K8" i="883" s="1"/>
  <c r="N7" i="883" s="1"/>
  <c r="V6" i="889"/>
  <c r="K7" i="889"/>
  <c r="R7" i="889" s="1"/>
  <c r="K7" i="887"/>
  <c r="K8" i="887" s="1"/>
  <c r="N7" i="887" s="1"/>
  <c r="V6" i="887"/>
  <c r="K7" i="886"/>
  <c r="K8" i="886" s="1"/>
  <c r="N7" i="886" s="1"/>
  <c r="V6" i="886"/>
  <c r="K7" i="884"/>
  <c r="K8" i="884" s="1"/>
  <c r="N7" i="884" s="1"/>
  <c r="V6" i="884"/>
  <c r="V6" i="888"/>
  <c r="K7" i="888"/>
  <c r="K8" i="888" s="1"/>
  <c r="N7" i="888" s="1"/>
  <c r="V6" i="885"/>
  <c r="K7" i="885"/>
  <c r="K9" i="885" s="1"/>
  <c r="O7" i="885" s="1"/>
  <c r="R7" i="888"/>
  <c r="K9" i="890" l="1"/>
  <c r="O7" i="890" s="1"/>
  <c r="R7" i="890"/>
  <c r="R7" i="886"/>
  <c r="K9" i="886"/>
  <c r="O7" i="886" s="1"/>
  <c r="K9" i="884"/>
  <c r="O7" i="884" s="1"/>
  <c r="R7" i="887"/>
  <c r="R7" i="883"/>
  <c r="K9" i="887"/>
  <c r="O7" i="887" s="1"/>
  <c r="R7" i="885"/>
  <c r="K8" i="889"/>
  <c r="N7" i="889" s="1"/>
  <c r="K9" i="889"/>
  <c r="O7" i="889" s="1"/>
  <c r="K9" i="888"/>
  <c r="O7" i="888" s="1"/>
  <c r="R7" i="884"/>
  <c r="K8" i="885"/>
  <c r="N7" i="885" s="1"/>
  <c r="K9" i="883"/>
  <c r="O7" i="88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Hettie Bos</author>
    <author>pho</author>
  </authors>
  <commentList>
    <comment ref="N1" authorId="0" shapeId="0" xr:uid="{CE561095-1CF5-4D46-824D-3F8ABE69369E}">
      <text>
        <r>
          <rPr>
            <b/>
            <sz val="8"/>
            <color indexed="81"/>
            <rFont val="Tahoma"/>
            <family val="2"/>
          </rPr>
          <t>Hettie Bos:</t>
        </r>
        <r>
          <rPr>
            <sz val="8"/>
            <color indexed="81"/>
            <rFont val="Tahoma"/>
            <family val="2"/>
          </rPr>
          <t xml:space="preserve">
Logboek: Week 17 2010 tweede grafiek toegevoegd.</t>
        </r>
      </text>
    </comment>
    <comment ref="I14" authorId="1" shapeId="0" xr:uid="{A57A256C-4C6A-4129-87BB-1C66ED17C459}">
      <text>
        <r>
          <rPr>
            <b/>
            <sz val="8"/>
            <color indexed="81"/>
            <rFont val="Tahoma"/>
            <family val="2"/>
          </rPr>
          <t>Ook wel Onderkracht genoemd (voorkomt dat de vijzel los komt van proefstuk)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PHO</author>
  </authors>
  <commentList>
    <comment ref="C7" authorId="0" shapeId="0" xr:uid="{C49CBE30-875B-474D-A39E-6A48B9034658}">
      <text>
        <r>
          <rPr>
            <sz val="8"/>
            <color indexed="81"/>
            <rFont val="Tahoma"/>
            <family val="2"/>
          </rPr>
          <t xml:space="preserve">dit is de piek-peik waarde. Omdat het opgelegde signaal een haversinus is, moet daar mee gerekend worden.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pho</author>
  </authors>
  <commentList>
    <comment ref="B8" authorId="0" shapeId="0" xr:uid="{C77618B9-6E1F-42DC-AD32-99EE441E98A3}">
      <text>
        <r>
          <rPr>
            <sz val="8"/>
            <color indexed="81"/>
            <rFont val="Tahoma"/>
            <family val="2"/>
          </rPr>
          <t xml:space="preserve">is som van offset en piek-piek waarde van belasting. Deze kracht wordt ook wel bovenkracht genoemd.
</t>
        </r>
      </text>
    </comment>
    <comment ref="B9" authorId="0" shapeId="0" xr:uid="{407DE18C-8825-4E27-8B6D-895CD1FFB1A7}">
      <text>
        <r>
          <rPr>
            <b/>
            <sz val="8"/>
            <color indexed="81"/>
            <rFont val="Tahoma"/>
            <family val="2"/>
          </rPr>
          <t xml:space="preserve">is piek-piek waarde van cyclische belasting
</t>
        </r>
      </text>
    </comment>
    <comment ref="E9" authorId="0" shapeId="0" xr:uid="{03343599-066E-4901-834F-A071ECC9BAF0}">
      <text>
        <r>
          <rPr>
            <b/>
            <sz val="8"/>
            <color indexed="81"/>
            <rFont val="Tahoma"/>
            <family val="2"/>
          </rPr>
          <t>Ook wel Onderkracht genoemd (voorkomt dat de vijzel los komt van proefstuk)</t>
        </r>
      </text>
    </comment>
    <comment ref="L12" authorId="0" shapeId="0" xr:uid="{EAFA0129-9179-4DF0-9679-3CC99941BF1E}">
      <text>
        <r>
          <rPr>
            <b/>
            <sz val="8"/>
            <color indexed="81"/>
            <rFont val="Tahoma"/>
            <family val="2"/>
          </rPr>
          <t>In deze kolom staat de PeakPeakStro</t>
        </r>
      </text>
    </comment>
    <comment ref="M12" authorId="0" shapeId="0" xr:uid="{89E348CB-AFA5-4E2A-9E59-806BE598470A}">
      <text>
        <r>
          <rPr>
            <b/>
            <sz val="8"/>
            <color indexed="81"/>
            <rFont val="Tahoma"/>
            <family val="2"/>
          </rPr>
          <t>In deze kolom staat de MaximumStroke (soms aangeduid als Maximum54….)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2" authorId="0" shapeId="0" xr:uid="{CB4B64CB-6FA0-45F3-9CA2-38032CB10D07}">
      <text>
        <r>
          <rPr>
            <sz val="8"/>
            <color indexed="81"/>
            <rFont val="Tahoma"/>
            <family val="2"/>
          </rPr>
          <t xml:space="preserve">In deze kolom staat de PeakPeakLo
</t>
        </r>
      </text>
    </comment>
    <comment ref="O12" authorId="0" shapeId="0" xr:uid="{31B9817A-5FFE-4C1A-B5FA-65883C6A215B}">
      <text>
        <r>
          <rPr>
            <b/>
            <sz val="8"/>
            <color indexed="81"/>
            <rFont val="Tahoma"/>
            <family val="2"/>
          </rPr>
          <t>In deze kolom staat de MaximumLoad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2" authorId="0" shapeId="0" xr:uid="{C514F7AF-FE6A-4B5F-A5FF-009A47EAB874}">
      <text>
        <r>
          <rPr>
            <b/>
            <sz val="8"/>
            <color indexed="81"/>
            <rFont val="Tahoma"/>
            <family val="2"/>
          </rPr>
          <t xml:space="preserve">In deze kolom staat de InPhaseModul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2" authorId="0" shapeId="0" xr:uid="{1E5D7EDA-F798-4453-8E3A-E31496CD437F}">
      <text>
        <r>
          <rPr>
            <b/>
            <sz val="8"/>
            <color indexed="81"/>
            <rFont val="Tahoma"/>
            <family val="2"/>
          </rPr>
          <t>In deze kolom staat de OutPhaseModul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pho</author>
  </authors>
  <commentList>
    <comment ref="B8" authorId="0" shapeId="0" xr:uid="{3FB5A2D1-C6D8-4171-B43E-2C98AA926582}">
      <text>
        <r>
          <rPr>
            <sz val="8"/>
            <color indexed="81"/>
            <rFont val="Tahoma"/>
            <family val="2"/>
          </rPr>
          <t xml:space="preserve">is som van offset en piek-piek waarde van belasting. Deze kracht wordt ook wel bovenkracht genoemd.
</t>
        </r>
      </text>
    </comment>
    <comment ref="B9" authorId="0" shapeId="0" xr:uid="{960C0298-9361-435E-A89E-BB7F322EBE58}">
      <text>
        <r>
          <rPr>
            <b/>
            <sz val="8"/>
            <color indexed="81"/>
            <rFont val="Tahoma"/>
            <family val="2"/>
          </rPr>
          <t xml:space="preserve">is piek-piek waarde van cyclische belasting
</t>
        </r>
      </text>
    </comment>
    <comment ref="E9" authorId="0" shapeId="0" xr:uid="{6215D25A-0D2C-4A1C-9467-04AB885C0911}">
      <text>
        <r>
          <rPr>
            <b/>
            <sz val="8"/>
            <color indexed="81"/>
            <rFont val="Tahoma"/>
            <family val="2"/>
          </rPr>
          <t>Ook wel Onderkracht genoemd (voorkomt dat de vijzel los komt van proefstuk)</t>
        </r>
      </text>
    </comment>
    <comment ref="L12" authorId="0" shapeId="0" xr:uid="{0EE16EE3-099D-4C26-989C-822BB34E9895}">
      <text>
        <r>
          <rPr>
            <b/>
            <sz val="8"/>
            <color indexed="81"/>
            <rFont val="Tahoma"/>
            <family val="2"/>
          </rPr>
          <t>In deze kolom staat de PeakPeakStro</t>
        </r>
      </text>
    </comment>
    <comment ref="M12" authorId="0" shapeId="0" xr:uid="{D17A3FAA-D2A9-400D-A4F5-08F3625FD86B}">
      <text>
        <r>
          <rPr>
            <b/>
            <sz val="8"/>
            <color indexed="81"/>
            <rFont val="Tahoma"/>
            <family val="2"/>
          </rPr>
          <t>In deze kolom staat de MaximumStroke (soms aangeduid als Maximum54….)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2" authorId="0" shapeId="0" xr:uid="{3CCF6D44-1CA6-4A42-8D56-95662F195306}">
      <text>
        <r>
          <rPr>
            <sz val="8"/>
            <color indexed="81"/>
            <rFont val="Tahoma"/>
            <family val="2"/>
          </rPr>
          <t xml:space="preserve">In deze kolom staat de PeakPeakLo
</t>
        </r>
      </text>
    </comment>
    <comment ref="O12" authorId="0" shapeId="0" xr:uid="{281CD284-6B18-46EB-997B-AD5539329921}">
      <text>
        <r>
          <rPr>
            <b/>
            <sz val="8"/>
            <color indexed="81"/>
            <rFont val="Tahoma"/>
            <family val="2"/>
          </rPr>
          <t>In deze kolom staat de MaximumLoad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2" authorId="0" shapeId="0" xr:uid="{E1C81115-A28B-49FE-A1DE-7424079B93FF}">
      <text>
        <r>
          <rPr>
            <b/>
            <sz val="8"/>
            <color indexed="81"/>
            <rFont val="Tahoma"/>
            <family val="2"/>
          </rPr>
          <t xml:space="preserve">In deze kolom staat de InPhaseModul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2" authorId="0" shapeId="0" xr:uid="{A702D22D-7BA4-4BCD-BFE0-8283545E3971}">
      <text>
        <r>
          <rPr>
            <b/>
            <sz val="8"/>
            <color indexed="81"/>
            <rFont val="Tahoma"/>
            <family val="2"/>
          </rPr>
          <t>In deze kolom staat de OutPhaseModul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pho</author>
  </authors>
  <commentList>
    <comment ref="B8" authorId="0" shapeId="0" xr:uid="{3C2A1896-3D65-421E-ACC5-A9D481C82565}">
      <text>
        <r>
          <rPr>
            <sz val="8"/>
            <color indexed="81"/>
            <rFont val="Tahoma"/>
            <family val="2"/>
          </rPr>
          <t xml:space="preserve">is som van offset en piek-piek waarde van belasting. Deze kracht wordt ook wel bovenkracht genoemd.
</t>
        </r>
      </text>
    </comment>
    <comment ref="B9" authorId="0" shapeId="0" xr:uid="{E5459D24-78D7-4C16-A39C-60821B73432B}">
      <text>
        <r>
          <rPr>
            <b/>
            <sz val="8"/>
            <color indexed="81"/>
            <rFont val="Tahoma"/>
            <family val="2"/>
          </rPr>
          <t xml:space="preserve">is piek-piek waarde van cyclische belasting
</t>
        </r>
      </text>
    </comment>
    <comment ref="E9" authorId="0" shapeId="0" xr:uid="{D0851797-C019-4AD1-BA2C-9C7A132916BE}">
      <text>
        <r>
          <rPr>
            <b/>
            <sz val="8"/>
            <color indexed="81"/>
            <rFont val="Tahoma"/>
            <family val="2"/>
          </rPr>
          <t>Ook wel Onderkracht genoemd (voorkomt dat de vijzel los komt van proefstuk)</t>
        </r>
      </text>
    </comment>
    <comment ref="L12" authorId="0" shapeId="0" xr:uid="{2EBA0753-A854-4930-A896-390BE10FCB01}">
      <text>
        <r>
          <rPr>
            <b/>
            <sz val="8"/>
            <color indexed="81"/>
            <rFont val="Tahoma"/>
            <family val="2"/>
          </rPr>
          <t>In deze kolom staat de PeakPeakStro</t>
        </r>
      </text>
    </comment>
    <comment ref="M12" authorId="0" shapeId="0" xr:uid="{2F34548F-B74E-4EC7-893F-F8F62138D1B1}">
      <text>
        <r>
          <rPr>
            <b/>
            <sz val="8"/>
            <color indexed="81"/>
            <rFont val="Tahoma"/>
            <family val="2"/>
          </rPr>
          <t>In deze kolom staat de MaximumStroke (soms aangeduid als Maximum54….)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2" authorId="0" shapeId="0" xr:uid="{4C6D4455-B3B1-46B4-BC27-2B2C6A5347A0}">
      <text>
        <r>
          <rPr>
            <sz val="8"/>
            <color indexed="81"/>
            <rFont val="Tahoma"/>
            <family val="2"/>
          </rPr>
          <t xml:space="preserve">In deze kolom staat de PeakPeakLo
</t>
        </r>
      </text>
    </comment>
    <comment ref="O12" authorId="0" shapeId="0" xr:uid="{2D0107D7-35D7-4A4E-B15F-724B477C57F7}">
      <text>
        <r>
          <rPr>
            <b/>
            <sz val="8"/>
            <color indexed="81"/>
            <rFont val="Tahoma"/>
            <family val="2"/>
          </rPr>
          <t>In deze kolom staat de MaximumLoad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2" authorId="0" shapeId="0" xr:uid="{50542555-09B6-4DF5-BCFA-650603EBEE19}">
      <text>
        <r>
          <rPr>
            <b/>
            <sz val="8"/>
            <color indexed="81"/>
            <rFont val="Tahoma"/>
            <family val="2"/>
          </rPr>
          <t xml:space="preserve">In deze kolom staat de InPhaseModul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2" authorId="0" shapeId="0" xr:uid="{6904936E-9B9B-4E7C-BEBC-F03D82A7CD45}">
      <text>
        <r>
          <rPr>
            <b/>
            <sz val="8"/>
            <color indexed="81"/>
            <rFont val="Tahoma"/>
            <family val="2"/>
          </rPr>
          <t>In deze kolom staat de OutPhaseModul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pho</author>
  </authors>
  <commentList>
    <comment ref="B8" authorId="0" shapeId="0" xr:uid="{552112B2-F820-422F-9526-EC871184CB8B}">
      <text>
        <r>
          <rPr>
            <sz val="8"/>
            <color indexed="81"/>
            <rFont val="Tahoma"/>
            <family val="2"/>
          </rPr>
          <t xml:space="preserve">is som van offset en piek-piek waarde van belasting. Deze kracht wordt ook wel bovenkracht genoemd.
</t>
        </r>
      </text>
    </comment>
    <comment ref="B9" authorId="0" shapeId="0" xr:uid="{6EAF1C9B-C349-440F-95D5-2AEB1F50CFF2}">
      <text>
        <r>
          <rPr>
            <b/>
            <sz val="8"/>
            <color indexed="81"/>
            <rFont val="Tahoma"/>
            <family val="2"/>
          </rPr>
          <t xml:space="preserve">is piek-piek waarde van cyclische belasting
</t>
        </r>
      </text>
    </comment>
    <comment ref="E9" authorId="0" shapeId="0" xr:uid="{39D88436-F6AC-4B8B-9507-2266306FFA54}">
      <text>
        <r>
          <rPr>
            <b/>
            <sz val="8"/>
            <color indexed="81"/>
            <rFont val="Tahoma"/>
            <family val="2"/>
          </rPr>
          <t>Ook wel Onderkracht genoemd (voorkomt dat de vijzel los komt van proefstuk)</t>
        </r>
      </text>
    </comment>
    <comment ref="L12" authorId="0" shapeId="0" xr:uid="{E9BC52EC-A65D-4E63-A062-605080AD70EE}">
      <text>
        <r>
          <rPr>
            <b/>
            <sz val="8"/>
            <color indexed="81"/>
            <rFont val="Tahoma"/>
            <family val="2"/>
          </rPr>
          <t>In deze kolom staat de PeakPeakStro</t>
        </r>
      </text>
    </comment>
    <comment ref="M12" authorId="0" shapeId="0" xr:uid="{0F46AB33-694D-4517-849A-88C63735D708}">
      <text>
        <r>
          <rPr>
            <b/>
            <sz val="8"/>
            <color indexed="81"/>
            <rFont val="Tahoma"/>
            <family val="2"/>
          </rPr>
          <t>In deze kolom staat de MaximumStroke (soms aangeduid als Maximum54….)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2" authorId="0" shapeId="0" xr:uid="{8CA34F58-15ED-43C5-A5B5-EB02CEBBE010}">
      <text>
        <r>
          <rPr>
            <sz val="8"/>
            <color indexed="81"/>
            <rFont val="Tahoma"/>
            <family val="2"/>
          </rPr>
          <t xml:space="preserve">In deze kolom staat de PeakPeakLo
</t>
        </r>
      </text>
    </comment>
    <comment ref="O12" authorId="0" shapeId="0" xr:uid="{C3A77D29-8B78-4CC2-BF70-C65E5779666B}">
      <text>
        <r>
          <rPr>
            <b/>
            <sz val="8"/>
            <color indexed="81"/>
            <rFont val="Tahoma"/>
            <family val="2"/>
          </rPr>
          <t>In deze kolom staat de MaximumLoad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2" authorId="0" shapeId="0" xr:uid="{B984B9B5-D078-4C66-9DCA-06A8F2244440}">
      <text>
        <r>
          <rPr>
            <b/>
            <sz val="8"/>
            <color indexed="81"/>
            <rFont val="Tahoma"/>
            <family val="2"/>
          </rPr>
          <t xml:space="preserve">In deze kolom staat de InPhaseModul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2" authorId="0" shapeId="0" xr:uid="{1885DA32-2C21-4970-991F-835C5DF52F61}">
      <text>
        <r>
          <rPr>
            <b/>
            <sz val="8"/>
            <color indexed="81"/>
            <rFont val="Tahoma"/>
            <family val="2"/>
          </rPr>
          <t>In deze kolom staat de OutPhaseModul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pho</author>
  </authors>
  <commentList>
    <comment ref="B8" authorId="0" shapeId="0" xr:uid="{12C71448-225E-402D-80CE-7250D71DC02F}">
      <text>
        <r>
          <rPr>
            <sz val="8"/>
            <color indexed="81"/>
            <rFont val="Tahoma"/>
            <family val="2"/>
          </rPr>
          <t xml:space="preserve">is som van offset en piek-piek waarde van belasting. Deze kracht wordt ook wel bovenkracht genoemd.
</t>
        </r>
      </text>
    </comment>
    <comment ref="B9" authorId="0" shapeId="0" xr:uid="{866A3DF4-E95F-42C6-A8DF-A369BAE247D6}">
      <text>
        <r>
          <rPr>
            <b/>
            <sz val="8"/>
            <color indexed="81"/>
            <rFont val="Tahoma"/>
            <family val="2"/>
          </rPr>
          <t xml:space="preserve">is piek-piek waarde van cyclische belasting
</t>
        </r>
      </text>
    </comment>
    <comment ref="E9" authorId="0" shapeId="0" xr:uid="{901502AE-AFD0-44DE-977F-7410786C39B2}">
      <text>
        <r>
          <rPr>
            <b/>
            <sz val="8"/>
            <color indexed="81"/>
            <rFont val="Tahoma"/>
            <family val="2"/>
          </rPr>
          <t>Ook wel Onderkracht genoemd (voorkomt dat de vijzel los komt van proefstuk)</t>
        </r>
      </text>
    </comment>
    <comment ref="L12" authorId="0" shapeId="0" xr:uid="{8DBD67E1-3487-481D-8ADC-3E4166B5C894}">
      <text>
        <r>
          <rPr>
            <b/>
            <sz val="8"/>
            <color indexed="81"/>
            <rFont val="Tahoma"/>
            <family val="2"/>
          </rPr>
          <t>In deze kolom staat de PeakPeakStro</t>
        </r>
      </text>
    </comment>
    <comment ref="M12" authorId="0" shapeId="0" xr:uid="{DB3C3FD4-72EE-4713-8FC9-67C810C2B5EB}">
      <text>
        <r>
          <rPr>
            <b/>
            <sz val="8"/>
            <color indexed="81"/>
            <rFont val="Tahoma"/>
            <family val="2"/>
          </rPr>
          <t>In deze kolom staat de MaximumStroke (soms aangeduid als Maximum54….)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2" authorId="0" shapeId="0" xr:uid="{AE005B55-D4AA-47A5-9123-CEA42434E700}">
      <text>
        <r>
          <rPr>
            <sz val="8"/>
            <color indexed="81"/>
            <rFont val="Tahoma"/>
            <family val="2"/>
          </rPr>
          <t xml:space="preserve">In deze kolom staat de PeakPeakLo
</t>
        </r>
      </text>
    </comment>
    <comment ref="O12" authorId="0" shapeId="0" xr:uid="{36E0D2EE-E437-4DA6-BC23-AF082ADDC2CA}">
      <text>
        <r>
          <rPr>
            <b/>
            <sz val="8"/>
            <color indexed="81"/>
            <rFont val="Tahoma"/>
            <family val="2"/>
          </rPr>
          <t>In deze kolom staat de MaximumLoad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2" authorId="0" shapeId="0" xr:uid="{1CCED2CC-3597-41E6-8574-129A1EC75D65}">
      <text>
        <r>
          <rPr>
            <b/>
            <sz val="8"/>
            <color indexed="81"/>
            <rFont val="Tahoma"/>
            <family val="2"/>
          </rPr>
          <t xml:space="preserve">In deze kolom staat de InPhaseModul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2" authorId="0" shapeId="0" xr:uid="{711977FB-D233-494F-82F9-D25426DCD3CE}">
      <text>
        <r>
          <rPr>
            <b/>
            <sz val="8"/>
            <color indexed="81"/>
            <rFont val="Tahoma"/>
            <family val="2"/>
          </rPr>
          <t>In deze kolom staat de OutPhaseModul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pho</author>
  </authors>
  <commentList>
    <comment ref="B8" authorId="0" shapeId="0" xr:uid="{70CCF58B-223F-45F9-9D94-28374656CF00}">
      <text>
        <r>
          <rPr>
            <sz val="8"/>
            <color indexed="81"/>
            <rFont val="Tahoma"/>
            <family val="2"/>
          </rPr>
          <t xml:space="preserve">is som van offset en piek-piek waarde van belasting. Deze kracht wordt ook wel bovenkracht genoemd.
</t>
        </r>
      </text>
    </comment>
    <comment ref="B9" authorId="0" shapeId="0" xr:uid="{5153BEF8-F8D8-48E1-A4A2-ED0650227EFD}">
      <text>
        <r>
          <rPr>
            <b/>
            <sz val="8"/>
            <color indexed="81"/>
            <rFont val="Tahoma"/>
            <family val="2"/>
          </rPr>
          <t xml:space="preserve">is piek-piek waarde van cyclische belasting
</t>
        </r>
      </text>
    </comment>
    <comment ref="E9" authorId="0" shapeId="0" xr:uid="{A3D4ACB6-5732-4B62-879D-98D7CEFACC24}">
      <text>
        <r>
          <rPr>
            <b/>
            <sz val="8"/>
            <color indexed="81"/>
            <rFont val="Tahoma"/>
            <family val="2"/>
          </rPr>
          <t>Ook wel Onderkracht genoemd (voorkomt dat de vijzel los komt van proefstuk)</t>
        </r>
      </text>
    </comment>
    <comment ref="L12" authorId="0" shapeId="0" xr:uid="{2AB8BA24-3A02-4E0A-BE9C-51C6DBF258C8}">
      <text>
        <r>
          <rPr>
            <b/>
            <sz val="8"/>
            <color indexed="81"/>
            <rFont val="Tahoma"/>
            <family val="2"/>
          </rPr>
          <t>In deze kolom staat de PeakPeakStro</t>
        </r>
      </text>
    </comment>
    <comment ref="M12" authorId="0" shapeId="0" xr:uid="{90D11980-67E7-4601-929D-3910F27759CA}">
      <text>
        <r>
          <rPr>
            <b/>
            <sz val="8"/>
            <color indexed="81"/>
            <rFont val="Tahoma"/>
            <family val="2"/>
          </rPr>
          <t>In deze kolom staat de MaximumStroke (soms aangeduid als Maximum54….)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2" authorId="0" shapeId="0" xr:uid="{B50246E0-AFFD-4E2F-A696-85A4B36B28C5}">
      <text>
        <r>
          <rPr>
            <sz val="8"/>
            <color indexed="81"/>
            <rFont val="Tahoma"/>
            <family val="2"/>
          </rPr>
          <t xml:space="preserve">In deze kolom staat de PeakPeakLo
</t>
        </r>
      </text>
    </comment>
    <comment ref="O12" authorId="0" shapeId="0" xr:uid="{1AC44554-7465-4E78-B344-CA19D1BB33E3}">
      <text>
        <r>
          <rPr>
            <b/>
            <sz val="8"/>
            <color indexed="81"/>
            <rFont val="Tahoma"/>
            <family val="2"/>
          </rPr>
          <t>In deze kolom staat de MaximumLoad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2" authorId="0" shapeId="0" xr:uid="{402C84BA-785F-49B9-B53E-833803508D32}">
      <text>
        <r>
          <rPr>
            <b/>
            <sz val="8"/>
            <color indexed="81"/>
            <rFont val="Tahoma"/>
            <family val="2"/>
          </rPr>
          <t xml:space="preserve">In deze kolom staat de InPhaseModul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2" authorId="0" shapeId="0" xr:uid="{D019A97A-6F6A-45AD-BB07-2035F072A3FD}">
      <text>
        <r>
          <rPr>
            <b/>
            <sz val="8"/>
            <color indexed="81"/>
            <rFont val="Tahoma"/>
            <family val="2"/>
          </rPr>
          <t>In deze kolom staat de OutPhaseModul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pho</author>
  </authors>
  <commentList>
    <comment ref="B8" authorId="0" shapeId="0" xr:uid="{F713A19E-36AF-42EC-816C-05A5B5FE7FE4}">
      <text>
        <r>
          <rPr>
            <sz val="8"/>
            <color indexed="81"/>
            <rFont val="Tahoma"/>
            <family val="2"/>
          </rPr>
          <t xml:space="preserve">is som van offset en piek-piek waarde van belasting. Deze kracht wordt ook wel bovenkracht genoemd.
</t>
        </r>
      </text>
    </comment>
    <comment ref="B9" authorId="0" shapeId="0" xr:uid="{45230BC4-C83D-4676-AB64-DBEA96152B01}">
      <text>
        <r>
          <rPr>
            <b/>
            <sz val="8"/>
            <color indexed="81"/>
            <rFont val="Tahoma"/>
            <family val="2"/>
          </rPr>
          <t xml:space="preserve">is piek-piek waarde van cyclische belasting
</t>
        </r>
      </text>
    </comment>
    <comment ref="E9" authorId="0" shapeId="0" xr:uid="{C2940D1F-4E56-44FB-ABB9-4493B8F89B3C}">
      <text>
        <r>
          <rPr>
            <b/>
            <sz val="8"/>
            <color indexed="81"/>
            <rFont val="Tahoma"/>
            <family val="2"/>
          </rPr>
          <t>Ook wel Onderkracht genoemd (voorkomt dat de vijzel los komt van proefstuk)</t>
        </r>
      </text>
    </comment>
    <comment ref="L12" authorId="0" shapeId="0" xr:uid="{E3C9FC90-C335-4804-8535-30583019B361}">
      <text>
        <r>
          <rPr>
            <b/>
            <sz val="8"/>
            <color indexed="81"/>
            <rFont val="Tahoma"/>
            <family val="2"/>
          </rPr>
          <t>In deze kolom staat de PeakPeakStro</t>
        </r>
      </text>
    </comment>
    <comment ref="M12" authorId="0" shapeId="0" xr:uid="{873AF6A0-C55B-4817-89B7-9FCB7984E1A0}">
      <text>
        <r>
          <rPr>
            <b/>
            <sz val="8"/>
            <color indexed="81"/>
            <rFont val="Tahoma"/>
            <family val="2"/>
          </rPr>
          <t>In deze kolom staat de MaximumStroke (soms aangeduid als Maximum54….)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2" authorId="0" shapeId="0" xr:uid="{E61D151D-F1BD-4BE0-81E6-503B4DE0D85A}">
      <text>
        <r>
          <rPr>
            <sz val="8"/>
            <color indexed="81"/>
            <rFont val="Tahoma"/>
            <family val="2"/>
          </rPr>
          <t xml:space="preserve">In deze kolom staat de PeakPeakLo
</t>
        </r>
      </text>
    </comment>
    <comment ref="O12" authorId="0" shapeId="0" xr:uid="{7AECAD2B-216F-474C-B242-E86B3FBA2EC2}">
      <text>
        <r>
          <rPr>
            <b/>
            <sz val="8"/>
            <color indexed="81"/>
            <rFont val="Tahoma"/>
            <family val="2"/>
          </rPr>
          <t>In deze kolom staat de MaximumLoad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2" authorId="0" shapeId="0" xr:uid="{2E7C4C28-3F5D-4917-80ED-E949DADD11E9}">
      <text>
        <r>
          <rPr>
            <b/>
            <sz val="8"/>
            <color indexed="81"/>
            <rFont val="Tahoma"/>
            <family val="2"/>
          </rPr>
          <t xml:space="preserve">In deze kolom staat de InPhaseModul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2" authorId="0" shapeId="0" xr:uid="{930A1D21-AB54-4FDE-BC50-428ED55BD890}">
      <text>
        <r>
          <rPr>
            <b/>
            <sz val="8"/>
            <color indexed="81"/>
            <rFont val="Tahoma"/>
            <family val="2"/>
          </rPr>
          <t>In deze kolom staat de OutPhaseModul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pho</author>
  </authors>
  <commentList>
    <comment ref="B8" authorId="0" shapeId="0" xr:uid="{915C8427-F72C-408B-933E-1CCFCD0F1995}">
      <text>
        <r>
          <rPr>
            <sz val="8"/>
            <color indexed="81"/>
            <rFont val="Tahoma"/>
            <family val="2"/>
          </rPr>
          <t xml:space="preserve">is som van offset en piek-piek waarde van belasting. Deze kracht wordt ook wel bovenkracht genoemd.
</t>
        </r>
      </text>
    </comment>
    <comment ref="B9" authorId="0" shapeId="0" xr:uid="{04D95805-BD9E-4E76-B89F-6DE02D71E5B6}">
      <text>
        <r>
          <rPr>
            <b/>
            <sz val="8"/>
            <color indexed="81"/>
            <rFont val="Tahoma"/>
            <family val="2"/>
          </rPr>
          <t xml:space="preserve">is piek-piek waarde van cyclische belasting
</t>
        </r>
      </text>
    </comment>
    <comment ref="E9" authorId="0" shapeId="0" xr:uid="{07E18B6F-FA5A-4F40-B4AB-EDBFCADA9CAF}">
      <text>
        <r>
          <rPr>
            <b/>
            <sz val="8"/>
            <color indexed="81"/>
            <rFont val="Tahoma"/>
            <family val="2"/>
          </rPr>
          <t>Ook wel Onderkracht genoemd (voorkomt dat de vijzel los komt van proefstuk)</t>
        </r>
      </text>
    </comment>
    <comment ref="L12" authorId="0" shapeId="0" xr:uid="{E37A34D9-4782-4DBE-8F3D-E8B23F9A803F}">
      <text>
        <r>
          <rPr>
            <b/>
            <sz val="8"/>
            <color indexed="81"/>
            <rFont val="Tahoma"/>
            <family val="2"/>
          </rPr>
          <t>In deze kolom staat de PeakPeakStro</t>
        </r>
      </text>
    </comment>
    <comment ref="M12" authorId="0" shapeId="0" xr:uid="{F8D72E8A-D241-43D7-A621-179CD721417F}">
      <text>
        <r>
          <rPr>
            <b/>
            <sz val="8"/>
            <color indexed="81"/>
            <rFont val="Tahoma"/>
            <family val="2"/>
          </rPr>
          <t>In deze kolom staat de MaximumStroke (soms aangeduid als Maximum54….)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2" authorId="0" shapeId="0" xr:uid="{DE0CAAD3-46E6-4DB5-A1DC-87DEE0767730}">
      <text>
        <r>
          <rPr>
            <sz val="8"/>
            <color indexed="81"/>
            <rFont val="Tahoma"/>
            <family val="2"/>
          </rPr>
          <t xml:space="preserve">In deze kolom staat de PeakPeakLo
</t>
        </r>
      </text>
    </comment>
    <comment ref="O12" authorId="0" shapeId="0" xr:uid="{A349FAF9-2838-4E6C-8556-6CA3FD2016E9}">
      <text>
        <r>
          <rPr>
            <b/>
            <sz val="8"/>
            <color indexed="81"/>
            <rFont val="Tahoma"/>
            <family val="2"/>
          </rPr>
          <t>In deze kolom staat de MaximumLoad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2" authorId="0" shapeId="0" xr:uid="{9EE75B6E-785C-454F-BA9B-8127CBB037BD}">
      <text>
        <r>
          <rPr>
            <b/>
            <sz val="8"/>
            <color indexed="81"/>
            <rFont val="Tahoma"/>
            <family val="2"/>
          </rPr>
          <t xml:space="preserve">In deze kolom staat de InPhaseModul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2" authorId="0" shapeId="0" xr:uid="{D44D675A-471E-4FFF-9D3F-10EE65C1F1FC}">
      <text>
        <r>
          <rPr>
            <b/>
            <sz val="8"/>
            <color indexed="81"/>
            <rFont val="Tahoma"/>
            <family val="2"/>
          </rPr>
          <t>In deze kolom staat de OutPhaseModul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pho</author>
  </authors>
  <commentList>
    <comment ref="B8" authorId="0" shapeId="0" xr:uid="{29DF9BC9-84F6-416A-81C6-DEEA379BADCA}">
      <text>
        <r>
          <rPr>
            <sz val="8"/>
            <color indexed="81"/>
            <rFont val="Tahoma"/>
            <family val="2"/>
          </rPr>
          <t xml:space="preserve">is som van offset en piek-piek waarde van belasting. Deze kracht wordt ook wel bovenkracht genoemd.
</t>
        </r>
      </text>
    </comment>
    <comment ref="B9" authorId="0" shapeId="0" xr:uid="{55063AF7-C751-414C-8017-D0C2B8CC6E7B}">
      <text>
        <r>
          <rPr>
            <b/>
            <sz val="8"/>
            <color indexed="81"/>
            <rFont val="Tahoma"/>
            <family val="2"/>
          </rPr>
          <t xml:space="preserve">is piek-piek waarde van cyclische belasting
</t>
        </r>
      </text>
    </comment>
    <comment ref="E9" authorId="0" shapeId="0" xr:uid="{B1BA9AAF-B3B8-40CF-8603-E222A6CA7BC5}">
      <text>
        <r>
          <rPr>
            <b/>
            <sz val="8"/>
            <color indexed="81"/>
            <rFont val="Tahoma"/>
            <family val="2"/>
          </rPr>
          <t>Ook wel Onderkracht genoemd (voorkomt dat de vijzel los komt van proefstuk)</t>
        </r>
      </text>
    </comment>
    <comment ref="L12" authorId="0" shapeId="0" xr:uid="{7B2C62C8-8FCB-4EC2-A8C4-76E6B7E63FE4}">
      <text>
        <r>
          <rPr>
            <b/>
            <sz val="8"/>
            <color indexed="81"/>
            <rFont val="Tahoma"/>
            <family val="2"/>
          </rPr>
          <t>In deze kolom staat de PeakPeakStro</t>
        </r>
      </text>
    </comment>
    <comment ref="M12" authorId="0" shapeId="0" xr:uid="{F53B71D3-1233-4F6A-A347-B0BCEACD840A}">
      <text>
        <r>
          <rPr>
            <b/>
            <sz val="8"/>
            <color indexed="81"/>
            <rFont val="Tahoma"/>
            <family val="2"/>
          </rPr>
          <t>In deze kolom staat de MaximumStroke (soms aangeduid als Maximum54….)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2" authorId="0" shapeId="0" xr:uid="{898353FB-4E6F-40AB-BC07-1874D82C36BF}">
      <text>
        <r>
          <rPr>
            <sz val="8"/>
            <color indexed="81"/>
            <rFont val="Tahoma"/>
            <family val="2"/>
          </rPr>
          <t xml:space="preserve">In deze kolom staat de PeakPeakLo
</t>
        </r>
      </text>
    </comment>
    <comment ref="O12" authorId="0" shapeId="0" xr:uid="{167C8A76-7139-4964-80B4-7A58D47F5C60}">
      <text>
        <r>
          <rPr>
            <b/>
            <sz val="8"/>
            <color indexed="81"/>
            <rFont val="Tahoma"/>
            <family val="2"/>
          </rPr>
          <t>In deze kolom staat de MaximumLoad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2" authorId="0" shapeId="0" xr:uid="{BD6108CB-EADB-45A7-9C9C-903942A84819}">
      <text>
        <r>
          <rPr>
            <b/>
            <sz val="8"/>
            <color indexed="81"/>
            <rFont val="Tahoma"/>
            <family val="2"/>
          </rPr>
          <t xml:space="preserve">In deze kolom staat de InPhaseModul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2" authorId="0" shapeId="0" xr:uid="{439566E2-19BE-4FED-980C-0436984CD013}">
      <text>
        <r>
          <rPr>
            <b/>
            <sz val="8"/>
            <color indexed="81"/>
            <rFont val="Tahoma"/>
            <family val="2"/>
          </rPr>
          <t>In deze kolom staat de OutPhaseModul</t>
        </r>
      </text>
    </comment>
  </commentList>
</comments>
</file>

<file path=xl/sharedStrings.xml><?xml version="1.0" encoding="utf-8"?>
<sst xmlns="http://schemas.openxmlformats.org/spreadsheetml/2006/main" count="991" uniqueCount="151">
  <si>
    <t>E*</t>
  </si>
  <si>
    <t>[MPa]</t>
  </si>
  <si>
    <t>fase-hoek</t>
  </si>
  <si>
    <t>[°]</t>
  </si>
  <si>
    <r>
      <t>[</t>
    </r>
    <r>
      <rPr>
        <sz val="10"/>
        <rFont val="Symbol"/>
        <family val="1"/>
        <charset val="2"/>
      </rPr>
      <t>m</t>
    </r>
    <r>
      <rPr>
        <sz val="10"/>
        <rFont val="Arial"/>
      </rPr>
      <t>m/m]</t>
    </r>
  </si>
  <si>
    <t>b [mm]</t>
  </si>
  <si>
    <t>h [mm]</t>
  </si>
  <si>
    <t>Z [1/m]</t>
  </si>
  <si>
    <t>M [kg]</t>
  </si>
  <si>
    <t>N</t>
  </si>
  <si>
    <t>[-]</t>
  </si>
  <si>
    <t>Aantal [-]</t>
  </si>
  <si>
    <t>Code</t>
  </si>
  <si>
    <t>Capture list</t>
  </si>
  <si>
    <t>Freq. [Hz]</t>
  </si>
  <si>
    <t>Experimentele gegevens</t>
  </si>
  <si>
    <t>Resultaat</t>
  </si>
  <si>
    <t>Data uit experiment</t>
  </si>
  <si>
    <r>
      <t>E</t>
    </r>
    <r>
      <rPr>
        <vertAlign val="subscript"/>
        <sz val="10"/>
        <rFont val="Arial"/>
        <family val="2"/>
      </rPr>
      <t>ini</t>
    </r>
    <r>
      <rPr>
        <sz val="10"/>
        <rFont val="Arial"/>
      </rPr>
      <t xml:space="preserve"> [MPa]</t>
    </r>
  </si>
  <si>
    <r>
      <t>N</t>
    </r>
    <r>
      <rPr>
        <vertAlign val="subscript"/>
        <sz val="10"/>
        <rFont val="Arial"/>
        <family val="2"/>
      </rPr>
      <t>fat</t>
    </r>
    <r>
      <rPr>
        <sz val="10"/>
        <rFont val="Arial"/>
      </rPr>
      <t xml:space="preserve"> [-]</t>
    </r>
  </si>
  <si>
    <t>Resultaten</t>
  </si>
  <si>
    <t>OutPhase</t>
  </si>
  <si>
    <t>Proefstuk</t>
  </si>
  <si>
    <t>Hulpgegevens</t>
  </si>
  <si>
    <t>InPhase</t>
  </si>
  <si>
    <t>Buitenklem [mm]</t>
  </si>
  <si>
    <t>Binnenklem [mm]</t>
  </si>
  <si>
    <t>m [g]</t>
  </si>
  <si>
    <t>Meebewegende massa [g]</t>
  </si>
  <si>
    <r>
      <t>E</t>
    </r>
    <r>
      <rPr>
        <vertAlign val="subscript"/>
        <sz val="10"/>
        <rFont val="Arial"/>
        <family val="2"/>
      </rPr>
      <t>ini</t>
    </r>
  </si>
  <si>
    <r>
      <t>N</t>
    </r>
    <r>
      <rPr>
        <vertAlign val="subscript"/>
        <sz val="10"/>
        <rFont val="Arial"/>
        <family val="2"/>
      </rPr>
      <t>fat</t>
    </r>
  </si>
  <si>
    <t>Eindresultaat</t>
  </si>
  <si>
    <t>Hulp informatie</t>
  </si>
  <si>
    <r>
      <t>Log N</t>
    </r>
    <r>
      <rPr>
        <vertAlign val="subscript"/>
        <sz val="10"/>
        <rFont val="Arial"/>
        <family val="2"/>
      </rPr>
      <t>fat</t>
    </r>
  </si>
  <si>
    <t>Verzamelstaat Resultaten</t>
  </si>
  <si>
    <t>Temperatuur [°C]</t>
  </si>
  <si>
    <r>
      <t>e</t>
    </r>
    <r>
      <rPr>
        <vertAlign val="subscript"/>
        <sz val="10"/>
        <rFont val="Arial"/>
        <family val="2"/>
      </rPr>
      <t>perm.</t>
    </r>
  </si>
  <si>
    <r>
      <t>s</t>
    </r>
    <r>
      <rPr>
        <vertAlign val="subscript"/>
        <sz val="10"/>
        <rFont val="Arial"/>
        <family val="2"/>
      </rPr>
      <t>perm.</t>
    </r>
  </si>
  <si>
    <t>p-p stroke</t>
  </si>
  <si>
    <t>p-p load</t>
  </si>
  <si>
    <t>[mm]</t>
  </si>
  <si>
    <t>[kN]</t>
  </si>
  <si>
    <t>[kN/mm]</t>
  </si>
  <si>
    <t>Max load</t>
  </si>
  <si>
    <t>Fase [°]</t>
  </si>
  <si>
    <t>Fase hoek</t>
  </si>
  <si>
    <t>ini [°]</t>
  </si>
  <si>
    <t>Fasehoek</t>
  </si>
  <si>
    <t xml:space="preserve"> [MPa]</t>
  </si>
  <si>
    <r>
      <t>σ</t>
    </r>
    <r>
      <rPr>
        <vertAlign val="subscript"/>
        <sz val="10"/>
        <rFont val="Arial"/>
        <family val="2"/>
      </rPr>
      <t xml:space="preserve">cycl </t>
    </r>
    <r>
      <rPr>
        <sz val="10"/>
        <rFont val="Arial"/>
        <family val="2"/>
      </rPr>
      <t>[MPa]</t>
    </r>
  </si>
  <si>
    <r>
      <t>σ</t>
    </r>
    <r>
      <rPr>
        <vertAlign val="subscript"/>
        <sz val="10"/>
        <rFont val="Arial"/>
        <family val="2"/>
      </rPr>
      <t xml:space="preserve">bov </t>
    </r>
    <r>
      <rPr>
        <sz val="10"/>
        <rFont val="Arial"/>
        <family val="2"/>
      </rPr>
      <t>[MPa]</t>
    </r>
  </si>
  <si>
    <t>kracht [N]</t>
  </si>
  <si>
    <r>
      <t>σ</t>
    </r>
    <r>
      <rPr>
        <vertAlign val="subscript"/>
        <sz val="10"/>
        <rFont val="Arial"/>
        <family val="2"/>
      </rPr>
      <t xml:space="preserve">perm </t>
    </r>
    <r>
      <rPr>
        <sz val="10"/>
        <rFont val="Arial"/>
        <family val="2"/>
      </rPr>
      <t>[MPa]</t>
    </r>
  </si>
  <si>
    <r>
      <t>σ</t>
    </r>
    <r>
      <rPr>
        <vertAlign val="subscript"/>
        <sz val="10"/>
        <rFont val="Arial"/>
        <family val="2"/>
      </rPr>
      <t xml:space="preserve">perm </t>
    </r>
  </si>
  <si>
    <r>
      <t>σ</t>
    </r>
    <r>
      <rPr>
        <vertAlign val="subscript"/>
        <sz val="10"/>
        <rFont val="Arial"/>
        <family val="2"/>
      </rPr>
      <t>cycl. (p-p)</t>
    </r>
  </si>
  <si>
    <t>Offset kracht [N]</t>
  </si>
  <si>
    <r>
      <t>Log σ</t>
    </r>
    <r>
      <rPr>
        <vertAlign val="subscript"/>
        <sz val="10"/>
        <rFont val="Arial"/>
        <family val="2"/>
      </rPr>
      <t>cycl</t>
    </r>
  </si>
  <si>
    <t>grafiek</t>
  </si>
  <si>
    <r>
      <t>N</t>
    </r>
    <r>
      <rPr>
        <vertAlign val="subscript"/>
        <sz val="10"/>
        <rFont val="Arial"/>
        <family val="2"/>
      </rPr>
      <t>fat, calc</t>
    </r>
  </si>
  <si>
    <t>Pad:</t>
  </si>
  <si>
    <t>Naam</t>
  </si>
  <si>
    <t>Breedte</t>
  </si>
  <si>
    <t>Hoogte</t>
  </si>
  <si>
    <t>Massa</t>
  </si>
  <si>
    <t>Kracht</t>
  </si>
  <si>
    <t>[g]</t>
  </si>
  <si>
    <t>[N]</t>
  </si>
  <si>
    <t>Analyse van vermoeiingsonderzoek in 3 pb, krachtgestuurd.</t>
  </si>
  <si>
    <t>Op te halen files met data</t>
  </si>
  <si>
    <t xml:space="preserve">a:  </t>
  </si>
  <si>
    <r>
      <t xml:space="preserve">Vermoeiingslijn N = k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cycl</t>
    </r>
    <r>
      <rPr>
        <vertAlign val="superscript"/>
        <sz val="10"/>
        <rFont val="Arial"/>
        <family val="2"/>
      </rPr>
      <t xml:space="preserve"> a</t>
    </r>
  </si>
  <si>
    <t xml:space="preserve">k:  </t>
  </si>
  <si>
    <t>Levensduur</t>
  </si>
  <si>
    <t>(Lichtblauwe velden invullen)</t>
  </si>
  <si>
    <t>van de halve beginstijfheid niet direct toepasbaar.</t>
  </si>
  <si>
    <t>Daarom, indien mogelijk, expliciet levensduur invullen.</t>
  </si>
  <si>
    <t>Omdat einde levensduur vrij abrupt bereikt wordt is het criterium</t>
  </si>
  <si>
    <t>N.B. De kolommen Kracht en Levensduur hoeven niet ingevuld te</t>
  </si>
  <si>
    <t>worden. De kracht wordt in de analyse alleen gebruikt om vast te stellen of de</t>
  </si>
  <si>
    <t>1A</t>
  </si>
  <si>
    <r>
      <t>e</t>
    </r>
    <r>
      <rPr>
        <vertAlign val="subscript"/>
        <sz val="10"/>
        <rFont val="Arial"/>
        <family val="2"/>
      </rPr>
      <t>cycl. pp</t>
    </r>
  </si>
  <si>
    <r>
      <t>s</t>
    </r>
    <r>
      <rPr>
        <vertAlign val="subscript"/>
        <sz val="10"/>
        <rFont val="Arial"/>
        <family val="2"/>
      </rPr>
      <t>max</t>
    </r>
  </si>
  <si>
    <t>&gt;&gt;</t>
  </si>
  <si>
    <t>versie 1.2 juli 2009</t>
  </si>
  <si>
    <t>T E S T   I N F O R M A T I O N</t>
  </si>
  <si>
    <t>-------------------------------</t>
  </si>
  <si>
    <t>Actuator Number</t>
  </si>
  <si>
    <t>Step</t>
  </si>
  <si>
    <t>Capture Number</t>
  </si>
  <si>
    <t>Maximum Stroke</t>
  </si>
  <si>
    <t>Minimum Stroke</t>
  </si>
  <si>
    <t>Peak To Peak Stroke</t>
  </si>
  <si>
    <t xml:space="preserve">In Phase Modulus </t>
  </si>
  <si>
    <t xml:space="preserve">Out Phase Modulus </t>
  </si>
  <si>
    <t>Delta (DFT)</t>
  </si>
  <si>
    <t>Tan Delta (DFT)</t>
  </si>
  <si>
    <t xml:space="preserve">Resolved Stiffness </t>
  </si>
  <si>
    <t xml:space="preserve">Dynamic Stiffness </t>
  </si>
  <si>
    <t xml:space="preserve">Energy Loss (Loop Area) </t>
  </si>
  <si>
    <t xml:space="preserve">Delta (Loop Area) </t>
  </si>
  <si>
    <t xml:space="preserve">Tan Delta (Loop Area) </t>
  </si>
  <si>
    <t xml:space="preserve">Frequency </t>
  </si>
  <si>
    <t xml:space="preserve">Compensation Phase Angle </t>
  </si>
  <si>
    <t>Number of Points</t>
  </si>
  <si>
    <t>mm</t>
  </si>
  <si>
    <t>kN</t>
  </si>
  <si>
    <t>kN/mm</t>
  </si>
  <si>
    <t>Degree</t>
  </si>
  <si>
    <t>kNmm</t>
  </si>
  <si>
    <t>Hz</t>
  </si>
  <si>
    <t>gerealiseerd is wat de bedoeling was (de kracht wordt immers ook gemeten).</t>
  </si>
  <si>
    <t>Tijdens het draaien van het programma kunt u de levensduur</t>
  </si>
  <si>
    <t>interactief opgeven.</t>
  </si>
  <si>
    <t>Maximum Load</t>
  </si>
  <si>
    <t>Peak To Peak Load</t>
  </si>
  <si>
    <t>Date of Test:    dinsdag december 17 2019</t>
  </si>
  <si>
    <t>5V</t>
  </si>
  <si>
    <t>6V</t>
  </si>
  <si>
    <t>O:\PROJECT\2019\1900384 VGD-metingen proefvakken POV-Wadden\03 AVE V19.1631\meetdata\250 mm\1-8\Vermoei\</t>
  </si>
  <si>
    <t>Script Filename: C:\Documents and Settings\dartec\Bureaublad\Script Waterbouwasfalt\3 PB vermoei waterbouw100000 LH -50N-700N .SCD</t>
  </si>
  <si>
    <t>Data Filename:   C:\Documents and Settings\dartec\Bureaublad\V191631\Vermoei\5V</t>
  </si>
  <si>
    <t>Time of Test:    16:48:27</t>
  </si>
  <si>
    <t>Script Filename: C:\Documents and Settings\dartec\Bureaublad\ACT2 Script\!Standaard proeven\Waterbouw\NPC_3PB_vermoei waterbouw 100000 LH(50N-950N)V2.SCD</t>
  </si>
  <si>
    <t>Data Filename:   C:\Documents and Settings\dartec\Bureaublad\V191631\Vermoei\6VH</t>
  </si>
  <si>
    <t>Time of Test:    16:58:39</t>
  </si>
  <si>
    <t>Script Filename: C:\Documents and Settings\dartec\Bureaublad\ACT2 Script\!Standaard proeven\Waterbouw\NPC_3PB_vermoei waterbouw 100000 LH(50N-520N)V2.SCD</t>
  </si>
  <si>
    <t>Data Filename:   C:\Documents and Settings\dartec\Bureaublad\V191631\Vermoei\1VH</t>
  </si>
  <si>
    <t>Date of Test:    woensdag december 18 2019</t>
  </si>
  <si>
    <t>Time of Test:    09:52:04</t>
  </si>
  <si>
    <t>1V</t>
  </si>
  <si>
    <t>3V</t>
  </si>
  <si>
    <t>7V</t>
  </si>
  <si>
    <t>Script Filename: C:\Documents and Settings\dartec\Bureaublad\ACT1 Script\!Standaard proeven\Waterbouw\3 PB vermoei waterbouw100000 LH -50N-1450N .SCD</t>
  </si>
  <si>
    <t>Data Filename:   C:\Documents and Settings\dartec\Bureaublad\V191631\Vermoei\3V</t>
  </si>
  <si>
    <t>Date of Test:    donderdag december 19 2019</t>
  </si>
  <si>
    <t>Time of Test:    09:31:19</t>
  </si>
  <si>
    <t>Script Filename: C:\Documents and Settings\dartec\Bureaublad\ACT2 Script\!Standaard proeven\Waterbouw\NPC_3PB_vermoei waterbouw 100000 LH(50N-1350N)V2.SCD</t>
  </si>
  <si>
    <t>Data Filename:   C:\Documents and Settings\dartec\Bureaublad\V191631\Vermoei\7V</t>
  </si>
  <si>
    <t>Time of Test:    09:31:22</t>
  </si>
  <si>
    <t>4V</t>
  </si>
  <si>
    <t>8V</t>
  </si>
  <si>
    <t>Script Filename: C:\Documents and Settings\dartec\Bureaublad\ACT1 Script\!Standaard proeven\Waterbouw\3 PB vermoei waterbouw100000 LH -50N-1850N .SCD</t>
  </si>
  <si>
    <t>Data Filename:   C:\Documents and Settings\dartec\Bureaublad\V191631\Vermoei\4V</t>
  </si>
  <si>
    <t>Time of Test:    12:13:59</t>
  </si>
  <si>
    <t>Script Filename: C:\Documents and Settings\dartec\Bureaublad\ACT2 Script\!Standaard proeven\Waterbouw\NPC_3PB_vermoei waterbouw 100000 LH(50N-1850N)V2.SCD</t>
  </si>
  <si>
    <t>Data Filename:   C:\Documents and Settings\dartec\Bureaublad\V191631\Vermoei\8V</t>
  </si>
  <si>
    <t>Time of Test:    12:14:02</t>
  </si>
  <si>
    <t>2V</t>
  </si>
  <si>
    <t>Script Filename: C:\Documents and Settings\dartec\Bureaublad\ACT2 Script\!Standaard proeven\Waterbouw\NPC_3PB_vermoei waterbouw 100000 LH(50N-1660N)V2.SCD</t>
  </si>
  <si>
    <t>Data Filename:   C:\Documents and Settings\dartec\Bureaublad\V191631\Vermoei\2V</t>
  </si>
  <si>
    <t>Time of Test:    14:22:03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</si>
</sst>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9" formatCode="_(* #,##0.00_);_(* \(#,##0.00\);_(* &quot;-&quot;??_);_(@_)"/>
    <numFmt numFmtId="192" formatCode="0.0"/>
    <numFmt numFmtId="198" formatCode="0.000"/>
  </numFmts>
  <fonts count="15" x14ac:knownFonts="1">
    <font>
      <sz val="10"/>
      <name val="Arial"/>
    </font>
    <font>
      <sz val="10"/>
      <name val="Arial"/>
    </font>
    <font>
      <sz val="10"/>
      <name val="Symbol"/>
      <family val="1"/>
      <charset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sz val="11"/>
      <name val="Symbol"/>
      <family val="1"/>
      <charset val="2"/>
    </font>
    <font>
      <vertAlign val="superscript"/>
      <sz val="10"/>
      <name val="Arial"/>
      <family val="2"/>
    </font>
    <font>
      <sz val="11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.75"/>
      <color indexed="8"/>
      <name val="Arial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</fills>
  <borders count="41">
    <border>
      <left/>
      <right/>
      <top/>
      <bottom/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ashed">
        <color indexed="64"/>
      </right>
      <top style="double">
        <color indexed="64"/>
      </top>
      <bottom/>
      <diagonal/>
    </border>
    <border>
      <left style="dashed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ashed">
        <color indexed="64"/>
      </right>
      <top/>
      <bottom/>
      <diagonal/>
    </border>
    <border>
      <left style="double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ouble">
        <color indexed="64"/>
      </bottom>
      <diagonal/>
    </border>
    <border>
      <left style="dashDot">
        <color indexed="64"/>
      </left>
      <right style="dashDot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ashDot">
        <color indexed="64"/>
      </left>
      <right style="dashDot">
        <color indexed="64"/>
      </right>
      <top/>
      <bottom style="double">
        <color indexed="64"/>
      </bottom>
      <diagonal/>
    </border>
    <border>
      <left style="dashDot">
        <color indexed="64"/>
      </left>
      <right style="dashDot">
        <color indexed="64"/>
      </right>
      <top style="double">
        <color indexed="64"/>
      </top>
      <bottom/>
      <diagonal/>
    </border>
    <border>
      <left style="double">
        <color indexed="64"/>
      </left>
      <right style="dashDot">
        <color indexed="64"/>
      </right>
      <top style="double">
        <color indexed="64"/>
      </top>
      <bottom/>
      <diagonal/>
    </border>
    <border>
      <left style="double">
        <color indexed="64"/>
      </left>
      <right style="dashDot">
        <color indexed="64"/>
      </right>
      <top/>
      <bottom/>
      <diagonal/>
    </border>
    <border>
      <left style="dashDot">
        <color indexed="64"/>
      </left>
      <right style="double">
        <color indexed="64"/>
      </right>
      <top style="double">
        <color indexed="64"/>
      </top>
      <bottom/>
      <diagonal/>
    </border>
    <border>
      <left style="dashDot">
        <color indexed="64"/>
      </left>
      <right style="double">
        <color indexed="64"/>
      </right>
      <top/>
      <bottom/>
      <diagonal/>
    </border>
    <border>
      <left style="dashDot">
        <color indexed="64"/>
      </left>
      <right style="double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ashDot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ashed">
        <color indexed="64"/>
      </left>
      <right/>
      <top style="double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ashDot">
        <color indexed="64"/>
      </left>
      <right/>
      <top style="double">
        <color indexed="64"/>
      </top>
      <bottom/>
      <diagonal/>
    </border>
    <border>
      <left style="dashDot">
        <color indexed="64"/>
      </left>
      <right/>
      <top/>
      <bottom style="double">
        <color indexed="64"/>
      </bottom>
      <diagonal/>
    </border>
    <border>
      <left style="dashDot">
        <color indexed="64"/>
      </left>
      <right/>
      <top/>
      <bottom/>
      <diagonal/>
    </border>
    <border>
      <left style="dashDot">
        <color indexed="64"/>
      </left>
      <right style="dashDotDot">
        <color indexed="64"/>
      </right>
      <top/>
      <bottom/>
      <diagonal/>
    </border>
    <border>
      <left/>
      <right style="dashDotDot">
        <color indexed="64"/>
      </right>
      <top/>
      <bottom/>
      <diagonal/>
    </border>
    <border>
      <left/>
      <right style="dashDot">
        <color indexed="64"/>
      </right>
      <top/>
      <bottom/>
      <diagonal/>
    </border>
    <border>
      <left style="dashDotDot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179" fontId="1" fillId="0" borderId="0" applyFont="0" applyFill="0" applyBorder="0" applyAlignment="0" applyProtection="0"/>
  </cellStyleXfs>
  <cellXfs count="16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left"/>
    </xf>
    <xf numFmtId="0" fontId="0" fillId="0" borderId="2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3" xfId="0" applyFill="1" applyBorder="1"/>
    <xf numFmtId="0" fontId="0" fillId="2" borderId="1" xfId="0" applyFill="1" applyBorder="1"/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1" fontId="0" fillId="2" borderId="16" xfId="0" applyNumberForma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0" xfId="0" applyFill="1" applyBorder="1"/>
    <xf numFmtId="2" fontId="0" fillId="2" borderId="17" xfId="0" applyNumberForma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192" fontId="0" fillId="3" borderId="16" xfId="0" applyNumberFormat="1" applyFill="1" applyBorder="1" applyAlignment="1" applyProtection="1">
      <alignment horizontal="center"/>
      <protection locked="0"/>
    </xf>
    <xf numFmtId="0" fontId="0" fillId="3" borderId="16" xfId="0" applyFill="1" applyBorder="1" applyAlignment="1" applyProtection="1">
      <alignment horizontal="center"/>
      <protection locked="0"/>
    </xf>
    <xf numFmtId="0" fontId="0" fillId="3" borderId="17" xfId="0" applyFill="1" applyBorder="1" applyAlignment="1" applyProtection="1">
      <alignment horizontal="center"/>
      <protection locked="0"/>
    </xf>
    <xf numFmtId="0" fontId="0" fillId="3" borderId="18" xfId="0" applyFill="1" applyBorder="1" applyAlignment="1" applyProtection="1">
      <alignment horizontal="center"/>
      <protection locked="0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20" xfId="0" applyFill="1" applyBorder="1" applyAlignment="1" applyProtection="1">
      <alignment horizontal="center"/>
      <protection locked="0"/>
    </xf>
    <xf numFmtId="0" fontId="0" fillId="3" borderId="21" xfId="0" applyFill="1" applyBorder="1" applyAlignment="1" applyProtection="1">
      <alignment horizontal="center"/>
      <protection locked="0"/>
    </xf>
    <xf numFmtId="0" fontId="0" fillId="4" borderId="5" xfId="0" applyFill="1" applyBorder="1" applyAlignment="1" applyProtection="1">
      <alignment horizontal="center"/>
      <protection locked="0"/>
    </xf>
    <xf numFmtId="0" fontId="0" fillId="4" borderId="21" xfId="0" applyFill="1" applyBorder="1" applyAlignment="1" applyProtection="1">
      <alignment horizontal="center"/>
      <protection locked="0"/>
    </xf>
    <xf numFmtId="0" fontId="0" fillId="4" borderId="8" xfId="0" applyFill="1" applyBorder="1" applyAlignment="1" applyProtection="1">
      <alignment horizontal="center"/>
      <protection locked="0"/>
    </xf>
    <xf numFmtId="0" fontId="0" fillId="2" borderId="22" xfId="0" applyFill="1" applyBorder="1" applyAlignment="1">
      <alignment horizontal="center"/>
    </xf>
    <xf numFmtId="1" fontId="5" fillId="3" borderId="16" xfId="0" applyNumberFormat="1" applyFont="1" applyFill="1" applyBorder="1" applyAlignment="1" applyProtection="1">
      <alignment horizontal="center"/>
      <protection locked="0"/>
    </xf>
    <xf numFmtId="0" fontId="0" fillId="2" borderId="23" xfId="0" applyFill="1" applyBorder="1"/>
    <xf numFmtId="0" fontId="0" fillId="2" borderId="24" xfId="0" applyFill="1" applyBorder="1"/>
    <xf numFmtId="2" fontId="0" fillId="2" borderId="9" xfId="0" applyNumberFormat="1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right"/>
    </xf>
    <xf numFmtId="0" fontId="0" fillId="2" borderId="12" xfId="0" applyFill="1" applyBorder="1"/>
    <xf numFmtId="1" fontId="0" fillId="2" borderId="11" xfId="0" applyNumberFormat="1" applyFill="1" applyBorder="1" applyAlignment="1">
      <alignment horizontal="center"/>
    </xf>
    <xf numFmtId="1" fontId="0" fillId="3" borderId="9" xfId="0" applyNumberFormat="1" applyFill="1" applyBorder="1" applyAlignment="1" applyProtection="1">
      <alignment horizontal="center"/>
      <protection locked="0"/>
    </xf>
    <xf numFmtId="0" fontId="0" fillId="0" borderId="0" xfId="0" quotePrefix="1"/>
    <xf numFmtId="1" fontId="0" fillId="3" borderId="12" xfId="0" applyNumberFormat="1" applyFill="1" applyBorder="1" applyAlignment="1" applyProtection="1">
      <alignment horizontal="center"/>
      <protection locked="0"/>
    </xf>
    <xf numFmtId="1" fontId="0" fillId="2" borderId="25" xfId="0" applyNumberFormat="1" applyFill="1" applyBorder="1" applyAlignment="1">
      <alignment horizontal="center"/>
    </xf>
    <xf numFmtId="0" fontId="3" fillId="0" borderId="0" xfId="0" applyFont="1"/>
    <xf numFmtId="0" fontId="2" fillId="2" borderId="4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2" fillId="2" borderId="26" xfId="0" applyFont="1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92" fontId="0" fillId="2" borderId="21" xfId="0" applyNumberFormat="1" applyFill="1" applyBorder="1" applyAlignment="1">
      <alignment horizontal="center"/>
    </xf>
    <xf numFmtId="0" fontId="0" fillId="3" borderId="5" xfId="0" applyFill="1" applyBorder="1" applyAlignment="1" applyProtection="1">
      <alignment horizontal="center"/>
      <protection locked="0"/>
    </xf>
    <xf numFmtId="0" fontId="0" fillId="2" borderId="28" xfId="0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92" fontId="0" fillId="2" borderId="8" xfId="0" applyNumberFormat="1" applyFill="1" applyBorder="1" applyAlignment="1">
      <alignment horizontal="center"/>
    </xf>
    <xf numFmtId="0" fontId="5" fillId="2" borderId="28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19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/>
    <xf numFmtId="1" fontId="0" fillId="0" borderId="0" xfId="0" applyNumberFormat="1" applyAlignment="1">
      <alignment horizontal="center"/>
    </xf>
    <xf numFmtId="0" fontId="7" fillId="0" borderId="0" xfId="0" applyFont="1"/>
    <xf numFmtId="2" fontId="0" fillId="2" borderId="20" xfId="0" applyNumberFormat="1" applyFill="1" applyBorder="1" applyAlignment="1">
      <alignment horizontal="center"/>
    </xf>
    <xf numFmtId="2" fontId="0" fillId="2" borderId="19" xfId="0" applyNumberFormat="1" applyFill="1" applyBorder="1" applyAlignment="1">
      <alignment horizontal="center"/>
    </xf>
    <xf numFmtId="2" fontId="0" fillId="3" borderId="12" xfId="0" applyNumberFormat="1" applyFill="1" applyBorder="1" applyAlignment="1" applyProtection="1">
      <alignment horizontal="center"/>
      <protection locked="0"/>
    </xf>
    <xf numFmtId="2" fontId="0" fillId="3" borderId="9" xfId="0" applyNumberFormat="1" applyFill="1" applyBorder="1" applyAlignment="1" applyProtection="1">
      <alignment horizontal="center"/>
      <protection locked="0"/>
    </xf>
    <xf numFmtId="192" fontId="0" fillId="3" borderId="12" xfId="0" applyNumberFormat="1" applyFill="1" applyBorder="1" applyAlignment="1" applyProtection="1">
      <alignment horizontal="center"/>
      <protection locked="0"/>
    </xf>
    <xf numFmtId="192" fontId="0" fillId="3" borderId="9" xfId="0" applyNumberFormat="1" applyFill="1" applyBorder="1" applyAlignment="1" applyProtection="1">
      <alignment horizontal="center"/>
      <protection locked="0"/>
    </xf>
    <xf numFmtId="1" fontId="0" fillId="3" borderId="15" xfId="0" applyNumberFormat="1" applyFill="1" applyBorder="1" applyAlignment="1" applyProtection="1">
      <alignment horizontal="center"/>
      <protection locked="0"/>
    </xf>
    <xf numFmtId="1" fontId="0" fillId="3" borderId="29" xfId="0" applyNumberFormat="1" applyFill="1" applyBorder="1" applyAlignment="1" applyProtection="1">
      <alignment horizontal="center"/>
      <protection locked="0"/>
    </xf>
    <xf numFmtId="1" fontId="0" fillId="3" borderId="16" xfId="0" applyNumberFormat="1" applyFill="1" applyBorder="1" applyAlignment="1" applyProtection="1">
      <alignment horizontal="center"/>
      <protection locked="0"/>
    </xf>
    <xf numFmtId="1" fontId="0" fillId="3" borderId="17" xfId="0" applyNumberFormat="1" applyFill="1" applyBorder="1" applyAlignment="1" applyProtection="1">
      <alignment horizontal="center"/>
      <protection locked="0"/>
    </xf>
    <xf numFmtId="49" fontId="0" fillId="3" borderId="15" xfId="0" applyNumberFormat="1" applyFill="1" applyBorder="1" applyAlignment="1" applyProtection="1">
      <alignment horizontal="center"/>
      <protection locked="0"/>
    </xf>
    <xf numFmtId="49" fontId="0" fillId="3" borderId="3" xfId="0" applyNumberFormat="1" applyFill="1" applyBorder="1" applyAlignment="1" applyProtection="1">
      <alignment horizontal="center"/>
      <protection locked="0"/>
    </xf>
    <xf numFmtId="49" fontId="0" fillId="3" borderId="1" xfId="0" applyNumberFormat="1" applyFill="1" applyBorder="1" applyAlignment="1" applyProtection="1">
      <alignment horizontal="center"/>
      <protection locked="0"/>
    </xf>
    <xf numFmtId="49" fontId="0" fillId="3" borderId="14" xfId="0" applyNumberFormat="1" applyFill="1" applyBorder="1" applyAlignment="1" applyProtection="1">
      <alignment horizontal="center"/>
      <protection locked="0"/>
    </xf>
    <xf numFmtId="2" fontId="0" fillId="2" borderId="16" xfId="0" applyNumberFormat="1" applyFill="1" applyBorder="1" applyAlignment="1">
      <alignment horizontal="center"/>
    </xf>
    <xf numFmtId="0" fontId="5" fillId="2" borderId="30" xfId="0" applyFont="1" applyFill="1" applyBorder="1" applyAlignment="1">
      <alignment horizontal="center"/>
    </xf>
    <xf numFmtId="2" fontId="0" fillId="3" borderId="0" xfId="0" applyNumberFormat="1" applyFill="1" applyAlignment="1" applyProtection="1">
      <alignment horizontal="center"/>
      <protection locked="0"/>
    </xf>
    <xf numFmtId="0" fontId="0" fillId="0" borderId="0" xfId="0" applyAlignment="1">
      <alignment horizontal="right"/>
    </xf>
    <xf numFmtId="192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3" fontId="0" fillId="0" borderId="0" xfId="0" applyNumberFormat="1" applyAlignment="1" applyProtection="1">
      <alignment horizontal="center"/>
      <protection locked="0"/>
    </xf>
    <xf numFmtId="2" fontId="0" fillId="2" borderId="25" xfId="0" applyNumberFormat="1" applyFill="1" applyBorder="1" applyAlignment="1">
      <alignment horizontal="center"/>
    </xf>
    <xf numFmtId="1" fontId="0" fillId="2" borderId="17" xfId="0" applyNumberFormat="1" applyFill="1" applyBorder="1" applyAlignment="1">
      <alignment horizontal="center"/>
    </xf>
    <xf numFmtId="1" fontId="0" fillId="2" borderId="29" xfId="0" applyNumberFormat="1" applyFill="1" applyBorder="1" applyAlignment="1">
      <alignment horizontal="center"/>
    </xf>
    <xf numFmtId="49" fontId="0" fillId="3" borderId="13" xfId="0" applyNumberFormat="1" applyFill="1" applyBorder="1" applyAlignment="1">
      <alignment horizontal="center"/>
    </xf>
    <xf numFmtId="49" fontId="0" fillId="3" borderId="22" xfId="0" applyNumberFormat="1" applyFill="1" applyBorder="1"/>
    <xf numFmtId="0" fontId="0" fillId="3" borderId="12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21" fontId="0" fillId="3" borderId="11" xfId="0" applyNumberForma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49" fontId="0" fillId="3" borderId="14" xfId="0" applyNumberFormat="1" applyFill="1" applyBorder="1" applyAlignment="1">
      <alignment horizontal="center"/>
    </xf>
    <xf numFmtId="192" fontId="0" fillId="3" borderId="9" xfId="0" applyNumberFormat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49" fontId="0" fillId="3" borderId="1" xfId="0" applyNumberFormat="1" applyFill="1" applyBorder="1" applyAlignment="1">
      <alignment horizontal="center"/>
    </xf>
    <xf numFmtId="49" fontId="0" fillId="2" borderId="0" xfId="0" applyNumberFormat="1" applyFill="1" applyAlignment="1">
      <alignment horizontal="left"/>
    </xf>
    <xf numFmtId="0" fontId="0" fillId="2" borderId="0" xfId="0" applyFill="1"/>
    <xf numFmtId="49" fontId="0" fillId="0" borderId="0" xfId="0" applyNumberFormat="1"/>
    <xf numFmtId="0" fontId="3" fillId="5" borderId="0" xfId="0" applyFont="1" applyFill="1"/>
    <xf numFmtId="0" fontId="0" fillId="5" borderId="0" xfId="0" applyFill="1"/>
    <xf numFmtId="0" fontId="5" fillId="2" borderId="2" xfId="0" applyFont="1" applyFill="1" applyBorder="1" applyAlignment="1">
      <alignment horizontal="right"/>
    </xf>
    <xf numFmtId="0" fontId="0" fillId="3" borderId="30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0" fillId="3" borderId="0" xfId="0" applyFill="1" applyAlignment="1">
      <alignment horizontal="center"/>
    </xf>
    <xf numFmtId="21" fontId="0" fillId="0" borderId="0" xfId="0" applyNumberFormat="1"/>
    <xf numFmtId="198" fontId="0" fillId="0" borderId="0" xfId="0" applyNumberFormat="1" applyAlignment="1">
      <alignment horizontal="center"/>
    </xf>
    <xf numFmtId="192" fontId="0" fillId="3" borderId="33" xfId="0" applyNumberFormat="1" applyFill="1" applyBorder="1" applyAlignment="1" applyProtection="1">
      <alignment horizontal="center"/>
      <protection locked="0"/>
    </xf>
    <xf numFmtId="192" fontId="0" fillId="3" borderId="34" xfId="0" applyNumberFormat="1" applyFill="1" applyBorder="1" applyAlignment="1">
      <alignment horizontal="center"/>
    </xf>
    <xf numFmtId="192" fontId="5" fillId="3" borderId="34" xfId="0" applyNumberFormat="1" applyFont="1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1" fontId="0" fillId="3" borderId="35" xfId="0" applyNumberFormat="1" applyFill="1" applyBorder="1" applyAlignment="1" applyProtection="1">
      <alignment horizontal="center"/>
      <protection locked="0"/>
    </xf>
    <xf numFmtId="2" fontId="0" fillId="3" borderId="33" xfId="0" applyNumberFormat="1" applyFill="1" applyBorder="1" applyAlignment="1" applyProtection="1">
      <alignment horizontal="center"/>
      <protection locked="0"/>
    </xf>
    <xf numFmtId="198" fontId="0" fillId="3" borderId="34" xfId="0" applyNumberFormat="1" applyFill="1" applyBorder="1" applyAlignment="1">
      <alignment horizontal="center"/>
    </xf>
    <xf numFmtId="2" fontId="0" fillId="3" borderId="34" xfId="0" applyNumberFormat="1" applyFill="1" applyBorder="1" applyAlignment="1" applyProtection="1">
      <alignment horizontal="center"/>
      <protection locked="0"/>
    </xf>
    <xf numFmtId="1" fontId="0" fillId="3" borderId="36" xfId="0" applyNumberFormat="1" applyFill="1" applyBorder="1" applyAlignment="1" applyProtection="1">
      <alignment horizontal="center"/>
      <protection locked="0"/>
    </xf>
    <xf numFmtId="0" fontId="0" fillId="3" borderId="36" xfId="0" applyFill="1" applyBorder="1" applyAlignment="1">
      <alignment horizontal="center"/>
    </xf>
    <xf numFmtId="1" fontId="0" fillId="3" borderId="36" xfId="0" applyNumberFormat="1" applyFill="1" applyBorder="1" applyAlignment="1">
      <alignment horizontal="center"/>
    </xf>
    <xf numFmtId="49" fontId="0" fillId="3" borderId="35" xfId="0" applyNumberFormat="1" applyFill="1" applyBorder="1" applyAlignment="1" applyProtection="1">
      <alignment horizontal="center"/>
      <protection locked="0"/>
    </xf>
    <xf numFmtId="2" fontId="0" fillId="0" borderId="0" xfId="0" applyNumberFormat="1"/>
    <xf numFmtId="0" fontId="0" fillId="0" borderId="37" xfId="0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" fillId="0" borderId="37" xfId="0" applyFont="1" applyBorder="1" applyAlignment="1">
      <alignment horizontal="center"/>
    </xf>
    <xf numFmtId="179" fontId="3" fillId="0" borderId="0" xfId="1" applyFont="1"/>
    <xf numFmtId="179" fontId="0" fillId="0" borderId="0" xfId="1" applyFont="1"/>
    <xf numFmtId="179" fontId="0" fillId="0" borderId="29" xfId="1" applyFont="1" applyBorder="1"/>
    <xf numFmtId="49" fontId="5" fillId="3" borderId="14" xfId="0" applyNumberFormat="1" applyFont="1" applyFill="1" applyBorder="1" applyAlignment="1">
      <alignment horizontal="center"/>
    </xf>
    <xf numFmtId="49" fontId="5" fillId="3" borderId="1" xfId="0" applyNumberFormat="1" applyFont="1" applyFill="1" applyBorder="1" applyAlignment="1">
      <alignment horizontal="center"/>
    </xf>
    <xf numFmtId="49" fontId="5" fillId="3" borderId="14" xfId="0" applyNumberFormat="1" applyFont="1" applyFill="1" applyBorder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35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38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/>
    <xf numFmtId="0" fontId="0" fillId="0" borderId="0" xfId="0"/>
    <xf numFmtId="0" fontId="0" fillId="2" borderId="40" xfId="0" applyFill="1" applyBorder="1" applyAlignment="1">
      <alignment horizontal="center"/>
    </xf>
    <xf numFmtId="0" fontId="0" fillId="0" borderId="39" xfId="0" applyBorder="1"/>
    <xf numFmtId="0" fontId="0" fillId="0" borderId="40" xfId="0" applyBorder="1"/>
    <xf numFmtId="0" fontId="0" fillId="2" borderId="3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39" xfId="0" applyFill="1" applyBorder="1" applyAlignment="1">
      <alignment horizontal="center"/>
    </xf>
  </cellXfs>
  <cellStyles count="2">
    <cellStyle name="Komma" xfId="1" builtinId="3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ustomXml" Target="../customXml/item1.xml"/><Relationship Id="rId2" Type="http://schemas.openxmlformats.org/officeDocument/2006/relationships/chartsheet" Target="chartsheets/sheet1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12926577042399"/>
          <c:y val="9.4915254237288138E-2"/>
          <c:w val="0.84901758014477768"/>
          <c:h val="0.77627118644067794"/>
        </c:manualLayout>
      </c:layout>
      <c:scatterChart>
        <c:scatterStyle val="lineMarker"/>
        <c:varyColors val="0"/>
        <c:ser>
          <c:idx val="0"/>
          <c:order val="0"/>
          <c:tx>
            <c:v>individuele meetresultaten</c:v>
          </c:tx>
          <c:spPr>
            <a:ln w="28575">
              <a:noFill/>
            </a:ln>
          </c:spPr>
          <c:xVal>
            <c:numRef>
              <c:f>Resultaat!$C$9:$C$29</c:f>
              <c:numCache>
                <c:formatCode>0.00</c:formatCode>
                <c:ptCount val="21"/>
                <c:pt idx="0">
                  <c:v>1.6465897435897432</c:v>
                </c:pt>
                <c:pt idx="1">
                  <c:v>2.2311555555555556</c:v>
                </c:pt>
                <c:pt idx="2">
                  <c:v>1.2134868421052638</c:v>
                </c:pt>
                <c:pt idx="3">
                  <c:v>3.5227586206896557</c:v>
                </c:pt>
                <c:pt idx="4">
                  <c:v>3.1648518518518531</c:v>
                </c:pt>
                <c:pt idx="5">
                  <c:v>4.3806666666666656</c:v>
                </c:pt>
                <c:pt idx="6">
                  <c:v>4.3649090909090908</c:v>
                </c:pt>
                <c:pt idx="7">
                  <c:v>3.9155925925925916</c:v>
                </c:pt>
              </c:numCache>
            </c:numRef>
          </c:xVal>
          <c:yVal>
            <c:numRef>
              <c:f>Resultaat!$G$9:$G$29</c:f>
              <c:numCache>
                <c:formatCode>0</c:formatCode>
                <c:ptCount val="21"/>
                <c:pt idx="0">
                  <c:v>21000</c:v>
                </c:pt>
                <c:pt idx="1">
                  <c:v>4500</c:v>
                </c:pt>
                <c:pt idx="2">
                  <c:v>72000</c:v>
                </c:pt>
                <c:pt idx="3">
                  <c:v>900</c:v>
                </c:pt>
                <c:pt idx="4">
                  <c:v>700</c:v>
                </c:pt>
                <c:pt idx="5">
                  <c:v>175</c:v>
                </c:pt>
                <c:pt idx="6">
                  <c:v>150</c:v>
                </c:pt>
                <c:pt idx="7">
                  <c:v>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A-4D9B-B5A2-FEBB3FDD2AC2}"/>
            </c:ext>
          </c:extLst>
        </c:ser>
        <c:ser>
          <c:idx val="1"/>
          <c:order val="1"/>
          <c:tx>
            <c:v>Vermoeiingslijn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trendline>
            <c:trendlineType val="power"/>
            <c:dispRSqr val="0"/>
            <c:dispEq val="0"/>
          </c:trendline>
          <c:xVal>
            <c:numRef>
              <c:f>Resultaat!$C$9:$C$16</c:f>
              <c:numCache>
                <c:formatCode>0.00</c:formatCode>
                <c:ptCount val="8"/>
                <c:pt idx="0">
                  <c:v>1.6465897435897432</c:v>
                </c:pt>
                <c:pt idx="1">
                  <c:v>2.2311555555555556</c:v>
                </c:pt>
                <c:pt idx="2">
                  <c:v>1.2134868421052638</c:v>
                </c:pt>
                <c:pt idx="3">
                  <c:v>3.5227586206896557</c:v>
                </c:pt>
                <c:pt idx="4">
                  <c:v>3.1648518518518531</c:v>
                </c:pt>
                <c:pt idx="5">
                  <c:v>4.3806666666666656</c:v>
                </c:pt>
                <c:pt idx="6">
                  <c:v>4.3649090909090908</c:v>
                </c:pt>
                <c:pt idx="7">
                  <c:v>3.9155925925925916</c:v>
                </c:pt>
              </c:numCache>
            </c:numRef>
          </c:xVal>
          <c:yVal>
            <c:numRef>
              <c:f>Resultaat!$M$9:$M$16</c:f>
              <c:numCache>
                <c:formatCode>0</c:formatCode>
                <c:ptCount val="8"/>
                <c:pt idx="0">
                  <c:v>19216.465648148485</c:v>
                </c:pt>
                <c:pt idx="1">
                  <c:v>4814.3163622428456</c:v>
                </c:pt>
                <c:pt idx="2">
                  <c:v>77192.096612539157</c:v>
                </c:pt>
                <c:pt idx="3">
                  <c:v>600.94979727163934</c:v>
                </c:pt>
                <c:pt idx="4">
                  <c:v>979.09898371929728</c:v>
                </c:pt>
                <c:pt idx="5">
                  <c:v>222.62782067587017</c:v>
                </c:pt>
                <c:pt idx="6">
                  <c:v>226.31305046375158</c:v>
                </c:pt>
                <c:pt idx="7">
                  <c:v>371.23697159852424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1A-4D9B-B5A2-FEBB3FDD2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041744"/>
        <c:axId val="1"/>
      </c:scatterChart>
      <c:valAx>
        <c:axId val="412041744"/>
        <c:scaling>
          <c:logBase val="10"/>
          <c:orientation val="minMax"/>
          <c:max val="1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12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Cyclische spanning  [MPa]</a:t>
                </a:r>
              </a:p>
            </c:rich>
          </c:tx>
          <c:layout>
            <c:manualLayout>
              <c:xMode val="edge"/>
              <c:yMode val="edge"/>
              <c:x val="0.44260597860050105"/>
              <c:y val="0.9389830176151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0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2.3784852980333979E-2"/>
              <c:y val="0.3186440829022009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12041744"/>
        <c:crossesAt val="0.1"/>
        <c:crossBetween val="midCat"/>
      </c:valAx>
    </c:plotArea>
    <c:legend>
      <c:legendPos val="r"/>
      <c:layout>
        <c:manualLayout>
          <c:xMode val="edge"/>
          <c:yMode val="edge"/>
          <c:x val="0.55389718076285233"/>
          <c:y val="0.73061224489795917"/>
          <c:w val="0.32587064676616911"/>
          <c:h val="0.1142857142857142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1A</a:t>
            </a:r>
          </a:p>
        </c:rich>
      </c:tx>
      <c:layout>
        <c:manualLayout>
          <c:xMode val="edge"/>
          <c:yMode val="edge"/>
          <c:x val="0.46856026363844477"/>
          <c:y val="3.89105058365758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227196599261337"/>
          <c:y val="0.19066147859922178"/>
          <c:w val="0.73225224654166787"/>
          <c:h val="0.6108949416342413"/>
        </c:manualLayout>
      </c:layout>
      <c:scatterChart>
        <c:scatterStyle val="lineMarker"/>
        <c:varyColors val="0"/>
        <c:ser>
          <c:idx val="0"/>
          <c:order val="0"/>
          <c:tx>
            <c:v>E*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strRef>
              <c:f>Org!$C$12:$C$14</c:f>
              <c:strCache>
                <c:ptCount val="3"/>
                <c:pt idx="0">
                  <c:v>N</c:v>
                </c:pt>
                <c:pt idx="1">
                  <c:v>[-]</c:v>
                </c:pt>
                <c:pt idx="2">
                  <c:v>0</c:v>
                </c:pt>
              </c:strCache>
            </c:strRef>
          </c:xVal>
          <c:yVal>
            <c:numRef>
              <c:f>Org!$I$12:$I$14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 formatCode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7-4582-BB3F-EC556AF7A690}"/>
            </c:ext>
          </c:extLst>
        </c:ser>
        <c:ser>
          <c:idx val="2"/>
          <c:order val="2"/>
          <c:tx>
            <c:v>Einde Levensduur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strRef>
              <c:f>Org!$K$7</c:f>
              <c:strCache>
                <c:ptCount val="1"/>
                <c:pt idx="0">
                  <c:v>[-]</c:v>
                </c:pt>
              </c:strCache>
            </c:strRef>
          </c:xVal>
          <c:yVal>
            <c:numRef>
              <c:f>Org!$V$6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7-4582-BB3F-EC556AF7A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045344"/>
        <c:axId val="1"/>
      </c:scatterChart>
      <c:scatterChart>
        <c:scatterStyle val="lineMarker"/>
        <c:varyColors val="0"/>
        <c:ser>
          <c:idx val="1"/>
          <c:order val="1"/>
          <c:tx>
            <c:v>Fasehoek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strRef>
              <c:f>Org!$C$12:$C$14</c:f>
              <c:strCache>
                <c:ptCount val="3"/>
                <c:pt idx="0">
                  <c:v>N</c:v>
                </c:pt>
                <c:pt idx="1">
                  <c:v>[-]</c:v>
                </c:pt>
                <c:pt idx="2">
                  <c:v>0</c:v>
                </c:pt>
              </c:strCache>
            </c:strRef>
          </c:xVal>
          <c:yVal>
            <c:numRef>
              <c:f>Org!$J$12:$J$14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 formatCode="0.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97-4582-BB3F-EC556AF7A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412045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8336756586968207"/>
              <c:y val="0.902723735408560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nl-NL" sz="85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mix</a:t>
                </a: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[MPa]</a:t>
                </a:r>
                <a:endPara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2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3.6511156186612576E-2"/>
              <c:y val="0.424124513618677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12045344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  <c:max val="3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Fase-hoek [°]</a:t>
                </a:r>
              </a:p>
            </c:rich>
          </c:tx>
          <c:layout>
            <c:manualLayout>
              <c:xMode val="edge"/>
              <c:yMode val="edge"/>
              <c:x val="0.93914892484281243"/>
              <c:y val="0.34630350194552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6425165974801947"/>
          <c:y val="4.5180822564526435E-2"/>
          <c:w val="0.21256097143861341"/>
          <c:h val="0.219880003147361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1A</a:t>
            </a:r>
          </a:p>
        </c:rich>
      </c:tx>
      <c:layout>
        <c:manualLayout>
          <c:xMode val="edge"/>
          <c:yMode val="edge"/>
          <c:x val="0.46761133603238869"/>
          <c:y val="3.87596899224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7327935222673"/>
          <c:y val="0.18992319950338959"/>
          <c:w val="0.77327935222672062"/>
          <c:h val="0.61240541880684807"/>
        </c:manualLayout>
      </c:layout>
      <c:scatterChart>
        <c:scatterStyle val="lineMarker"/>
        <c:varyColors val="0"/>
        <c:ser>
          <c:idx val="3"/>
          <c:order val="0"/>
          <c:tx>
            <c:v>Perm. rek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strRef>
              <c:f>Org!$C$12:$C$14</c:f>
              <c:strCache>
                <c:ptCount val="3"/>
                <c:pt idx="0">
                  <c:v>N</c:v>
                </c:pt>
                <c:pt idx="1">
                  <c:v>[-]</c:v>
                </c:pt>
                <c:pt idx="2">
                  <c:v>0</c:v>
                </c:pt>
              </c:strCache>
            </c:strRef>
          </c:xVal>
          <c:yVal>
            <c:numRef>
              <c:f>Org!$F$12:$F$14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56-497F-9118-2DFB94CAA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040664"/>
        <c:axId val="1"/>
      </c:scatterChart>
      <c:valAx>
        <c:axId val="412040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9068825910931176"/>
              <c:y val="0.903104030600826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e</a:t>
                </a:r>
                <a:r>
                  <a:rPr lang="nl-NL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perm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m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m/m]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nl-NL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</c:rich>
          </c:tx>
          <c:layout>
            <c:manualLayout>
              <c:xMode val="edge"/>
              <c:yMode val="edge"/>
              <c:x val="4.6558704453441298E-2"/>
              <c:y val="0.39147449592056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120406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910876695384551"/>
          <c:y val="7.5075295242396423E-2"/>
          <c:w val="0.12641830241739077"/>
          <c:h val="7.20722834327005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5V</a:t>
            </a:r>
          </a:p>
        </c:rich>
      </c:tx>
      <c:layout>
        <c:manualLayout>
          <c:xMode val="edge"/>
          <c:yMode val="edge"/>
          <c:x val="0.46856026363844477"/>
          <c:y val="3.89105058365758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227196599261337"/>
          <c:y val="0.19066147859922178"/>
          <c:w val="0.73225224654166787"/>
          <c:h val="0.6108949416342413"/>
        </c:manualLayout>
      </c:layout>
      <c:scatterChart>
        <c:scatterStyle val="lineMarker"/>
        <c:varyColors val="0"/>
        <c:ser>
          <c:idx val="0"/>
          <c:order val="0"/>
          <c:tx>
            <c:v>E*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'5V'!$C$14:$C$93</c:f>
              <c:numCache>
                <c:formatCode>General</c:formatCode>
                <c:ptCount val="8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  <c:pt idx="29">
                  <c:v>800</c:v>
                </c:pt>
                <c:pt idx="30">
                  <c:v>900</c:v>
                </c:pt>
                <c:pt idx="31">
                  <c:v>1000</c:v>
                </c:pt>
                <c:pt idx="32">
                  <c:v>1100</c:v>
                </c:pt>
                <c:pt idx="33">
                  <c:v>1200</c:v>
                </c:pt>
                <c:pt idx="34">
                  <c:v>1300</c:v>
                </c:pt>
                <c:pt idx="35">
                  <c:v>1400</c:v>
                </c:pt>
                <c:pt idx="36">
                  <c:v>1500</c:v>
                </c:pt>
                <c:pt idx="37">
                  <c:v>1600</c:v>
                </c:pt>
                <c:pt idx="38">
                  <c:v>1700</c:v>
                </c:pt>
                <c:pt idx="39">
                  <c:v>1800</c:v>
                </c:pt>
                <c:pt idx="40">
                  <c:v>1900</c:v>
                </c:pt>
                <c:pt idx="41">
                  <c:v>2000</c:v>
                </c:pt>
                <c:pt idx="42">
                  <c:v>2500</c:v>
                </c:pt>
                <c:pt idx="43">
                  <c:v>3000</c:v>
                </c:pt>
                <c:pt idx="44">
                  <c:v>3500</c:v>
                </c:pt>
                <c:pt idx="45">
                  <c:v>4000</c:v>
                </c:pt>
                <c:pt idx="46">
                  <c:v>4500</c:v>
                </c:pt>
                <c:pt idx="47">
                  <c:v>5000</c:v>
                </c:pt>
                <c:pt idx="48">
                  <c:v>5500</c:v>
                </c:pt>
                <c:pt idx="49">
                  <c:v>6000</c:v>
                </c:pt>
                <c:pt idx="50">
                  <c:v>6500</c:v>
                </c:pt>
                <c:pt idx="51">
                  <c:v>7000</c:v>
                </c:pt>
                <c:pt idx="52">
                  <c:v>7500</c:v>
                </c:pt>
                <c:pt idx="53">
                  <c:v>8000</c:v>
                </c:pt>
                <c:pt idx="54">
                  <c:v>8500</c:v>
                </c:pt>
                <c:pt idx="55">
                  <c:v>9000</c:v>
                </c:pt>
                <c:pt idx="56">
                  <c:v>9500</c:v>
                </c:pt>
                <c:pt idx="57">
                  <c:v>10000</c:v>
                </c:pt>
                <c:pt idx="58">
                  <c:v>10500</c:v>
                </c:pt>
                <c:pt idx="59">
                  <c:v>11000</c:v>
                </c:pt>
                <c:pt idx="60">
                  <c:v>11500</c:v>
                </c:pt>
                <c:pt idx="61">
                  <c:v>12000</c:v>
                </c:pt>
                <c:pt idx="62">
                  <c:v>12500</c:v>
                </c:pt>
                <c:pt idx="63">
                  <c:v>13000</c:v>
                </c:pt>
                <c:pt idx="64">
                  <c:v>13500</c:v>
                </c:pt>
                <c:pt idx="65">
                  <c:v>14000</c:v>
                </c:pt>
                <c:pt idx="66">
                  <c:v>14500</c:v>
                </c:pt>
                <c:pt idx="67">
                  <c:v>15000</c:v>
                </c:pt>
                <c:pt idx="68">
                  <c:v>15500</c:v>
                </c:pt>
                <c:pt idx="69">
                  <c:v>16000</c:v>
                </c:pt>
                <c:pt idx="70">
                  <c:v>16500</c:v>
                </c:pt>
                <c:pt idx="71">
                  <c:v>17000</c:v>
                </c:pt>
                <c:pt idx="72">
                  <c:v>17500</c:v>
                </c:pt>
                <c:pt idx="73">
                  <c:v>18000</c:v>
                </c:pt>
                <c:pt idx="74">
                  <c:v>18500</c:v>
                </c:pt>
                <c:pt idx="75">
                  <c:v>19000</c:v>
                </c:pt>
                <c:pt idx="76">
                  <c:v>19500</c:v>
                </c:pt>
                <c:pt idx="77">
                  <c:v>20000</c:v>
                </c:pt>
                <c:pt idx="78">
                  <c:v>20500</c:v>
                </c:pt>
                <c:pt idx="79">
                  <c:v>21000</c:v>
                </c:pt>
              </c:numCache>
            </c:numRef>
          </c:xVal>
          <c:yVal>
            <c:numRef>
              <c:f>'5V'!$I$14:$I$93</c:f>
              <c:numCache>
                <c:formatCode>0</c:formatCode>
                <c:ptCount val="80"/>
                <c:pt idx="0">
                  <c:v>2841</c:v>
                </c:pt>
                <c:pt idx="1">
                  <c:v>2860</c:v>
                </c:pt>
                <c:pt idx="2">
                  <c:v>2869</c:v>
                </c:pt>
                <c:pt idx="3">
                  <c:v>2867</c:v>
                </c:pt>
                <c:pt idx="4">
                  <c:v>2865</c:v>
                </c:pt>
                <c:pt idx="5">
                  <c:v>2864</c:v>
                </c:pt>
                <c:pt idx="6">
                  <c:v>2871</c:v>
                </c:pt>
                <c:pt idx="7">
                  <c:v>2866</c:v>
                </c:pt>
                <c:pt idx="8">
                  <c:v>2884</c:v>
                </c:pt>
                <c:pt idx="9">
                  <c:v>2880</c:v>
                </c:pt>
                <c:pt idx="10">
                  <c:v>2869</c:v>
                </c:pt>
                <c:pt idx="11">
                  <c:v>2855</c:v>
                </c:pt>
                <c:pt idx="12">
                  <c:v>2832</c:v>
                </c:pt>
                <c:pt idx="13">
                  <c:v>2842</c:v>
                </c:pt>
                <c:pt idx="14">
                  <c:v>2867</c:v>
                </c:pt>
                <c:pt idx="15">
                  <c:v>2863</c:v>
                </c:pt>
                <c:pt idx="16">
                  <c:v>2858</c:v>
                </c:pt>
                <c:pt idx="17">
                  <c:v>2845</c:v>
                </c:pt>
                <c:pt idx="18">
                  <c:v>2866</c:v>
                </c:pt>
                <c:pt idx="19">
                  <c:v>2846</c:v>
                </c:pt>
                <c:pt idx="20">
                  <c:v>2851</c:v>
                </c:pt>
                <c:pt idx="21">
                  <c:v>2855</c:v>
                </c:pt>
                <c:pt idx="22">
                  <c:v>2818</c:v>
                </c:pt>
                <c:pt idx="23">
                  <c:v>2834</c:v>
                </c:pt>
                <c:pt idx="24">
                  <c:v>2814</c:v>
                </c:pt>
                <c:pt idx="25">
                  <c:v>2820</c:v>
                </c:pt>
                <c:pt idx="26">
                  <c:v>2831</c:v>
                </c:pt>
                <c:pt idx="27">
                  <c:v>2832</c:v>
                </c:pt>
                <c:pt idx="28">
                  <c:v>2844</c:v>
                </c:pt>
                <c:pt idx="29">
                  <c:v>2853</c:v>
                </c:pt>
                <c:pt idx="30">
                  <c:v>2842</c:v>
                </c:pt>
                <c:pt idx="31">
                  <c:v>2841</c:v>
                </c:pt>
                <c:pt idx="32">
                  <c:v>2856</c:v>
                </c:pt>
                <c:pt idx="33">
                  <c:v>2831</c:v>
                </c:pt>
                <c:pt idx="34">
                  <c:v>2821</c:v>
                </c:pt>
                <c:pt idx="35">
                  <c:v>2829</c:v>
                </c:pt>
                <c:pt idx="36">
                  <c:v>2824</c:v>
                </c:pt>
                <c:pt idx="37">
                  <c:v>2838</c:v>
                </c:pt>
                <c:pt idx="38">
                  <c:v>2813</c:v>
                </c:pt>
                <c:pt idx="39">
                  <c:v>2829</c:v>
                </c:pt>
                <c:pt idx="40">
                  <c:v>2827</c:v>
                </c:pt>
                <c:pt idx="41">
                  <c:v>2842</c:v>
                </c:pt>
                <c:pt idx="42">
                  <c:v>2831</c:v>
                </c:pt>
                <c:pt idx="43">
                  <c:v>2822</c:v>
                </c:pt>
                <c:pt idx="44">
                  <c:v>2786</c:v>
                </c:pt>
                <c:pt idx="45">
                  <c:v>2796</c:v>
                </c:pt>
                <c:pt idx="46">
                  <c:v>2794</c:v>
                </c:pt>
                <c:pt idx="47">
                  <c:v>2781</c:v>
                </c:pt>
                <c:pt idx="48">
                  <c:v>2764</c:v>
                </c:pt>
                <c:pt idx="49">
                  <c:v>2753</c:v>
                </c:pt>
                <c:pt idx="50">
                  <c:v>2743</c:v>
                </c:pt>
                <c:pt idx="51">
                  <c:v>2735</c:v>
                </c:pt>
                <c:pt idx="52">
                  <c:v>2737</c:v>
                </c:pt>
                <c:pt idx="53">
                  <c:v>2713</c:v>
                </c:pt>
                <c:pt idx="54">
                  <c:v>2708</c:v>
                </c:pt>
                <c:pt idx="55">
                  <c:v>2713</c:v>
                </c:pt>
                <c:pt idx="56">
                  <c:v>2702</c:v>
                </c:pt>
                <c:pt idx="57">
                  <c:v>2698</c:v>
                </c:pt>
                <c:pt idx="58">
                  <c:v>2662</c:v>
                </c:pt>
                <c:pt idx="59">
                  <c:v>2659</c:v>
                </c:pt>
                <c:pt idx="60">
                  <c:v>2652</c:v>
                </c:pt>
                <c:pt idx="61">
                  <c:v>2621</c:v>
                </c:pt>
                <c:pt idx="62">
                  <c:v>2622</c:v>
                </c:pt>
                <c:pt idx="63">
                  <c:v>2617</c:v>
                </c:pt>
                <c:pt idx="64">
                  <c:v>2583</c:v>
                </c:pt>
                <c:pt idx="65">
                  <c:v>2577</c:v>
                </c:pt>
                <c:pt idx="66">
                  <c:v>2558</c:v>
                </c:pt>
                <c:pt idx="67">
                  <c:v>2539</c:v>
                </c:pt>
                <c:pt idx="68">
                  <c:v>2524</c:v>
                </c:pt>
                <c:pt idx="69">
                  <c:v>2477</c:v>
                </c:pt>
                <c:pt idx="70">
                  <c:v>2459</c:v>
                </c:pt>
                <c:pt idx="71">
                  <c:v>2439</c:v>
                </c:pt>
                <c:pt idx="72">
                  <c:v>2402</c:v>
                </c:pt>
                <c:pt idx="73">
                  <c:v>2350</c:v>
                </c:pt>
                <c:pt idx="74">
                  <c:v>2299</c:v>
                </c:pt>
                <c:pt idx="75">
                  <c:v>2235</c:v>
                </c:pt>
                <c:pt idx="76">
                  <c:v>2193</c:v>
                </c:pt>
                <c:pt idx="77">
                  <c:v>2018</c:v>
                </c:pt>
                <c:pt idx="78">
                  <c:v>1501</c:v>
                </c:pt>
                <c:pt idx="79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5-4807-AD2B-930D01792FC2}"/>
            </c:ext>
          </c:extLst>
        </c:ser>
        <c:ser>
          <c:idx val="2"/>
          <c:order val="2"/>
          <c:tx>
            <c:v>Einde Levensduur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'5V'!$K$7</c:f>
              <c:numCache>
                <c:formatCode>0</c:formatCode>
                <c:ptCount val="1"/>
                <c:pt idx="0">
                  <c:v>21000</c:v>
                </c:pt>
              </c:numCache>
            </c:numRef>
          </c:xVal>
          <c:yVal>
            <c:numRef>
              <c:f>'5V'!$V$6</c:f>
              <c:numCache>
                <c:formatCode>0</c:formatCode>
                <c:ptCount val="1"/>
                <c:pt idx="0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05-4807-AD2B-930D01792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563360"/>
        <c:axId val="1"/>
      </c:scatterChart>
      <c:scatterChart>
        <c:scatterStyle val="lineMarker"/>
        <c:varyColors val="0"/>
        <c:ser>
          <c:idx val="1"/>
          <c:order val="1"/>
          <c:tx>
            <c:v>Fasehoek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'5V'!$C$14:$C$93</c:f>
              <c:numCache>
                <c:formatCode>General</c:formatCode>
                <c:ptCount val="8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  <c:pt idx="29">
                  <c:v>800</c:v>
                </c:pt>
                <c:pt idx="30">
                  <c:v>900</c:v>
                </c:pt>
                <c:pt idx="31">
                  <c:v>1000</c:v>
                </c:pt>
                <c:pt idx="32">
                  <c:v>1100</c:v>
                </c:pt>
                <c:pt idx="33">
                  <c:v>1200</c:v>
                </c:pt>
                <c:pt idx="34">
                  <c:v>1300</c:v>
                </c:pt>
                <c:pt idx="35">
                  <c:v>1400</c:v>
                </c:pt>
                <c:pt idx="36">
                  <c:v>1500</c:v>
                </c:pt>
                <c:pt idx="37">
                  <c:v>1600</c:v>
                </c:pt>
                <c:pt idx="38">
                  <c:v>1700</c:v>
                </c:pt>
                <c:pt idx="39">
                  <c:v>1800</c:v>
                </c:pt>
                <c:pt idx="40">
                  <c:v>1900</c:v>
                </c:pt>
                <c:pt idx="41">
                  <c:v>2000</c:v>
                </c:pt>
                <c:pt idx="42">
                  <c:v>2500</c:v>
                </c:pt>
                <c:pt idx="43">
                  <c:v>3000</c:v>
                </c:pt>
                <c:pt idx="44">
                  <c:v>3500</c:v>
                </c:pt>
                <c:pt idx="45">
                  <c:v>4000</c:v>
                </c:pt>
                <c:pt idx="46">
                  <c:v>4500</c:v>
                </c:pt>
                <c:pt idx="47">
                  <c:v>5000</c:v>
                </c:pt>
                <c:pt idx="48">
                  <c:v>5500</c:v>
                </c:pt>
                <c:pt idx="49">
                  <c:v>6000</c:v>
                </c:pt>
                <c:pt idx="50">
                  <c:v>6500</c:v>
                </c:pt>
                <c:pt idx="51">
                  <c:v>7000</c:v>
                </c:pt>
                <c:pt idx="52">
                  <c:v>7500</c:v>
                </c:pt>
                <c:pt idx="53">
                  <c:v>8000</c:v>
                </c:pt>
                <c:pt idx="54">
                  <c:v>8500</c:v>
                </c:pt>
                <c:pt idx="55">
                  <c:v>9000</c:v>
                </c:pt>
                <c:pt idx="56">
                  <c:v>9500</c:v>
                </c:pt>
                <c:pt idx="57">
                  <c:v>10000</c:v>
                </c:pt>
                <c:pt idx="58">
                  <c:v>10500</c:v>
                </c:pt>
                <c:pt idx="59">
                  <c:v>11000</c:v>
                </c:pt>
                <c:pt idx="60">
                  <c:v>11500</c:v>
                </c:pt>
                <c:pt idx="61">
                  <c:v>12000</c:v>
                </c:pt>
                <c:pt idx="62">
                  <c:v>12500</c:v>
                </c:pt>
                <c:pt idx="63">
                  <c:v>13000</c:v>
                </c:pt>
                <c:pt idx="64">
                  <c:v>13500</c:v>
                </c:pt>
                <c:pt idx="65">
                  <c:v>14000</c:v>
                </c:pt>
                <c:pt idx="66">
                  <c:v>14500</c:v>
                </c:pt>
                <c:pt idx="67">
                  <c:v>15000</c:v>
                </c:pt>
                <c:pt idx="68">
                  <c:v>15500</c:v>
                </c:pt>
                <c:pt idx="69">
                  <c:v>16000</c:v>
                </c:pt>
                <c:pt idx="70">
                  <c:v>16500</c:v>
                </c:pt>
                <c:pt idx="71">
                  <c:v>17000</c:v>
                </c:pt>
                <c:pt idx="72">
                  <c:v>17500</c:v>
                </c:pt>
                <c:pt idx="73">
                  <c:v>18000</c:v>
                </c:pt>
                <c:pt idx="74">
                  <c:v>18500</c:v>
                </c:pt>
                <c:pt idx="75">
                  <c:v>19000</c:v>
                </c:pt>
                <c:pt idx="76">
                  <c:v>19500</c:v>
                </c:pt>
                <c:pt idx="77">
                  <c:v>20000</c:v>
                </c:pt>
                <c:pt idx="78">
                  <c:v>20500</c:v>
                </c:pt>
                <c:pt idx="79">
                  <c:v>21000</c:v>
                </c:pt>
              </c:numCache>
            </c:numRef>
          </c:xVal>
          <c:yVal>
            <c:numRef>
              <c:f>'5V'!$J$14:$J$93</c:f>
              <c:numCache>
                <c:formatCode>0.0</c:formatCode>
                <c:ptCount val="80"/>
                <c:pt idx="0">
                  <c:v>3.3</c:v>
                </c:pt>
                <c:pt idx="1">
                  <c:v>6.9</c:v>
                </c:pt>
                <c:pt idx="2">
                  <c:v>6.7</c:v>
                </c:pt>
                <c:pt idx="3">
                  <c:v>6.3</c:v>
                </c:pt>
                <c:pt idx="4">
                  <c:v>6.8</c:v>
                </c:pt>
                <c:pt idx="5">
                  <c:v>6.2</c:v>
                </c:pt>
                <c:pt idx="6">
                  <c:v>6</c:v>
                </c:pt>
                <c:pt idx="7">
                  <c:v>6.4</c:v>
                </c:pt>
                <c:pt idx="8">
                  <c:v>6.3</c:v>
                </c:pt>
                <c:pt idx="9">
                  <c:v>6.6</c:v>
                </c:pt>
                <c:pt idx="10">
                  <c:v>6.7</c:v>
                </c:pt>
                <c:pt idx="11">
                  <c:v>6</c:v>
                </c:pt>
                <c:pt idx="12">
                  <c:v>6.1</c:v>
                </c:pt>
                <c:pt idx="13">
                  <c:v>6.1</c:v>
                </c:pt>
                <c:pt idx="14">
                  <c:v>6.1</c:v>
                </c:pt>
                <c:pt idx="15">
                  <c:v>6.2</c:v>
                </c:pt>
                <c:pt idx="16">
                  <c:v>5.7</c:v>
                </c:pt>
                <c:pt idx="17">
                  <c:v>6.2</c:v>
                </c:pt>
                <c:pt idx="18">
                  <c:v>6</c:v>
                </c:pt>
                <c:pt idx="19">
                  <c:v>6.6</c:v>
                </c:pt>
                <c:pt idx="20">
                  <c:v>6.1</c:v>
                </c:pt>
                <c:pt idx="21">
                  <c:v>6.3</c:v>
                </c:pt>
                <c:pt idx="22">
                  <c:v>6.4</c:v>
                </c:pt>
                <c:pt idx="23">
                  <c:v>6.4</c:v>
                </c:pt>
                <c:pt idx="24">
                  <c:v>6.5</c:v>
                </c:pt>
                <c:pt idx="25">
                  <c:v>6.2</c:v>
                </c:pt>
                <c:pt idx="26">
                  <c:v>6.7</c:v>
                </c:pt>
                <c:pt idx="27">
                  <c:v>6.3</c:v>
                </c:pt>
                <c:pt idx="28">
                  <c:v>5.8</c:v>
                </c:pt>
                <c:pt idx="29">
                  <c:v>5.8</c:v>
                </c:pt>
                <c:pt idx="30">
                  <c:v>6.2</c:v>
                </c:pt>
                <c:pt idx="31">
                  <c:v>5.9</c:v>
                </c:pt>
                <c:pt idx="32">
                  <c:v>6.2</c:v>
                </c:pt>
                <c:pt idx="33">
                  <c:v>6.1</c:v>
                </c:pt>
                <c:pt idx="34">
                  <c:v>5.7</c:v>
                </c:pt>
                <c:pt idx="35">
                  <c:v>6.1</c:v>
                </c:pt>
                <c:pt idx="36">
                  <c:v>5.8</c:v>
                </c:pt>
                <c:pt idx="37">
                  <c:v>6</c:v>
                </c:pt>
                <c:pt idx="38">
                  <c:v>6.1</c:v>
                </c:pt>
                <c:pt idx="39">
                  <c:v>5.8</c:v>
                </c:pt>
                <c:pt idx="40">
                  <c:v>5.8</c:v>
                </c:pt>
                <c:pt idx="41">
                  <c:v>6.1</c:v>
                </c:pt>
                <c:pt idx="42">
                  <c:v>6.2</c:v>
                </c:pt>
                <c:pt idx="43">
                  <c:v>5.5</c:v>
                </c:pt>
                <c:pt idx="44">
                  <c:v>6.3</c:v>
                </c:pt>
                <c:pt idx="45">
                  <c:v>6.3</c:v>
                </c:pt>
                <c:pt idx="46">
                  <c:v>6.3</c:v>
                </c:pt>
                <c:pt idx="47">
                  <c:v>6.1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6.1</c:v>
                </c:pt>
                <c:pt idx="52">
                  <c:v>5.9</c:v>
                </c:pt>
                <c:pt idx="53">
                  <c:v>5.9</c:v>
                </c:pt>
                <c:pt idx="54">
                  <c:v>5.8</c:v>
                </c:pt>
                <c:pt idx="55">
                  <c:v>5.8</c:v>
                </c:pt>
                <c:pt idx="56">
                  <c:v>5.8</c:v>
                </c:pt>
                <c:pt idx="57">
                  <c:v>6.1</c:v>
                </c:pt>
                <c:pt idx="58">
                  <c:v>6.3</c:v>
                </c:pt>
                <c:pt idx="59">
                  <c:v>6.4</c:v>
                </c:pt>
                <c:pt idx="60">
                  <c:v>6.5</c:v>
                </c:pt>
                <c:pt idx="61">
                  <c:v>6.3</c:v>
                </c:pt>
                <c:pt idx="62">
                  <c:v>6.4</c:v>
                </c:pt>
                <c:pt idx="63">
                  <c:v>6.3</c:v>
                </c:pt>
                <c:pt idx="64">
                  <c:v>6.1</c:v>
                </c:pt>
                <c:pt idx="65">
                  <c:v>6.5</c:v>
                </c:pt>
                <c:pt idx="66">
                  <c:v>6.7</c:v>
                </c:pt>
                <c:pt idx="67">
                  <c:v>6.9</c:v>
                </c:pt>
                <c:pt idx="68">
                  <c:v>7</c:v>
                </c:pt>
                <c:pt idx="69">
                  <c:v>7.2</c:v>
                </c:pt>
                <c:pt idx="70">
                  <c:v>7.4</c:v>
                </c:pt>
                <c:pt idx="71">
                  <c:v>7.4</c:v>
                </c:pt>
                <c:pt idx="72">
                  <c:v>7.6</c:v>
                </c:pt>
                <c:pt idx="73">
                  <c:v>7.8</c:v>
                </c:pt>
                <c:pt idx="74">
                  <c:v>7.9</c:v>
                </c:pt>
                <c:pt idx="75">
                  <c:v>8.3000000000000007</c:v>
                </c:pt>
                <c:pt idx="76">
                  <c:v>9.5</c:v>
                </c:pt>
                <c:pt idx="77">
                  <c:v>9.6999999999999993</c:v>
                </c:pt>
                <c:pt idx="78">
                  <c:v>15.5</c:v>
                </c:pt>
                <c:pt idx="79">
                  <c:v>17.8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5-4807-AD2B-930D01792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411563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8336756586968207"/>
              <c:y val="0.902723735408560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nl-NL" sz="85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mix</a:t>
                </a: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[MPa]</a:t>
                </a:r>
                <a:endPara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2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3.6511156186612576E-2"/>
              <c:y val="0.4241245136186770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11563360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  <c:max val="3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Fase-hoek [°]</a:t>
                </a:r>
              </a:p>
            </c:rich>
          </c:tx>
          <c:layout>
            <c:manualLayout>
              <c:xMode val="edge"/>
              <c:yMode val="edge"/>
              <c:x val="0.93914892484281243"/>
              <c:y val="0.3463035019455252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6586197013770593"/>
          <c:y val="3.6144658051621148E-2"/>
          <c:w val="0.21256097143861341"/>
          <c:h val="0.219880003147361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5V</a:t>
            </a:r>
          </a:p>
        </c:rich>
      </c:tx>
      <c:layout>
        <c:manualLayout>
          <c:xMode val="edge"/>
          <c:yMode val="edge"/>
          <c:x val="0.46761133603238869"/>
          <c:y val="3.87596899224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7327935222673"/>
          <c:y val="0.18992319950338959"/>
          <c:w val="0.77327935222672062"/>
          <c:h val="0.61240541880684807"/>
        </c:manualLayout>
      </c:layout>
      <c:scatterChart>
        <c:scatterStyle val="lineMarker"/>
        <c:varyColors val="0"/>
        <c:ser>
          <c:idx val="3"/>
          <c:order val="0"/>
          <c:tx>
            <c:v>Perm. rek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'5V'!$C$14:$C$93</c:f>
              <c:numCache>
                <c:formatCode>General</c:formatCode>
                <c:ptCount val="8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  <c:pt idx="29">
                  <c:v>800</c:v>
                </c:pt>
                <c:pt idx="30">
                  <c:v>900</c:v>
                </c:pt>
                <c:pt idx="31">
                  <c:v>1000</c:v>
                </c:pt>
                <c:pt idx="32">
                  <c:v>1100</c:v>
                </c:pt>
                <c:pt idx="33">
                  <c:v>1200</c:v>
                </c:pt>
                <c:pt idx="34">
                  <c:v>1300</c:v>
                </c:pt>
                <c:pt idx="35">
                  <c:v>1400</c:v>
                </c:pt>
                <c:pt idx="36">
                  <c:v>1500</c:v>
                </c:pt>
                <c:pt idx="37">
                  <c:v>1600</c:v>
                </c:pt>
                <c:pt idx="38">
                  <c:v>1700</c:v>
                </c:pt>
                <c:pt idx="39">
                  <c:v>1800</c:v>
                </c:pt>
                <c:pt idx="40">
                  <c:v>1900</c:v>
                </c:pt>
                <c:pt idx="41">
                  <c:v>2000</c:v>
                </c:pt>
                <c:pt idx="42">
                  <c:v>2500</c:v>
                </c:pt>
                <c:pt idx="43">
                  <c:v>3000</c:v>
                </c:pt>
                <c:pt idx="44">
                  <c:v>3500</c:v>
                </c:pt>
                <c:pt idx="45">
                  <c:v>4000</c:v>
                </c:pt>
                <c:pt idx="46">
                  <c:v>4500</c:v>
                </c:pt>
                <c:pt idx="47">
                  <c:v>5000</c:v>
                </c:pt>
                <c:pt idx="48">
                  <c:v>5500</c:v>
                </c:pt>
                <c:pt idx="49">
                  <c:v>6000</c:v>
                </c:pt>
                <c:pt idx="50">
                  <c:v>6500</c:v>
                </c:pt>
                <c:pt idx="51">
                  <c:v>7000</c:v>
                </c:pt>
                <c:pt idx="52">
                  <c:v>7500</c:v>
                </c:pt>
                <c:pt idx="53">
                  <c:v>8000</c:v>
                </c:pt>
                <c:pt idx="54">
                  <c:v>8500</c:v>
                </c:pt>
                <c:pt idx="55">
                  <c:v>9000</c:v>
                </c:pt>
                <c:pt idx="56">
                  <c:v>9500</c:v>
                </c:pt>
                <c:pt idx="57">
                  <c:v>10000</c:v>
                </c:pt>
                <c:pt idx="58">
                  <c:v>10500</c:v>
                </c:pt>
                <c:pt idx="59">
                  <c:v>11000</c:v>
                </c:pt>
                <c:pt idx="60">
                  <c:v>11500</c:v>
                </c:pt>
                <c:pt idx="61">
                  <c:v>12000</c:v>
                </c:pt>
                <c:pt idx="62">
                  <c:v>12500</c:v>
                </c:pt>
                <c:pt idx="63">
                  <c:v>13000</c:v>
                </c:pt>
                <c:pt idx="64">
                  <c:v>13500</c:v>
                </c:pt>
                <c:pt idx="65">
                  <c:v>14000</c:v>
                </c:pt>
                <c:pt idx="66">
                  <c:v>14500</c:v>
                </c:pt>
                <c:pt idx="67">
                  <c:v>15000</c:v>
                </c:pt>
                <c:pt idx="68">
                  <c:v>15500</c:v>
                </c:pt>
                <c:pt idx="69">
                  <c:v>16000</c:v>
                </c:pt>
                <c:pt idx="70">
                  <c:v>16500</c:v>
                </c:pt>
                <c:pt idx="71">
                  <c:v>17000</c:v>
                </c:pt>
                <c:pt idx="72">
                  <c:v>17500</c:v>
                </c:pt>
                <c:pt idx="73">
                  <c:v>18000</c:v>
                </c:pt>
                <c:pt idx="74">
                  <c:v>18500</c:v>
                </c:pt>
                <c:pt idx="75">
                  <c:v>19000</c:v>
                </c:pt>
                <c:pt idx="76">
                  <c:v>19500</c:v>
                </c:pt>
                <c:pt idx="77">
                  <c:v>20000</c:v>
                </c:pt>
                <c:pt idx="78">
                  <c:v>20500</c:v>
                </c:pt>
                <c:pt idx="79">
                  <c:v>21000</c:v>
                </c:pt>
              </c:numCache>
            </c:numRef>
          </c:xVal>
          <c:yVal>
            <c:numRef>
              <c:f>'5V'!$F$14:$F$93</c:f>
              <c:numCache>
                <c:formatCode>General</c:formatCode>
                <c:ptCount val="80"/>
                <c:pt idx="0">
                  <c:v>0</c:v>
                </c:pt>
                <c:pt idx="1">
                  <c:v>162</c:v>
                </c:pt>
                <c:pt idx="2">
                  <c:v>204</c:v>
                </c:pt>
                <c:pt idx="3">
                  <c:v>257</c:v>
                </c:pt>
                <c:pt idx="4">
                  <c:v>290</c:v>
                </c:pt>
                <c:pt idx="5">
                  <c:v>313</c:v>
                </c:pt>
                <c:pt idx="6">
                  <c:v>340</c:v>
                </c:pt>
                <c:pt idx="7">
                  <c:v>377</c:v>
                </c:pt>
                <c:pt idx="8">
                  <c:v>392</c:v>
                </c:pt>
                <c:pt idx="9">
                  <c:v>419</c:v>
                </c:pt>
                <c:pt idx="10">
                  <c:v>430</c:v>
                </c:pt>
                <c:pt idx="11">
                  <c:v>494</c:v>
                </c:pt>
                <c:pt idx="12">
                  <c:v>536</c:v>
                </c:pt>
                <c:pt idx="13">
                  <c:v>585</c:v>
                </c:pt>
                <c:pt idx="14">
                  <c:v>622</c:v>
                </c:pt>
                <c:pt idx="15">
                  <c:v>653</c:v>
                </c:pt>
                <c:pt idx="16">
                  <c:v>698</c:v>
                </c:pt>
                <c:pt idx="17">
                  <c:v>732</c:v>
                </c:pt>
                <c:pt idx="18">
                  <c:v>766</c:v>
                </c:pt>
                <c:pt idx="19">
                  <c:v>785</c:v>
                </c:pt>
                <c:pt idx="20">
                  <c:v>822</c:v>
                </c:pt>
                <c:pt idx="21">
                  <c:v>845</c:v>
                </c:pt>
                <c:pt idx="22">
                  <c:v>883</c:v>
                </c:pt>
                <c:pt idx="23">
                  <c:v>905</c:v>
                </c:pt>
                <c:pt idx="24">
                  <c:v>939</c:v>
                </c:pt>
                <c:pt idx="25">
                  <c:v>947</c:v>
                </c:pt>
                <c:pt idx="26">
                  <c:v>988</c:v>
                </c:pt>
                <c:pt idx="27">
                  <c:v>1105</c:v>
                </c:pt>
                <c:pt idx="28">
                  <c:v>1200</c:v>
                </c:pt>
                <c:pt idx="29">
                  <c:v>1290</c:v>
                </c:pt>
                <c:pt idx="30">
                  <c:v>1377</c:v>
                </c:pt>
                <c:pt idx="31">
                  <c:v>1460</c:v>
                </c:pt>
                <c:pt idx="32">
                  <c:v>1535</c:v>
                </c:pt>
                <c:pt idx="33">
                  <c:v>1611</c:v>
                </c:pt>
                <c:pt idx="34">
                  <c:v>1683</c:v>
                </c:pt>
                <c:pt idx="35">
                  <c:v>1750</c:v>
                </c:pt>
                <c:pt idx="36">
                  <c:v>1818</c:v>
                </c:pt>
                <c:pt idx="37">
                  <c:v>1894</c:v>
                </c:pt>
                <c:pt idx="38">
                  <c:v>1954</c:v>
                </c:pt>
                <c:pt idx="39">
                  <c:v>2022</c:v>
                </c:pt>
                <c:pt idx="40">
                  <c:v>2075</c:v>
                </c:pt>
                <c:pt idx="41">
                  <c:v>2139</c:v>
                </c:pt>
                <c:pt idx="42">
                  <c:v>2441</c:v>
                </c:pt>
                <c:pt idx="43">
                  <c:v>2694</c:v>
                </c:pt>
                <c:pt idx="44">
                  <c:v>2943</c:v>
                </c:pt>
                <c:pt idx="45">
                  <c:v>3173</c:v>
                </c:pt>
                <c:pt idx="46">
                  <c:v>3407</c:v>
                </c:pt>
                <c:pt idx="47">
                  <c:v>3614</c:v>
                </c:pt>
                <c:pt idx="48">
                  <c:v>3829</c:v>
                </c:pt>
                <c:pt idx="49">
                  <c:v>4037</c:v>
                </c:pt>
                <c:pt idx="50">
                  <c:v>4229</c:v>
                </c:pt>
                <c:pt idx="51">
                  <c:v>4429</c:v>
                </c:pt>
                <c:pt idx="52">
                  <c:v>4618</c:v>
                </c:pt>
                <c:pt idx="53">
                  <c:v>4810</c:v>
                </c:pt>
                <c:pt idx="54">
                  <c:v>5017</c:v>
                </c:pt>
                <c:pt idx="55">
                  <c:v>5191</c:v>
                </c:pt>
                <c:pt idx="56">
                  <c:v>5398</c:v>
                </c:pt>
                <c:pt idx="57">
                  <c:v>5583</c:v>
                </c:pt>
                <c:pt idx="58">
                  <c:v>5761</c:v>
                </c:pt>
                <c:pt idx="59">
                  <c:v>5972</c:v>
                </c:pt>
                <c:pt idx="60">
                  <c:v>6164</c:v>
                </c:pt>
                <c:pt idx="61">
                  <c:v>6360</c:v>
                </c:pt>
                <c:pt idx="62">
                  <c:v>6564</c:v>
                </c:pt>
                <c:pt idx="63">
                  <c:v>6791</c:v>
                </c:pt>
                <c:pt idx="64">
                  <c:v>6983</c:v>
                </c:pt>
                <c:pt idx="65">
                  <c:v>7198</c:v>
                </c:pt>
                <c:pt idx="66">
                  <c:v>7436</c:v>
                </c:pt>
                <c:pt idx="67">
                  <c:v>7681</c:v>
                </c:pt>
                <c:pt idx="68">
                  <c:v>7907</c:v>
                </c:pt>
                <c:pt idx="69">
                  <c:v>8183</c:v>
                </c:pt>
                <c:pt idx="70">
                  <c:v>8462</c:v>
                </c:pt>
                <c:pt idx="71">
                  <c:v>8748</c:v>
                </c:pt>
                <c:pt idx="72">
                  <c:v>9073</c:v>
                </c:pt>
                <c:pt idx="73">
                  <c:v>9427</c:v>
                </c:pt>
                <c:pt idx="74">
                  <c:v>9842</c:v>
                </c:pt>
                <c:pt idx="75">
                  <c:v>10356</c:v>
                </c:pt>
                <c:pt idx="76">
                  <c:v>10970</c:v>
                </c:pt>
                <c:pt idx="77">
                  <c:v>11849</c:v>
                </c:pt>
                <c:pt idx="78">
                  <c:v>14468</c:v>
                </c:pt>
                <c:pt idx="79">
                  <c:v>50125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3-47BB-AA98-4ED06E38D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565160"/>
        <c:axId val="1"/>
      </c:scatterChart>
      <c:valAx>
        <c:axId val="411565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9068825910931176"/>
              <c:y val="0.903104030600826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e</a:t>
                </a:r>
                <a:r>
                  <a:rPr lang="nl-NL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perm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m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m/m]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nl-NL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</c:rich>
          </c:tx>
          <c:layout>
            <c:manualLayout>
              <c:xMode val="edge"/>
              <c:yMode val="edge"/>
              <c:x val="4.6558704453441298E-2"/>
              <c:y val="0.39147449592056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115651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748801948695589"/>
          <c:y val="7.2072283432700557E-2"/>
          <c:w val="0.12641830241739077"/>
          <c:h val="7.20722834327005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6V</a:t>
            </a:r>
          </a:p>
        </c:rich>
      </c:tx>
      <c:layout>
        <c:manualLayout>
          <c:xMode val="edge"/>
          <c:yMode val="edge"/>
          <c:x val="0.46856026363844477"/>
          <c:y val="3.89105058365758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227196599261337"/>
          <c:y val="0.19066147859922178"/>
          <c:w val="0.73225224654166787"/>
          <c:h val="0.6108949416342413"/>
        </c:manualLayout>
      </c:layout>
      <c:scatterChart>
        <c:scatterStyle val="lineMarker"/>
        <c:varyColors val="0"/>
        <c:ser>
          <c:idx val="0"/>
          <c:order val="0"/>
          <c:tx>
            <c:v>E*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'6V'!$C$14:$C$60</c:f>
              <c:numCache>
                <c:formatCode>General</c:formatCode>
                <c:ptCount val="4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  <c:pt idx="29">
                  <c:v>800</c:v>
                </c:pt>
                <c:pt idx="30">
                  <c:v>900</c:v>
                </c:pt>
                <c:pt idx="31">
                  <c:v>1000</c:v>
                </c:pt>
                <c:pt idx="32">
                  <c:v>1100</c:v>
                </c:pt>
                <c:pt idx="33">
                  <c:v>1200</c:v>
                </c:pt>
                <c:pt idx="34">
                  <c:v>1300</c:v>
                </c:pt>
                <c:pt idx="35">
                  <c:v>1400</c:v>
                </c:pt>
                <c:pt idx="36">
                  <c:v>1500</c:v>
                </c:pt>
                <c:pt idx="37">
                  <c:v>1600</c:v>
                </c:pt>
                <c:pt idx="38">
                  <c:v>1700</c:v>
                </c:pt>
                <c:pt idx="39">
                  <c:v>1800</c:v>
                </c:pt>
                <c:pt idx="40">
                  <c:v>1900</c:v>
                </c:pt>
                <c:pt idx="41">
                  <c:v>2000</c:v>
                </c:pt>
                <c:pt idx="42">
                  <c:v>2500</c:v>
                </c:pt>
                <c:pt idx="43">
                  <c:v>3000</c:v>
                </c:pt>
                <c:pt idx="44">
                  <c:v>3500</c:v>
                </c:pt>
                <c:pt idx="45">
                  <c:v>4000</c:v>
                </c:pt>
                <c:pt idx="46">
                  <c:v>4500</c:v>
                </c:pt>
              </c:numCache>
            </c:numRef>
          </c:xVal>
          <c:yVal>
            <c:numRef>
              <c:f>'6V'!$I$14:$I$60</c:f>
              <c:numCache>
                <c:formatCode>0</c:formatCode>
                <c:ptCount val="47"/>
                <c:pt idx="0">
                  <c:v>3891</c:v>
                </c:pt>
                <c:pt idx="1">
                  <c:v>4010</c:v>
                </c:pt>
                <c:pt idx="2">
                  <c:v>4020</c:v>
                </c:pt>
                <c:pt idx="3">
                  <c:v>3983</c:v>
                </c:pt>
                <c:pt idx="4">
                  <c:v>3978</c:v>
                </c:pt>
                <c:pt idx="5">
                  <c:v>3959</c:v>
                </c:pt>
                <c:pt idx="6">
                  <c:v>3983</c:v>
                </c:pt>
                <c:pt idx="7">
                  <c:v>3961</c:v>
                </c:pt>
                <c:pt idx="8">
                  <c:v>3934</c:v>
                </c:pt>
                <c:pt idx="9">
                  <c:v>3928</c:v>
                </c:pt>
                <c:pt idx="10">
                  <c:v>3917</c:v>
                </c:pt>
                <c:pt idx="11">
                  <c:v>3931</c:v>
                </c:pt>
                <c:pt idx="12">
                  <c:v>3932</c:v>
                </c:pt>
                <c:pt idx="13">
                  <c:v>3921</c:v>
                </c:pt>
                <c:pt idx="14">
                  <c:v>3934</c:v>
                </c:pt>
                <c:pt idx="15">
                  <c:v>3952</c:v>
                </c:pt>
                <c:pt idx="16">
                  <c:v>3943</c:v>
                </c:pt>
                <c:pt idx="17">
                  <c:v>3913</c:v>
                </c:pt>
                <c:pt idx="18">
                  <c:v>3913</c:v>
                </c:pt>
                <c:pt idx="19">
                  <c:v>3886</c:v>
                </c:pt>
                <c:pt idx="20">
                  <c:v>3940</c:v>
                </c:pt>
                <c:pt idx="21">
                  <c:v>3919</c:v>
                </c:pt>
                <c:pt idx="22">
                  <c:v>3935</c:v>
                </c:pt>
                <c:pt idx="23">
                  <c:v>3900</c:v>
                </c:pt>
                <c:pt idx="24">
                  <c:v>3905</c:v>
                </c:pt>
                <c:pt idx="25">
                  <c:v>3897</c:v>
                </c:pt>
                <c:pt idx="26">
                  <c:v>3899</c:v>
                </c:pt>
                <c:pt idx="27">
                  <c:v>3906</c:v>
                </c:pt>
                <c:pt idx="28">
                  <c:v>3904</c:v>
                </c:pt>
                <c:pt idx="29">
                  <c:v>3829</c:v>
                </c:pt>
                <c:pt idx="30">
                  <c:v>3837</c:v>
                </c:pt>
                <c:pt idx="31">
                  <c:v>3828</c:v>
                </c:pt>
                <c:pt idx="32">
                  <c:v>3834</c:v>
                </c:pt>
                <c:pt idx="33">
                  <c:v>3830</c:v>
                </c:pt>
                <c:pt idx="34">
                  <c:v>3805</c:v>
                </c:pt>
                <c:pt idx="35">
                  <c:v>3789</c:v>
                </c:pt>
                <c:pt idx="36">
                  <c:v>3782</c:v>
                </c:pt>
                <c:pt idx="37">
                  <c:v>3769</c:v>
                </c:pt>
                <c:pt idx="38">
                  <c:v>3752</c:v>
                </c:pt>
                <c:pt idx="39">
                  <c:v>3725</c:v>
                </c:pt>
                <c:pt idx="40">
                  <c:v>3718</c:v>
                </c:pt>
                <c:pt idx="41">
                  <c:v>3718</c:v>
                </c:pt>
                <c:pt idx="42">
                  <c:v>3638</c:v>
                </c:pt>
                <c:pt idx="43">
                  <c:v>3513</c:v>
                </c:pt>
                <c:pt idx="44">
                  <c:v>3387</c:v>
                </c:pt>
                <c:pt idx="45">
                  <c:v>3049</c:v>
                </c:pt>
                <c:pt idx="46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34-4F87-93E7-FAE364C8FEA7}"/>
            </c:ext>
          </c:extLst>
        </c:ser>
        <c:ser>
          <c:idx val="2"/>
          <c:order val="2"/>
          <c:tx>
            <c:v>Einde Levensduur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'6V'!$K$7</c:f>
              <c:numCache>
                <c:formatCode>0</c:formatCode>
                <c:ptCount val="1"/>
                <c:pt idx="0">
                  <c:v>4500</c:v>
                </c:pt>
              </c:numCache>
            </c:numRef>
          </c:xVal>
          <c:yVal>
            <c:numRef>
              <c:f>'6V'!$V$6</c:f>
              <c:numCache>
                <c:formatCode>0</c:formatCode>
                <c:ptCount val="1"/>
                <c:pt idx="0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34-4F87-93E7-FAE364C8F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574160"/>
        <c:axId val="1"/>
      </c:scatterChart>
      <c:scatterChart>
        <c:scatterStyle val="lineMarker"/>
        <c:varyColors val="0"/>
        <c:ser>
          <c:idx val="1"/>
          <c:order val="1"/>
          <c:tx>
            <c:v>Fasehoek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'6V'!$C$14:$C$60</c:f>
              <c:numCache>
                <c:formatCode>General</c:formatCode>
                <c:ptCount val="4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  <c:pt idx="29">
                  <c:v>800</c:v>
                </c:pt>
                <c:pt idx="30">
                  <c:v>900</c:v>
                </c:pt>
                <c:pt idx="31">
                  <c:v>1000</c:v>
                </c:pt>
                <c:pt idx="32">
                  <c:v>1100</c:v>
                </c:pt>
                <c:pt idx="33">
                  <c:v>1200</c:v>
                </c:pt>
                <c:pt idx="34">
                  <c:v>1300</c:v>
                </c:pt>
                <c:pt idx="35">
                  <c:v>1400</c:v>
                </c:pt>
                <c:pt idx="36">
                  <c:v>1500</c:v>
                </c:pt>
                <c:pt idx="37">
                  <c:v>1600</c:v>
                </c:pt>
                <c:pt idx="38">
                  <c:v>1700</c:v>
                </c:pt>
                <c:pt idx="39">
                  <c:v>1800</c:v>
                </c:pt>
                <c:pt idx="40">
                  <c:v>1900</c:v>
                </c:pt>
                <c:pt idx="41">
                  <c:v>2000</c:v>
                </c:pt>
                <c:pt idx="42">
                  <c:v>2500</c:v>
                </c:pt>
                <c:pt idx="43">
                  <c:v>3000</c:v>
                </c:pt>
                <c:pt idx="44">
                  <c:v>3500</c:v>
                </c:pt>
                <c:pt idx="45">
                  <c:v>4000</c:v>
                </c:pt>
                <c:pt idx="46">
                  <c:v>4500</c:v>
                </c:pt>
              </c:numCache>
            </c:numRef>
          </c:xVal>
          <c:yVal>
            <c:numRef>
              <c:f>'6V'!$J$14:$J$60</c:f>
              <c:numCache>
                <c:formatCode>0.0</c:formatCode>
                <c:ptCount val="47"/>
                <c:pt idx="0">
                  <c:v>6.1</c:v>
                </c:pt>
                <c:pt idx="1">
                  <c:v>9.9</c:v>
                </c:pt>
                <c:pt idx="2">
                  <c:v>10</c:v>
                </c:pt>
                <c:pt idx="3">
                  <c:v>9.8000000000000007</c:v>
                </c:pt>
                <c:pt idx="4">
                  <c:v>10</c:v>
                </c:pt>
                <c:pt idx="5">
                  <c:v>10</c:v>
                </c:pt>
                <c:pt idx="6">
                  <c:v>10.199999999999999</c:v>
                </c:pt>
                <c:pt idx="7">
                  <c:v>10</c:v>
                </c:pt>
                <c:pt idx="8">
                  <c:v>10.199999999999999</c:v>
                </c:pt>
                <c:pt idx="9">
                  <c:v>10.199999999999999</c:v>
                </c:pt>
                <c:pt idx="10">
                  <c:v>10.1</c:v>
                </c:pt>
                <c:pt idx="11">
                  <c:v>10.1</c:v>
                </c:pt>
                <c:pt idx="12">
                  <c:v>10.4</c:v>
                </c:pt>
                <c:pt idx="13">
                  <c:v>10.3</c:v>
                </c:pt>
                <c:pt idx="14">
                  <c:v>10.3</c:v>
                </c:pt>
                <c:pt idx="15">
                  <c:v>10.4</c:v>
                </c:pt>
                <c:pt idx="16">
                  <c:v>10.5</c:v>
                </c:pt>
                <c:pt idx="17">
                  <c:v>10.1</c:v>
                </c:pt>
                <c:pt idx="18">
                  <c:v>10.6</c:v>
                </c:pt>
                <c:pt idx="19">
                  <c:v>10.4</c:v>
                </c:pt>
                <c:pt idx="20">
                  <c:v>10.3</c:v>
                </c:pt>
                <c:pt idx="21">
                  <c:v>10.5</c:v>
                </c:pt>
                <c:pt idx="22">
                  <c:v>10.4</c:v>
                </c:pt>
                <c:pt idx="23">
                  <c:v>9.6999999999999993</c:v>
                </c:pt>
                <c:pt idx="24">
                  <c:v>10.3</c:v>
                </c:pt>
                <c:pt idx="25">
                  <c:v>10.4</c:v>
                </c:pt>
                <c:pt idx="26">
                  <c:v>10.5</c:v>
                </c:pt>
                <c:pt idx="27">
                  <c:v>10.5</c:v>
                </c:pt>
                <c:pt idx="28">
                  <c:v>10.3</c:v>
                </c:pt>
                <c:pt idx="29">
                  <c:v>10.199999999999999</c:v>
                </c:pt>
                <c:pt idx="30">
                  <c:v>10.3</c:v>
                </c:pt>
                <c:pt idx="31">
                  <c:v>10.6</c:v>
                </c:pt>
                <c:pt idx="32">
                  <c:v>10.8</c:v>
                </c:pt>
                <c:pt idx="33">
                  <c:v>10.8</c:v>
                </c:pt>
                <c:pt idx="34">
                  <c:v>10.7</c:v>
                </c:pt>
                <c:pt idx="35">
                  <c:v>10.7</c:v>
                </c:pt>
                <c:pt idx="36">
                  <c:v>11.1</c:v>
                </c:pt>
                <c:pt idx="37">
                  <c:v>11</c:v>
                </c:pt>
                <c:pt idx="38">
                  <c:v>10.8</c:v>
                </c:pt>
                <c:pt idx="39">
                  <c:v>10.9</c:v>
                </c:pt>
                <c:pt idx="40">
                  <c:v>11.3</c:v>
                </c:pt>
                <c:pt idx="41">
                  <c:v>11.4</c:v>
                </c:pt>
                <c:pt idx="42">
                  <c:v>11.5</c:v>
                </c:pt>
                <c:pt idx="43">
                  <c:v>11.6</c:v>
                </c:pt>
                <c:pt idx="44">
                  <c:v>12.5</c:v>
                </c:pt>
                <c:pt idx="45">
                  <c:v>13.6</c:v>
                </c:pt>
                <c:pt idx="46">
                  <c:v>12.8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34-4F87-93E7-FAE364C8F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411574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8336756586968207"/>
              <c:y val="0.902723735408560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nl-NL" sz="85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mix</a:t>
                </a: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[MPa]</a:t>
                </a:r>
                <a:endPara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2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3.6511156186612576E-2"/>
              <c:y val="0.4241245136186770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11574160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  <c:max val="3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Fase-hoek [°]</a:t>
                </a:r>
              </a:p>
            </c:rich>
          </c:tx>
          <c:layout>
            <c:manualLayout>
              <c:xMode val="edge"/>
              <c:yMode val="edge"/>
              <c:x val="0.93914892484281243"/>
              <c:y val="0.3463035019455252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6586197013770593"/>
          <c:y val="3.6144658051621148E-2"/>
          <c:w val="0.21256097143861341"/>
          <c:h val="0.219880003147361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6V</a:t>
            </a:r>
          </a:p>
        </c:rich>
      </c:tx>
      <c:layout>
        <c:manualLayout>
          <c:xMode val="edge"/>
          <c:yMode val="edge"/>
          <c:x val="0.46761133603238869"/>
          <c:y val="3.87596899224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7327935222673"/>
          <c:y val="0.18992319950338959"/>
          <c:w val="0.77327935222672062"/>
          <c:h val="0.61240541880684807"/>
        </c:manualLayout>
      </c:layout>
      <c:scatterChart>
        <c:scatterStyle val="lineMarker"/>
        <c:varyColors val="0"/>
        <c:ser>
          <c:idx val="3"/>
          <c:order val="0"/>
          <c:tx>
            <c:v>Perm. rek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'6V'!$C$14:$C$60</c:f>
              <c:numCache>
                <c:formatCode>General</c:formatCode>
                <c:ptCount val="4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  <c:pt idx="29">
                  <c:v>800</c:v>
                </c:pt>
                <c:pt idx="30">
                  <c:v>900</c:v>
                </c:pt>
                <c:pt idx="31">
                  <c:v>1000</c:v>
                </c:pt>
                <c:pt idx="32">
                  <c:v>1100</c:v>
                </c:pt>
                <c:pt idx="33">
                  <c:v>1200</c:v>
                </c:pt>
                <c:pt idx="34">
                  <c:v>1300</c:v>
                </c:pt>
                <c:pt idx="35">
                  <c:v>1400</c:v>
                </c:pt>
                <c:pt idx="36">
                  <c:v>1500</c:v>
                </c:pt>
                <c:pt idx="37">
                  <c:v>1600</c:v>
                </c:pt>
                <c:pt idx="38">
                  <c:v>1700</c:v>
                </c:pt>
                <c:pt idx="39">
                  <c:v>1800</c:v>
                </c:pt>
                <c:pt idx="40">
                  <c:v>1900</c:v>
                </c:pt>
                <c:pt idx="41">
                  <c:v>2000</c:v>
                </c:pt>
                <c:pt idx="42">
                  <c:v>2500</c:v>
                </c:pt>
                <c:pt idx="43">
                  <c:v>3000</c:v>
                </c:pt>
                <c:pt idx="44">
                  <c:v>3500</c:v>
                </c:pt>
                <c:pt idx="45">
                  <c:v>4000</c:v>
                </c:pt>
                <c:pt idx="46">
                  <c:v>4500</c:v>
                </c:pt>
              </c:numCache>
            </c:numRef>
          </c:xVal>
          <c:yVal>
            <c:numRef>
              <c:f>'6V'!$F$14:$F$60</c:f>
              <c:numCache>
                <c:formatCode>General</c:formatCode>
                <c:ptCount val="47"/>
                <c:pt idx="0">
                  <c:v>0</c:v>
                </c:pt>
                <c:pt idx="1">
                  <c:v>151</c:v>
                </c:pt>
                <c:pt idx="2">
                  <c:v>197</c:v>
                </c:pt>
                <c:pt idx="3">
                  <c:v>223</c:v>
                </c:pt>
                <c:pt idx="4">
                  <c:v>261</c:v>
                </c:pt>
                <c:pt idx="5">
                  <c:v>295</c:v>
                </c:pt>
                <c:pt idx="6">
                  <c:v>325</c:v>
                </c:pt>
                <c:pt idx="7">
                  <c:v>367</c:v>
                </c:pt>
                <c:pt idx="8">
                  <c:v>374</c:v>
                </c:pt>
                <c:pt idx="9">
                  <c:v>401</c:v>
                </c:pt>
                <c:pt idx="10">
                  <c:v>423</c:v>
                </c:pt>
                <c:pt idx="11">
                  <c:v>465</c:v>
                </c:pt>
                <c:pt idx="12">
                  <c:v>533</c:v>
                </c:pt>
                <c:pt idx="13">
                  <c:v>575</c:v>
                </c:pt>
                <c:pt idx="14">
                  <c:v>612</c:v>
                </c:pt>
                <c:pt idx="15">
                  <c:v>680</c:v>
                </c:pt>
                <c:pt idx="16">
                  <c:v>752</c:v>
                </c:pt>
                <c:pt idx="17">
                  <c:v>809</c:v>
                </c:pt>
                <c:pt idx="18">
                  <c:v>858</c:v>
                </c:pt>
                <c:pt idx="19">
                  <c:v>900</c:v>
                </c:pt>
                <c:pt idx="20">
                  <c:v>956</c:v>
                </c:pt>
                <c:pt idx="21">
                  <c:v>1002</c:v>
                </c:pt>
                <c:pt idx="22">
                  <c:v>1051</c:v>
                </c:pt>
                <c:pt idx="23">
                  <c:v>1100</c:v>
                </c:pt>
                <c:pt idx="24">
                  <c:v>1164</c:v>
                </c:pt>
                <c:pt idx="25">
                  <c:v>1202</c:v>
                </c:pt>
                <c:pt idx="26">
                  <c:v>1232</c:v>
                </c:pt>
                <c:pt idx="27">
                  <c:v>1406</c:v>
                </c:pt>
                <c:pt idx="28">
                  <c:v>1591</c:v>
                </c:pt>
                <c:pt idx="29">
                  <c:v>1773</c:v>
                </c:pt>
                <c:pt idx="30">
                  <c:v>1966</c:v>
                </c:pt>
                <c:pt idx="31">
                  <c:v>2117</c:v>
                </c:pt>
                <c:pt idx="32">
                  <c:v>2279</c:v>
                </c:pt>
                <c:pt idx="33">
                  <c:v>2438</c:v>
                </c:pt>
                <c:pt idx="34">
                  <c:v>2612</c:v>
                </c:pt>
                <c:pt idx="35">
                  <c:v>2771</c:v>
                </c:pt>
                <c:pt idx="36">
                  <c:v>2918</c:v>
                </c:pt>
                <c:pt idx="37">
                  <c:v>3088</c:v>
                </c:pt>
                <c:pt idx="38">
                  <c:v>3243</c:v>
                </c:pt>
                <c:pt idx="39">
                  <c:v>3413</c:v>
                </c:pt>
                <c:pt idx="40">
                  <c:v>3580</c:v>
                </c:pt>
                <c:pt idx="41">
                  <c:v>3727</c:v>
                </c:pt>
                <c:pt idx="42">
                  <c:v>4513</c:v>
                </c:pt>
                <c:pt idx="43">
                  <c:v>5322</c:v>
                </c:pt>
                <c:pt idx="44">
                  <c:v>6286</c:v>
                </c:pt>
                <c:pt idx="45">
                  <c:v>7655</c:v>
                </c:pt>
                <c:pt idx="46">
                  <c:v>53064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83-44F0-AC22-F6CFFA27A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572000"/>
        <c:axId val="1"/>
      </c:scatterChart>
      <c:valAx>
        <c:axId val="411572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9068825910931176"/>
              <c:y val="0.903104030600826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e</a:t>
                </a:r>
                <a:r>
                  <a:rPr lang="nl-NL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perm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m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m/m]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nl-NL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</c:rich>
          </c:tx>
          <c:layout>
            <c:manualLayout>
              <c:xMode val="edge"/>
              <c:yMode val="edge"/>
              <c:x val="4.6558704453441298E-2"/>
              <c:y val="0.39147449592056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115720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748801948695589"/>
          <c:y val="7.2072283432700557E-2"/>
          <c:w val="0.12641830241739077"/>
          <c:h val="7.20722834327005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1V</a:t>
            </a:r>
          </a:p>
        </c:rich>
      </c:tx>
      <c:layout>
        <c:manualLayout>
          <c:xMode val="edge"/>
          <c:yMode val="edge"/>
          <c:x val="0.46856026363844477"/>
          <c:y val="3.89105058365758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227196599261337"/>
          <c:y val="0.19066147859922178"/>
          <c:w val="0.73225224654166787"/>
          <c:h val="0.6108949416342413"/>
        </c:manualLayout>
      </c:layout>
      <c:scatterChart>
        <c:scatterStyle val="lineMarker"/>
        <c:varyColors val="0"/>
        <c:ser>
          <c:idx val="0"/>
          <c:order val="0"/>
          <c:tx>
            <c:v>E*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'1V'!$C$14:$C$167</c:f>
              <c:numCache>
                <c:formatCode>General</c:formatCode>
                <c:ptCount val="15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  <c:pt idx="29">
                  <c:v>800</c:v>
                </c:pt>
                <c:pt idx="30">
                  <c:v>900</c:v>
                </c:pt>
                <c:pt idx="31">
                  <c:v>1000</c:v>
                </c:pt>
                <c:pt idx="32">
                  <c:v>1100</c:v>
                </c:pt>
                <c:pt idx="33">
                  <c:v>1200</c:v>
                </c:pt>
                <c:pt idx="34">
                  <c:v>1300</c:v>
                </c:pt>
                <c:pt idx="35">
                  <c:v>1400</c:v>
                </c:pt>
                <c:pt idx="36">
                  <c:v>1500</c:v>
                </c:pt>
                <c:pt idx="37">
                  <c:v>1600</c:v>
                </c:pt>
                <c:pt idx="38">
                  <c:v>1700</c:v>
                </c:pt>
                <c:pt idx="39">
                  <c:v>1800</c:v>
                </c:pt>
                <c:pt idx="40">
                  <c:v>1900</c:v>
                </c:pt>
                <c:pt idx="41">
                  <c:v>2000</c:v>
                </c:pt>
                <c:pt idx="42">
                  <c:v>2500</c:v>
                </c:pt>
                <c:pt idx="43">
                  <c:v>3000</c:v>
                </c:pt>
                <c:pt idx="44">
                  <c:v>3500</c:v>
                </c:pt>
                <c:pt idx="45">
                  <c:v>4000</c:v>
                </c:pt>
                <c:pt idx="46">
                  <c:v>4500</c:v>
                </c:pt>
                <c:pt idx="47">
                  <c:v>5000</c:v>
                </c:pt>
                <c:pt idx="48">
                  <c:v>5500</c:v>
                </c:pt>
                <c:pt idx="49">
                  <c:v>6000</c:v>
                </c:pt>
                <c:pt idx="50">
                  <c:v>6500</c:v>
                </c:pt>
                <c:pt idx="51">
                  <c:v>7000</c:v>
                </c:pt>
                <c:pt idx="52">
                  <c:v>7500</c:v>
                </c:pt>
                <c:pt idx="53">
                  <c:v>8000</c:v>
                </c:pt>
                <c:pt idx="54">
                  <c:v>8500</c:v>
                </c:pt>
                <c:pt idx="55">
                  <c:v>9000</c:v>
                </c:pt>
                <c:pt idx="56">
                  <c:v>9500</c:v>
                </c:pt>
                <c:pt idx="57">
                  <c:v>10000</c:v>
                </c:pt>
                <c:pt idx="58">
                  <c:v>10500</c:v>
                </c:pt>
                <c:pt idx="59">
                  <c:v>11000</c:v>
                </c:pt>
                <c:pt idx="60">
                  <c:v>11500</c:v>
                </c:pt>
                <c:pt idx="61">
                  <c:v>12000</c:v>
                </c:pt>
                <c:pt idx="62">
                  <c:v>12500</c:v>
                </c:pt>
                <c:pt idx="63">
                  <c:v>13000</c:v>
                </c:pt>
                <c:pt idx="64">
                  <c:v>13500</c:v>
                </c:pt>
                <c:pt idx="65">
                  <c:v>14000</c:v>
                </c:pt>
                <c:pt idx="66">
                  <c:v>14500</c:v>
                </c:pt>
                <c:pt idx="67">
                  <c:v>15000</c:v>
                </c:pt>
                <c:pt idx="68">
                  <c:v>15500</c:v>
                </c:pt>
                <c:pt idx="69">
                  <c:v>16000</c:v>
                </c:pt>
                <c:pt idx="70">
                  <c:v>16500</c:v>
                </c:pt>
                <c:pt idx="71">
                  <c:v>17000</c:v>
                </c:pt>
                <c:pt idx="72">
                  <c:v>17500</c:v>
                </c:pt>
                <c:pt idx="73">
                  <c:v>18000</c:v>
                </c:pt>
                <c:pt idx="74">
                  <c:v>18500</c:v>
                </c:pt>
                <c:pt idx="75">
                  <c:v>19000</c:v>
                </c:pt>
                <c:pt idx="76">
                  <c:v>19500</c:v>
                </c:pt>
                <c:pt idx="77">
                  <c:v>20000</c:v>
                </c:pt>
                <c:pt idx="78">
                  <c:v>20500</c:v>
                </c:pt>
                <c:pt idx="79">
                  <c:v>21000</c:v>
                </c:pt>
                <c:pt idx="80">
                  <c:v>21500</c:v>
                </c:pt>
                <c:pt idx="81">
                  <c:v>22000</c:v>
                </c:pt>
                <c:pt idx="82">
                  <c:v>22500</c:v>
                </c:pt>
                <c:pt idx="83">
                  <c:v>23000</c:v>
                </c:pt>
                <c:pt idx="84">
                  <c:v>23500</c:v>
                </c:pt>
                <c:pt idx="85">
                  <c:v>24000</c:v>
                </c:pt>
                <c:pt idx="86">
                  <c:v>24500</c:v>
                </c:pt>
                <c:pt idx="87">
                  <c:v>25000</c:v>
                </c:pt>
                <c:pt idx="88">
                  <c:v>25500</c:v>
                </c:pt>
                <c:pt idx="89">
                  <c:v>26000</c:v>
                </c:pt>
                <c:pt idx="90">
                  <c:v>26500</c:v>
                </c:pt>
                <c:pt idx="91">
                  <c:v>27000</c:v>
                </c:pt>
                <c:pt idx="92">
                  <c:v>27500</c:v>
                </c:pt>
                <c:pt idx="93">
                  <c:v>28000</c:v>
                </c:pt>
                <c:pt idx="94">
                  <c:v>28500</c:v>
                </c:pt>
                <c:pt idx="95">
                  <c:v>29000</c:v>
                </c:pt>
                <c:pt idx="96">
                  <c:v>29500</c:v>
                </c:pt>
                <c:pt idx="97">
                  <c:v>30000</c:v>
                </c:pt>
                <c:pt idx="98">
                  <c:v>30500</c:v>
                </c:pt>
                <c:pt idx="99">
                  <c:v>31000</c:v>
                </c:pt>
                <c:pt idx="100">
                  <c:v>31500</c:v>
                </c:pt>
                <c:pt idx="101">
                  <c:v>32000</c:v>
                </c:pt>
                <c:pt idx="102">
                  <c:v>32500</c:v>
                </c:pt>
                <c:pt idx="103">
                  <c:v>33000</c:v>
                </c:pt>
                <c:pt idx="104">
                  <c:v>33500</c:v>
                </c:pt>
                <c:pt idx="105">
                  <c:v>34000</c:v>
                </c:pt>
                <c:pt idx="106">
                  <c:v>34500</c:v>
                </c:pt>
                <c:pt idx="107">
                  <c:v>35000</c:v>
                </c:pt>
                <c:pt idx="108">
                  <c:v>35500</c:v>
                </c:pt>
                <c:pt idx="109">
                  <c:v>36000</c:v>
                </c:pt>
                <c:pt idx="110">
                  <c:v>36500</c:v>
                </c:pt>
                <c:pt idx="111">
                  <c:v>37000</c:v>
                </c:pt>
                <c:pt idx="112">
                  <c:v>37500</c:v>
                </c:pt>
                <c:pt idx="113">
                  <c:v>38000</c:v>
                </c:pt>
                <c:pt idx="114">
                  <c:v>38500</c:v>
                </c:pt>
                <c:pt idx="115">
                  <c:v>39000</c:v>
                </c:pt>
                <c:pt idx="116">
                  <c:v>39500</c:v>
                </c:pt>
                <c:pt idx="117">
                  <c:v>40000</c:v>
                </c:pt>
                <c:pt idx="118">
                  <c:v>40500</c:v>
                </c:pt>
                <c:pt idx="119">
                  <c:v>41000</c:v>
                </c:pt>
                <c:pt idx="120">
                  <c:v>41500</c:v>
                </c:pt>
                <c:pt idx="121">
                  <c:v>42000</c:v>
                </c:pt>
                <c:pt idx="122">
                  <c:v>42500</c:v>
                </c:pt>
                <c:pt idx="123">
                  <c:v>43000</c:v>
                </c:pt>
                <c:pt idx="124">
                  <c:v>43500</c:v>
                </c:pt>
                <c:pt idx="125">
                  <c:v>44000</c:v>
                </c:pt>
                <c:pt idx="126">
                  <c:v>44500</c:v>
                </c:pt>
                <c:pt idx="127">
                  <c:v>45000</c:v>
                </c:pt>
                <c:pt idx="128">
                  <c:v>45500</c:v>
                </c:pt>
                <c:pt idx="129">
                  <c:v>46000</c:v>
                </c:pt>
                <c:pt idx="130">
                  <c:v>46500</c:v>
                </c:pt>
                <c:pt idx="131">
                  <c:v>47000</c:v>
                </c:pt>
                <c:pt idx="132">
                  <c:v>47500</c:v>
                </c:pt>
                <c:pt idx="133">
                  <c:v>48000</c:v>
                </c:pt>
                <c:pt idx="134">
                  <c:v>48500</c:v>
                </c:pt>
                <c:pt idx="135">
                  <c:v>49000</c:v>
                </c:pt>
                <c:pt idx="136">
                  <c:v>49500</c:v>
                </c:pt>
                <c:pt idx="137">
                  <c:v>50000</c:v>
                </c:pt>
                <c:pt idx="138">
                  <c:v>51000</c:v>
                </c:pt>
                <c:pt idx="139">
                  <c:v>52000</c:v>
                </c:pt>
                <c:pt idx="140">
                  <c:v>53000</c:v>
                </c:pt>
                <c:pt idx="141">
                  <c:v>54000</c:v>
                </c:pt>
                <c:pt idx="142">
                  <c:v>55000</c:v>
                </c:pt>
                <c:pt idx="143">
                  <c:v>56000</c:v>
                </c:pt>
                <c:pt idx="144">
                  <c:v>57000</c:v>
                </c:pt>
                <c:pt idx="145">
                  <c:v>58000</c:v>
                </c:pt>
                <c:pt idx="146">
                  <c:v>59000</c:v>
                </c:pt>
                <c:pt idx="147">
                  <c:v>60000</c:v>
                </c:pt>
                <c:pt idx="148">
                  <c:v>62000</c:v>
                </c:pt>
                <c:pt idx="149">
                  <c:v>64000</c:v>
                </c:pt>
                <c:pt idx="150">
                  <c:v>68000</c:v>
                </c:pt>
                <c:pt idx="151">
                  <c:v>68000</c:v>
                </c:pt>
                <c:pt idx="152">
                  <c:v>70000</c:v>
                </c:pt>
                <c:pt idx="153">
                  <c:v>72000</c:v>
                </c:pt>
              </c:numCache>
            </c:numRef>
          </c:xVal>
          <c:yVal>
            <c:numRef>
              <c:f>'1V'!$I$14:$I$167</c:f>
              <c:numCache>
                <c:formatCode>0</c:formatCode>
                <c:ptCount val="154"/>
                <c:pt idx="0">
                  <c:v>2393</c:v>
                </c:pt>
                <c:pt idx="1">
                  <c:v>2660</c:v>
                </c:pt>
                <c:pt idx="2">
                  <c:v>2681</c:v>
                </c:pt>
                <c:pt idx="3">
                  <c:v>2706</c:v>
                </c:pt>
                <c:pt idx="4">
                  <c:v>2722</c:v>
                </c:pt>
                <c:pt idx="5">
                  <c:v>2723</c:v>
                </c:pt>
                <c:pt idx="6">
                  <c:v>2733</c:v>
                </c:pt>
                <c:pt idx="7">
                  <c:v>2721</c:v>
                </c:pt>
                <c:pt idx="8">
                  <c:v>2779</c:v>
                </c:pt>
                <c:pt idx="9">
                  <c:v>2763</c:v>
                </c:pt>
                <c:pt idx="10">
                  <c:v>2788</c:v>
                </c:pt>
                <c:pt idx="11">
                  <c:v>2764</c:v>
                </c:pt>
                <c:pt idx="12">
                  <c:v>2788</c:v>
                </c:pt>
                <c:pt idx="13">
                  <c:v>2803</c:v>
                </c:pt>
                <c:pt idx="14">
                  <c:v>2823</c:v>
                </c:pt>
                <c:pt idx="15">
                  <c:v>2837</c:v>
                </c:pt>
                <c:pt idx="16">
                  <c:v>2841</c:v>
                </c:pt>
                <c:pt idx="17">
                  <c:v>2862</c:v>
                </c:pt>
                <c:pt idx="18">
                  <c:v>2868</c:v>
                </c:pt>
                <c:pt idx="19">
                  <c:v>2877</c:v>
                </c:pt>
                <c:pt idx="20">
                  <c:v>2903</c:v>
                </c:pt>
                <c:pt idx="21">
                  <c:v>2883</c:v>
                </c:pt>
                <c:pt idx="22">
                  <c:v>2915</c:v>
                </c:pt>
                <c:pt idx="23">
                  <c:v>2920</c:v>
                </c:pt>
                <c:pt idx="24">
                  <c:v>2927</c:v>
                </c:pt>
                <c:pt idx="25">
                  <c:v>2905</c:v>
                </c:pt>
                <c:pt idx="26">
                  <c:v>2950</c:v>
                </c:pt>
                <c:pt idx="27">
                  <c:v>2965</c:v>
                </c:pt>
                <c:pt idx="28">
                  <c:v>2969</c:v>
                </c:pt>
                <c:pt idx="29">
                  <c:v>3039</c:v>
                </c:pt>
                <c:pt idx="30">
                  <c:v>3020</c:v>
                </c:pt>
                <c:pt idx="31">
                  <c:v>3048</c:v>
                </c:pt>
                <c:pt idx="32">
                  <c:v>3087</c:v>
                </c:pt>
                <c:pt idx="33">
                  <c:v>3066</c:v>
                </c:pt>
                <c:pt idx="34">
                  <c:v>3060</c:v>
                </c:pt>
                <c:pt idx="35">
                  <c:v>3101</c:v>
                </c:pt>
                <c:pt idx="36">
                  <c:v>3125</c:v>
                </c:pt>
                <c:pt idx="37">
                  <c:v>3151</c:v>
                </c:pt>
                <c:pt idx="38">
                  <c:v>3109</c:v>
                </c:pt>
                <c:pt idx="39">
                  <c:v>3107</c:v>
                </c:pt>
                <c:pt idx="40">
                  <c:v>3160</c:v>
                </c:pt>
                <c:pt idx="41">
                  <c:v>3133</c:v>
                </c:pt>
                <c:pt idx="42">
                  <c:v>3176</c:v>
                </c:pt>
                <c:pt idx="43">
                  <c:v>3186</c:v>
                </c:pt>
                <c:pt idx="44">
                  <c:v>3204</c:v>
                </c:pt>
                <c:pt idx="45">
                  <c:v>3214</c:v>
                </c:pt>
                <c:pt idx="46">
                  <c:v>3242</c:v>
                </c:pt>
                <c:pt idx="47">
                  <c:v>3253</c:v>
                </c:pt>
                <c:pt idx="48">
                  <c:v>3281</c:v>
                </c:pt>
                <c:pt idx="49">
                  <c:v>3273</c:v>
                </c:pt>
                <c:pt idx="50">
                  <c:v>3292</c:v>
                </c:pt>
                <c:pt idx="51">
                  <c:v>3286</c:v>
                </c:pt>
                <c:pt idx="52">
                  <c:v>3269</c:v>
                </c:pt>
                <c:pt idx="53">
                  <c:v>3291</c:v>
                </c:pt>
                <c:pt idx="54">
                  <c:v>3312</c:v>
                </c:pt>
                <c:pt idx="55">
                  <c:v>3300</c:v>
                </c:pt>
                <c:pt idx="56">
                  <c:v>3282</c:v>
                </c:pt>
                <c:pt idx="57">
                  <c:v>3317</c:v>
                </c:pt>
                <c:pt idx="58">
                  <c:v>3319</c:v>
                </c:pt>
                <c:pt idx="59">
                  <c:v>3333</c:v>
                </c:pt>
                <c:pt idx="60">
                  <c:v>3322</c:v>
                </c:pt>
                <c:pt idx="61">
                  <c:v>3299</c:v>
                </c:pt>
                <c:pt idx="62">
                  <c:v>3302</c:v>
                </c:pt>
                <c:pt idx="63">
                  <c:v>3282</c:v>
                </c:pt>
                <c:pt idx="64">
                  <c:v>3279</c:v>
                </c:pt>
                <c:pt idx="65">
                  <c:v>3302</c:v>
                </c:pt>
                <c:pt idx="66">
                  <c:v>3300</c:v>
                </c:pt>
                <c:pt idx="67">
                  <c:v>3311</c:v>
                </c:pt>
                <c:pt idx="68">
                  <c:v>3318</c:v>
                </c:pt>
                <c:pt idx="69">
                  <c:v>3313</c:v>
                </c:pt>
                <c:pt idx="70">
                  <c:v>3357</c:v>
                </c:pt>
                <c:pt idx="71">
                  <c:v>3279</c:v>
                </c:pt>
                <c:pt idx="72">
                  <c:v>3311</c:v>
                </c:pt>
                <c:pt idx="73">
                  <c:v>3251</c:v>
                </c:pt>
                <c:pt idx="74">
                  <c:v>3290</c:v>
                </c:pt>
                <c:pt idx="75">
                  <c:v>3314</c:v>
                </c:pt>
                <c:pt idx="76">
                  <c:v>3218</c:v>
                </c:pt>
                <c:pt idx="77">
                  <c:v>3230</c:v>
                </c:pt>
                <c:pt idx="78">
                  <c:v>3234</c:v>
                </c:pt>
                <c:pt idx="79">
                  <c:v>3205</c:v>
                </c:pt>
                <c:pt idx="80">
                  <c:v>3246</c:v>
                </c:pt>
                <c:pt idx="81">
                  <c:v>3272</c:v>
                </c:pt>
                <c:pt idx="82">
                  <c:v>3221</c:v>
                </c:pt>
                <c:pt idx="83">
                  <c:v>3251</c:v>
                </c:pt>
                <c:pt idx="84">
                  <c:v>3277</c:v>
                </c:pt>
                <c:pt idx="85">
                  <c:v>3222</c:v>
                </c:pt>
                <c:pt idx="86">
                  <c:v>3126</c:v>
                </c:pt>
                <c:pt idx="87">
                  <c:v>3139</c:v>
                </c:pt>
                <c:pt idx="88">
                  <c:v>3213</c:v>
                </c:pt>
                <c:pt idx="89">
                  <c:v>3234</c:v>
                </c:pt>
                <c:pt idx="90">
                  <c:v>3162</c:v>
                </c:pt>
                <c:pt idx="91">
                  <c:v>3243</c:v>
                </c:pt>
                <c:pt idx="92">
                  <c:v>3225</c:v>
                </c:pt>
                <c:pt idx="93">
                  <c:v>3235</c:v>
                </c:pt>
                <c:pt idx="94">
                  <c:v>3209</c:v>
                </c:pt>
                <c:pt idx="95">
                  <c:v>3203</c:v>
                </c:pt>
                <c:pt idx="96">
                  <c:v>3229</c:v>
                </c:pt>
                <c:pt idx="97">
                  <c:v>3193</c:v>
                </c:pt>
                <c:pt idx="98">
                  <c:v>3186</c:v>
                </c:pt>
                <c:pt idx="99">
                  <c:v>3233</c:v>
                </c:pt>
                <c:pt idx="100">
                  <c:v>3210</c:v>
                </c:pt>
                <c:pt idx="101">
                  <c:v>3229</c:v>
                </c:pt>
                <c:pt idx="102">
                  <c:v>3203</c:v>
                </c:pt>
                <c:pt idx="103">
                  <c:v>3188</c:v>
                </c:pt>
                <c:pt idx="104">
                  <c:v>3202</c:v>
                </c:pt>
                <c:pt idx="105">
                  <c:v>3207</c:v>
                </c:pt>
                <c:pt idx="106">
                  <c:v>3175</c:v>
                </c:pt>
                <c:pt idx="107">
                  <c:v>3212</c:v>
                </c:pt>
                <c:pt idx="108">
                  <c:v>3167</c:v>
                </c:pt>
                <c:pt idx="109">
                  <c:v>3201</c:v>
                </c:pt>
                <c:pt idx="110">
                  <c:v>3131</c:v>
                </c:pt>
                <c:pt idx="111">
                  <c:v>3164</c:v>
                </c:pt>
                <c:pt idx="112">
                  <c:v>3165</c:v>
                </c:pt>
                <c:pt idx="113">
                  <c:v>3159</c:v>
                </c:pt>
                <c:pt idx="114">
                  <c:v>3129</c:v>
                </c:pt>
                <c:pt idx="115">
                  <c:v>3142</c:v>
                </c:pt>
                <c:pt idx="116">
                  <c:v>3124</c:v>
                </c:pt>
                <c:pt idx="117">
                  <c:v>3150</c:v>
                </c:pt>
                <c:pt idx="118">
                  <c:v>3124</c:v>
                </c:pt>
                <c:pt idx="119">
                  <c:v>3097</c:v>
                </c:pt>
                <c:pt idx="120">
                  <c:v>3138</c:v>
                </c:pt>
                <c:pt idx="121">
                  <c:v>3070</c:v>
                </c:pt>
                <c:pt idx="122">
                  <c:v>3111</c:v>
                </c:pt>
                <c:pt idx="123">
                  <c:v>3084</c:v>
                </c:pt>
                <c:pt idx="124">
                  <c:v>3105</c:v>
                </c:pt>
                <c:pt idx="125">
                  <c:v>3109</c:v>
                </c:pt>
                <c:pt idx="126">
                  <c:v>3084</c:v>
                </c:pt>
                <c:pt idx="127">
                  <c:v>3086</c:v>
                </c:pt>
                <c:pt idx="128">
                  <c:v>3089</c:v>
                </c:pt>
                <c:pt idx="129">
                  <c:v>3076</c:v>
                </c:pt>
                <c:pt idx="130">
                  <c:v>3027</c:v>
                </c:pt>
                <c:pt idx="131">
                  <c:v>3019</c:v>
                </c:pt>
                <c:pt idx="132">
                  <c:v>3057</c:v>
                </c:pt>
                <c:pt idx="133">
                  <c:v>3055</c:v>
                </c:pt>
                <c:pt idx="134">
                  <c:v>3005</c:v>
                </c:pt>
                <c:pt idx="135">
                  <c:v>3030</c:v>
                </c:pt>
                <c:pt idx="136">
                  <c:v>2994</c:v>
                </c:pt>
                <c:pt idx="137">
                  <c:v>2999</c:v>
                </c:pt>
                <c:pt idx="138">
                  <c:v>2991</c:v>
                </c:pt>
                <c:pt idx="139">
                  <c:v>2961</c:v>
                </c:pt>
                <c:pt idx="140">
                  <c:v>2943</c:v>
                </c:pt>
                <c:pt idx="141">
                  <c:v>2901</c:v>
                </c:pt>
                <c:pt idx="142">
                  <c:v>2911</c:v>
                </c:pt>
                <c:pt idx="143">
                  <c:v>2854</c:v>
                </c:pt>
                <c:pt idx="144">
                  <c:v>2806</c:v>
                </c:pt>
                <c:pt idx="145">
                  <c:v>2773</c:v>
                </c:pt>
                <c:pt idx="146">
                  <c:v>2768</c:v>
                </c:pt>
                <c:pt idx="147">
                  <c:v>2708</c:v>
                </c:pt>
                <c:pt idx="148">
                  <c:v>2616</c:v>
                </c:pt>
                <c:pt idx="149">
                  <c:v>2454</c:v>
                </c:pt>
                <c:pt idx="150">
                  <c:v>2280</c:v>
                </c:pt>
                <c:pt idx="151">
                  <c:v>1996</c:v>
                </c:pt>
                <c:pt idx="152">
                  <c:v>1111</c:v>
                </c:pt>
                <c:pt idx="153">
                  <c:v>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E5-4B8B-910D-1ABB5CD6848F}"/>
            </c:ext>
          </c:extLst>
        </c:ser>
        <c:ser>
          <c:idx val="2"/>
          <c:order val="2"/>
          <c:tx>
            <c:v>Einde Levensduur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'1V'!$K$7</c:f>
              <c:numCache>
                <c:formatCode>0</c:formatCode>
                <c:ptCount val="1"/>
                <c:pt idx="0">
                  <c:v>72000</c:v>
                </c:pt>
              </c:numCache>
            </c:numRef>
          </c:xVal>
          <c:yVal>
            <c:numRef>
              <c:f>'1V'!$V$6</c:f>
              <c:numCache>
                <c:formatCode>0</c:formatCode>
                <c:ptCount val="1"/>
                <c:pt idx="0">
                  <c:v>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E5-4B8B-910D-1ABB5CD68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661224"/>
        <c:axId val="1"/>
      </c:scatterChart>
      <c:scatterChart>
        <c:scatterStyle val="lineMarker"/>
        <c:varyColors val="0"/>
        <c:ser>
          <c:idx val="1"/>
          <c:order val="1"/>
          <c:tx>
            <c:v>Fasehoek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'1V'!$C$14:$C$167</c:f>
              <c:numCache>
                <c:formatCode>General</c:formatCode>
                <c:ptCount val="15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  <c:pt idx="29">
                  <c:v>800</c:v>
                </c:pt>
                <c:pt idx="30">
                  <c:v>900</c:v>
                </c:pt>
                <c:pt idx="31">
                  <c:v>1000</c:v>
                </c:pt>
                <c:pt idx="32">
                  <c:v>1100</c:v>
                </c:pt>
                <c:pt idx="33">
                  <c:v>1200</c:v>
                </c:pt>
                <c:pt idx="34">
                  <c:v>1300</c:v>
                </c:pt>
                <c:pt idx="35">
                  <c:v>1400</c:v>
                </c:pt>
                <c:pt idx="36">
                  <c:v>1500</c:v>
                </c:pt>
                <c:pt idx="37">
                  <c:v>1600</c:v>
                </c:pt>
                <c:pt idx="38">
                  <c:v>1700</c:v>
                </c:pt>
                <c:pt idx="39">
                  <c:v>1800</c:v>
                </c:pt>
                <c:pt idx="40">
                  <c:v>1900</c:v>
                </c:pt>
                <c:pt idx="41">
                  <c:v>2000</c:v>
                </c:pt>
                <c:pt idx="42">
                  <c:v>2500</c:v>
                </c:pt>
                <c:pt idx="43">
                  <c:v>3000</c:v>
                </c:pt>
                <c:pt idx="44">
                  <c:v>3500</c:v>
                </c:pt>
                <c:pt idx="45">
                  <c:v>4000</c:v>
                </c:pt>
                <c:pt idx="46">
                  <c:v>4500</c:v>
                </c:pt>
                <c:pt idx="47">
                  <c:v>5000</c:v>
                </c:pt>
                <c:pt idx="48">
                  <c:v>5500</c:v>
                </c:pt>
                <c:pt idx="49">
                  <c:v>6000</c:v>
                </c:pt>
                <c:pt idx="50">
                  <c:v>6500</c:v>
                </c:pt>
                <c:pt idx="51">
                  <c:v>7000</c:v>
                </c:pt>
                <c:pt idx="52">
                  <c:v>7500</c:v>
                </c:pt>
                <c:pt idx="53">
                  <c:v>8000</c:v>
                </c:pt>
                <c:pt idx="54">
                  <c:v>8500</c:v>
                </c:pt>
                <c:pt idx="55">
                  <c:v>9000</c:v>
                </c:pt>
                <c:pt idx="56">
                  <c:v>9500</c:v>
                </c:pt>
                <c:pt idx="57">
                  <c:v>10000</c:v>
                </c:pt>
                <c:pt idx="58">
                  <c:v>10500</c:v>
                </c:pt>
                <c:pt idx="59">
                  <c:v>11000</c:v>
                </c:pt>
                <c:pt idx="60">
                  <c:v>11500</c:v>
                </c:pt>
                <c:pt idx="61">
                  <c:v>12000</c:v>
                </c:pt>
                <c:pt idx="62">
                  <c:v>12500</c:v>
                </c:pt>
                <c:pt idx="63">
                  <c:v>13000</c:v>
                </c:pt>
                <c:pt idx="64">
                  <c:v>13500</c:v>
                </c:pt>
                <c:pt idx="65">
                  <c:v>14000</c:v>
                </c:pt>
                <c:pt idx="66">
                  <c:v>14500</c:v>
                </c:pt>
                <c:pt idx="67">
                  <c:v>15000</c:v>
                </c:pt>
                <c:pt idx="68">
                  <c:v>15500</c:v>
                </c:pt>
                <c:pt idx="69">
                  <c:v>16000</c:v>
                </c:pt>
                <c:pt idx="70">
                  <c:v>16500</c:v>
                </c:pt>
                <c:pt idx="71">
                  <c:v>17000</c:v>
                </c:pt>
                <c:pt idx="72">
                  <c:v>17500</c:v>
                </c:pt>
                <c:pt idx="73">
                  <c:v>18000</c:v>
                </c:pt>
                <c:pt idx="74">
                  <c:v>18500</c:v>
                </c:pt>
                <c:pt idx="75">
                  <c:v>19000</c:v>
                </c:pt>
                <c:pt idx="76">
                  <c:v>19500</c:v>
                </c:pt>
                <c:pt idx="77">
                  <c:v>20000</c:v>
                </c:pt>
                <c:pt idx="78">
                  <c:v>20500</c:v>
                </c:pt>
                <c:pt idx="79">
                  <c:v>21000</c:v>
                </c:pt>
                <c:pt idx="80">
                  <c:v>21500</c:v>
                </c:pt>
                <c:pt idx="81">
                  <c:v>22000</c:v>
                </c:pt>
                <c:pt idx="82">
                  <c:v>22500</c:v>
                </c:pt>
                <c:pt idx="83">
                  <c:v>23000</c:v>
                </c:pt>
                <c:pt idx="84">
                  <c:v>23500</c:v>
                </c:pt>
                <c:pt idx="85">
                  <c:v>24000</c:v>
                </c:pt>
                <c:pt idx="86">
                  <c:v>24500</c:v>
                </c:pt>
                <c:pt idx="87">
                  <c:v>25000</c:v>
                </c:pt>
                <c:pt idx="88">
                  <c:v>25500</c:v>
                </c:pt>
                <c:pt idx="89">
                  <c:v>26000</c:v>
                </c:pt>
                <c:pt idx="90">
                  <c:v>26500</c:v>
                </c:pt>
                <c:pt idx="91">
                  <c:v>27000</c:v>
                </c:pt>
                <c:pt idx="92">
                  <c:v>27500</c:v>
                </c:pt>
                <c:pt idx="93">
                  <c:v>28000</c:v>
                </c:pt>
                <c:pt idx="94">
                  <c:v>28500</c:v>
                </c:pt>
                <c:pt idx="95">
                  <c:v>29000</c:v>
                </c:pt>
                <c:pt idx="96">
                  <c:v>29500</c:v>
                </c:pt>
                <c:pt idx="97">
                  <c:v>30000</c:v>
                </c:pt>
                <c:pt idx="98">
                  <c:v>30500</c:v>
                </c:pt>
                <c:pt idx="99">
                  <c:v>31000</c:v>
                </c:pt>
                <c:pt idx="100">
                  <c:v>31500</c:v>
                </c:pt>
                <c:pt idx="101">
                  <c:v>32000</c:v>
                </c:pt>
                <c:pt idx="102">
                  <c:v>32500</c:v>
                </c:pt>
                <c:pt idx="103">
                  <c:v>33000</c:v>
                </c:pt>
                <c:pt idx="104">
                  <c:v>33500</c:v>
                </c:pt>
                <c:pt idx="105">
                  <c:v>34000</c:v>
                </c:pt>
                <c:pt idx="106">
                  <c:v>34500</c:v>
                </c:pt>
                <c:pt idx="107">
                  <c:v>35000</c:v>
                </c:pt>
                <c:pt idx="108">
                  <c:v>35500</c:v>
                </c:pt>
                <c:pt idx="109">
                  <c:v>36000</c:v>
                </c:pt>
                <c:pt idx="110">
                  <c:v>36500</c:v>
                </c:pt>
                <c:pt idx="111">
                  <c:v>37000</c:v>
                </c:pt>
                <c:pt idx="112">
                  <c:v>37500</c:v>
                </c:pt>
                <c:pt idx="113">
                  <c:v>38000</c:v>
                </c:pt>
                <c:pt idx="114">
                  <c:v>38500</c:v>
                </c:pt>
                <c:pt idx="115">
                  <c:v>39000</c:v>
                </c:pt>
                <c:pt idx="116">
                  <c:v>39500</c:v>
                </c:pt>
                <c:pt idx="117">
                  <c:v>40000</c:v>
                </c:pt>
                <c:pt idx="118">
                  <c:v>40500</c:v>
                </c:pt>
                <c:pt idx="119">
                  <c:v>41000</c:v>
                </c:pt>
                <c:pt idx="120">
                  <c:v>41500</c:v>
                </c:pt>
                <c:pt idx="121">
                  <c:v>42000</c:v>
                </c:pt>
                <c:pt idx="122">
                  <c:v>42500</c:v>
                </c:pt>
                <c:pt idx="123">
                  <c:v>43000</c:v>
                </c:pt>
                <c:pt idx="124">
                  <c:v>43500</c:v>
                </c:pt>
                <c:pt idx="125">
                  <c:v>44000</c:v>
                </c:pt>
                <c:pt idx="126">
                  <c:v>44500</c:v>
                </c:pt>
                <c:pt idx="127">
                  <c:v>45000</c:v>
                </c:pt>
                <c:pt idx="128">
                  <c:v>45500</c:v>
                </c:pt>
                <c:pt idx="129">
                  <c:v>46000</c:v>
                </c:pt>
                <c:pt idx="130">
                  <c:v>46500</c:v>
                </c:pt>
                <c:pt idx="131">
                  <c:v>47000</c:v>
                </c:pt>
                <c:pt idx="132">
                  <c:v>47500</c:v>
                </c:pt>
                <c:pt idx="133">
                  <c:v>48000</c:v>
                </c:pt>
                <c:pt idx="134">
                  <c:v>48500</c:v>
                </c:pt>
                <c:pt idx="135">
                  <c:v>49000</c:v>
                </c:pt>
                <c:pt idx="136">
                  <c:v>49500</c:v>
                </c:pt>
                <c:pt idx="137">
                  <c:v>50000</c:v>
                </c:pt>
                <c:pt idx="138">
                  <c:v>51000</c:v>
                </c:pt>
                <c:pt idx="139">
                  <c:v>52000</c:v>
                </c:pt>
                <c:pt idx="140">
                  <c:v>53000</c:v>
                </c:pt>
                <c:pt idx="141">
                  <c:v>54000</c:v>
                </c:pt>
                <c:pt idx="142">
                  <c:v>55000</c:v>
                </c:pt>
                <c:pt idx="143">
                  <c:v>56000</c:v>
                </c:pt>
                <c:pt idx="144">
                  <c:v>57000</c:v>
                </c:pt>
                <c:pt idx="145">
                  <c:v>58000</c:v>
                </c:pt>
                <c:pt idx="146">
                  <c:v>59000</c:v>
                </c:pt>
                <c:pt idx="147">
                  <c:v>60000</c:v>
                </c:pt>
                <c:pt idx="148">
                  <c:v>62000</c:v>
                </c:pt>
                <c:pt idx="149">
                  <c:v>64000</c:v>
                </c:pt>
                <c:pt idx="150">
                  <c:v>68000</c:v>
                </c:pt>
                <c:pt idx="151">
                  <c:v>68000</c:v>
                </c:pt>
                <c:pt idx="152">
                  <c:v>70000</c:v>
                </c:pt>
                <c:pt idx="153">
                  <c:v>72000</c:v>
                </c:pt>
              </c:numCache>
            </c:numRef>
          </c:xVal>
          <c:yVal>
            <c:numRef>
              <c:f>'1V'!$J$14:$J$167</c:f>
              <c:numCache>
                <c:formatCode>0.0</c:formatCode>
                <c:ptCount val="154"/>
                <c:pt idx="0">
                  <c:v>3.8</c:v>
                </c:pt>
                <c:pt idx="1">
                  <c:v>8.6999999999999993</c:v>
                </c:pt>
                <c:pt idx="2">
                  <c:v>8.5</c:v>
                </c:pt>
                <c:pt idx="3">
                  <c:v>8.5</c:v>
                </c:pt>
                <c:pt idx="4">
                  <c:v>7.5</c:v>
                </c:pt>
                <c:pt idx="5">
                  <c:v>9</c:v>
                </c:pt>
                <c:pt idx="6">
                  <c:v>8.4</c:v>
                </c:pt>
                <c:pt idx="7">
                  <c:v>8.4</c:v>
                </c:pt>
                <c:pt idx="8">
                  <c:v>8.1999999999999993</c:v>
                </c:pt>
                <c:pt idx="9">
                  <c:v>8.1</c:v>
                </c:pt>
                <c:pt idx="10">
                  <c:v>8.8000000000000007</c:v>
                </c:pt>
                <c:pt idx="11">
                  <c:v>8.9</c:v>
                </c:pt>
                <c:pt idx="12">
                  <c:v>7.7</c:v>
                </c:pt>
                <c:pt idx="13">
                  <c:v>8.3000000000000007</c:v>
                </c:pt>
                <c:pt idx="14">
                  <c:v>7.8</c:v>
                </c:pt>
                <c:pt idx="15">
                  <c:v>7.7</c:v>
                </c:pt>
                <c:pt idx="16">
                  <c:v>7.9</c:v>
                </c:pt>
                <c:pt idx="17">
                  <c:v>8.4</c:v>
                </c:pt>
                <c:pt idx="18">
                  <c:v>8.1999999999999993</c:v>
                </c:pt>
                <c:pt idx="19">
                  <c:v>8</c:v>
                </c:pt>
                <c:pt idx="20">
                  <c:v>8.3000000000000007</c:v>
                </c:pt>
                <c:pt idx="21">
                  <c:v>8.4</c:v>
                </c:pt>
                <c:pt idx="22">
                  <c:v>8.3000000000000007</c:v>
                </c:pt>
                <c:pt idx="23">
                  <c:v>7.6</c:v>
                </c:pt>
                <c:pt idx="24">
                  <c:v>7.3</c:v>
                </c:pt>
                <c:pt idx="25">
                  <c:v>8.3000000000000007</c:v>
                </c:pt>
                <c:pt idx="26">
                  <c:v>7.8</c:v>
                </c:pt>
                <c:pt idx="27">
                  <c:v>8.3000000000000007</c:v>
                </c:pt>
                <c:pt idx="28">
                  <c:v>7</c:v>
                </c:pt>
                <c:pt idx="29">
                  <c:v>8.3000000000000007</c:v>
                </c:pt>
                <c:pt idx="30">
                  <c:v>8.1999999999999993</c:v>
                </c:pt>
                <c:pt idx="31">
                  <c:v>7.6</c:v>
                </c:pt>
                <c:pt idx="32">
                  <c:v>8.3000000000000007</c:v>
                </c:pt>
                <c:pt idx="33">
                  <c:v>7.6</c:v>
                </c:pt>
                <c:pt idx="34">
                  <c:v>7.8</c:v>
                </c:pt>
                <c:pt idx="35">
                  <c:v>7.6</c:v>
                </c:pt>
                <c:pt idx="36">
                  <c:v>7.1</c:v>
                </c:pt>
                <c:pt idx="37">
                  <c:v>7.9</c:v>
                </c:pt>
                <c:pt idx="38">
                  <c:v>7.4</c:v>
                </c:pt>
                <c:pt idx="39">
                  <c:v>7.8</c:v>
                </c:pt>
                <c:pt idx="40">
                  <c:v>8.1</c:v>
                </c:pt>
                <c:pt idx="41">
                  <c:v>8.1999999999999993</c:v>
                </c:pt>
                <c:pt idx="42">
                  <c:v>8.1999999999999993</c:v>
                </c:pt>
                <c:pt idx="43">
                  <c:v>8.1</c:v>
                </c:pt>
                <c:pt idx="44">
                  <c:v>8.1999999999999993</c:v>
                </c:pt>
                <c:pt idx="45">
                  <c:v>8.1</c:v>
                </c:pt>
                <c:pt idx="46">
                  <c:v>7.3</c:v>
                </c:pt>
                <c:pt idx="47">
                  <c:v>8.8000000000000007</c:v>
                </c:pt>
                <c:pt idx="48">
                  <c:v>8</c:v>
                </c:pt>
                <c:pt idx="49">
                  <c:v>7.2</c:v>
                </c:pt>
                <c:pt idx="50">
                  <c:v>8</c:v>
                </c:pt>
                <c:pt idx="51">
                  <c:v>7.3</c:v>
                </c:pt>
                <c:pt idx="52">
                  <c:v>7.9</c:v>
                </c:pt>
                <c:pt idx="53">
                  <c:v>8.1</c:v>
                </c:pt>
                <c:pt idx="54">
                  <c:v>8.1999999999999993</c:v>
                </c:pt>
                <c:pt idx="55">
                  <c:v>8.1</c:v>
                </c:pt>
                <c:pt idx="56">
                  <c:v>8.1999999999999993</c:v>
                </c:pt>
                <c:pt idx="57">
                  <c:v>7.5</c:v>
                </c:pt>
                <c:pt idx="58">
                  <c:v>8.4</c:v>
                </c:pt>
                <c:pt idx="59">
                  <c:v>8.5</c:v>
                </c:pt>
                <c:pt idx="60">
                  <c:v>7.7</c:v>
                </c:pt>
                <c:pt idx="61">
                  <c:v>8.4</c:v>
                </c:pt>
                <c:pt idx="62">
                  <c:v>7.8</c:v>
                </c:pt>
                <c:pt idx="63">
                  <c:v>8.9</c:v>
                </c:pt>
                <c:pt idx="64">
                  <c:v>7.9</c:v>
                </c:pt>
                <c:pt idx="65">
                  <c:v>8.4</c:v>
                </c:pt>
                <c:pt idx="66">
                  <c:v>8.4</c:v>
                </c:pt>
                <c:pt idx="67">
                  <c:v>8</c:v>
                </c:pt>
                <c:pt idx="68">
                  <c:v>8.6</c:v>
                </c:pt>
                <c:pt idx="69">
                  <c:v>8.4</c:v>
                </c:pt>
                <c:pt idx="70">
                  <c:v>8.5</c:v>
                </c:pt>
                <c:pt idx="71">
                  <c:v>8.9</c:v>
                </c:pt>
                <c:pt idx="72">
                  <c:v>9.4</c:v>
                </c:pt>
                <c:pt idx="73">
                  <c:v>8.6</c:v>
                </c:pt>
                <c:pt idx="74">
                  <c:v>8.9</c:v>
                </c:pt>
                <c:pt idx="75">
                  <c:v>8.4</c:v>
                </c:pt>
                <c:pt idx="76">
                  <c:v>8.1</c:v>
                </c:pt>
                <c:pt idx="77">
                  <c:v>8.5</c:v>
                </c:pt>
                <c:pt idx="78">
                  <c:v>8.4</c:v>
                </c:pt>
                <c:pt idx="79">
                  <c:v>9</c:v>
                </c:pt>
                <c:pt idx="80">
                  <c:v>8.1</c:v>
                </c:pt>
                <c:pt idx="81">
                  <c:v>9.1999999999999993</c:v>
                </c:pt>
                <c:pt idx="82">
                  <c:v>8</c:v>
                </c:pt>
                <c:pt idx="83">
                  <c:v>8.8000000000000007</c:v>
                </c:pt>
                <c:pt idx="84">
                  <c:v>8.5</c:v>
                </c:pt>
                <c:pt idx="85">
                  <c:v>8.4</c:v>
                </c:pt>
                <c:pt idx="86">
                  <c:v>9.4</c:v>
                </c:pt>
                <c:pt idx="87">
                  <c:v>9.8000000000000007</c:v>
                </c:pt>
                <c:pt idx="88">
                  <c:v>9.4</c:v>
                </c:pt>
                <c:pt idx="89">
                  <c:v>9.8000000000000007</c:v>
                </c:pt>
                <c:pt idx="90">
                  <c:v>8.6999999999999993</c:v>
                </c:pt>
                <c:pt idx="91">
                  <c:v>8.4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9.1</c:v>
                </c:pt>
                <c:pt idx="95">
                  <c:v>9.1999999999999993</c:v>
                </c:pt>
                <c:pt idx="96">
                  <c:v>9.6</c:v>
                </c:pt>
                <c:pt idx="97">
                  <c:v>9.6</c:v>
                </c:pt>
                <c:pt idx="98">
                  <c:v>8.5</c:v>
                </c:pt>
                <c:pt idx="99">
                  <c:v>8.5</c:v>
                </c:pt>
                <c:pt idx="100">
                  <c:v>9.1999999999999993</c:v>
                </c:pt>
                <c:pt idx="101">
                  <c:v>9.1</c:v>
                </c:pt>
                <c:pt idx="102">
                  <c:v>9</c:v>
                </c:pt>
                <c:pt idx="103">
                  <c:v>9.3000000000000007</c:v>
                </c:pt>
                <c:pt idx="104">
                  <c:v>9.3000000000000007</c:v>
                </c:pt>
                <c:pt idx="105">
                  <c:v>9.5</c:v>
                </c:pt>
                <c:pt idx="106">
                  <c:v>9.1999999999999993</c:v>
                </c:pt>
                <c:pt idx="107">
                  <c:v>9.1</c:v>
                </c:pt>
                <c:pt idx="108">
                  <c:v>9.1999999999999993</c:v>
                </c:pt>
                <c:pt idx="109">
                  <c:v>9</c:v>
                </c:pt>
                <c:pt idx="110">
                  <c:v>8.9</c:v>
                </c:pt>
                <c:pt idx="111">
                  <c:v>9.5</c:v>
                </c:pt>
                <c:pt idx="112">
                  <c:v>9.3000000000000007</c:v>
                </c:pt>
                <c:pt idx="113">
                  <c:v>9.3000000000000007</c:v>
                </c:pt>
                <c:pt idx="114">
                  <c:v>9.9</c:v>
                </c:pt>
                <c:pt idx="115">
                  <c:v>9</c:v>
                </c:pt>
                <c:pt idx="116">
                  <c:v>9.6999999999999993</c:v>
                </c:pt>
                <c:pt idx="117">
                  <c:v>9.6</c:v>
                </c:pt>
                <c:pt idx="118">
                  <c:v>9.1999999999999993</c:v>
                </c:pt>
                <c:pt idx="119">
                  <c:v>9.5</c:v>
                </c:pt>
                <c:pt idx="120">
                  <c:v>9.9</c:v>
                </c:pt>
                <c:pt idx="121">
                  <c:v>9.9</c:v>
                </c:pt>
                <c:pt idx="122">
                  <c:v>9.4</c:v>
                </c:pt>
                <c:pt idx="123">
                  <c:v>9.8000000000000007</c:v>
                </c:pt>
                <c:pt idx="124">
                  <c:v>9.6999999999999993</c:v>
                </c:pt>
                <c:pt idx="125">
                  <c:v>9.8000000000000007</c:v>
                </c:pt>
                <c:pt idx="126">
                  <c:v>9.6</c:v>
                </c:pt>
                <c:pt idx="127">
                  <c:v>9.9</c:v>
                </c:pt>
                <c:pt idx="128">
                  <c:v>9.8000000000000007</c:v>
                </c:pt>
                <c:pt idx="129">
                  <c:v>9.9</c:v>
                </c:pt>
                <c:pt idx="130">
                  <c:v>9.9</c:v>
                </c:pt>
                <c:pt idx="131">
                  <c:v>10.199999999999999</c:v>
                </c:pt>
                <c:pt idx="132">
                  <c:v>10.199999999999999</c:v>
                </c:pt>
                <c:pt idx="133">
                  <c:v>10.199999999999999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10.7</c:v>
                </c:pt>
                <c:pt idx="137">
                  <c:v>10</c:v>
                </c:pt>
                <c:pt idx="138">
                  <c:v>9.9</c:v>
                </c:pt>
                <c:pt idx="139">
                  <c:v>10.7</c:v>
                </c:pt>
                <c:pt idx="140">
                  <c:v>10.7</c:v>
                </c:pt>
                <c:pt idx="141">
                  <c:v>10.4</c:v>
                </c:pt>
                <c:pt idx="142">
                  <c:v>10.5</c:v>
                </c:pt>
                <c:pt idx="143">
                  <c:v>10.6</c:v>
                </c:pt>
                <c:pt idx="144">
                  <c:v>10.7</c:v>
                </c:pt>
                <c:pt idx="145">
                  <c:v>11.2</c:v>
                </c:pt>
                <c:pt idx="146">
                  <c:v>11.1</c:v>
                </c:pt>
                <c:pt idx="147">
                  <c:v>10.8</c:v>
                </c:pt>
                <c:pt idx="148">
                  <c:v>11.5</c:v>
                </c:pt>
                <c:pt idx="149">
                  <c:v>12.1</c:v>
                </c:pt>
                <c:pt idx="150">
                  <c:v>12.8</c:v>
                </c:pt>
                <c:pt idx="151">
                  <c:v>13.9</c:v>
                </c:pt>
                <c:pt idx="152">
                  <c:v>18.3</c:v>
                </c:pt>
                <c:pt idx="153">
                  <c:v>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E5-4B8B-910D-1ABB5CD68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410661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8336756586968207"/>
              <c:y val="0.902723735408560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nl-NL" sz="85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mix</a:t>
                </a: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[MPa]</a:t>
                </a:r>
                <a:endPara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2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3.6511156186612576E-2"/>
              <c:y val="0.4241245136186770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10661224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  <c:max val="3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Fase-hoek [°]</a:t>
                </a:r>
              </a:p>
            </c:rich>
          </c:tx>
          <c:layout>
            <c:manualLayout>
              <c:xMode val="edge"/>
              <c:yMode val="edge"/>
              <c:x val="0.93914892484281243"/>
              <c:y val="0.3463035019455252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6586197013770593"/>
          <c:y val="3.6144658051621148E-2"/>
          <c:w val="0.21256097143861341"/>
          <c:h val="0.219880003147361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1V</a:t>
            </a:r>
          </a:p>
        </c:rich>
      </c:tx>
      <c:layout>
        <c:manualLayout>
          <c:xMode val="edge"/>
          <c:yMode val="edge"/>
          <c:x val="0.46761133603238869"/>
          <c:y val="3.87596899224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7327935222673"/>
          <c:y val="0.18992319950338959"/>
          <c:w val="0.77327935222672062"/>
          <c:h val="0.61240541880684807"/>
        </c:manualLayout>
      </c:layout>
      <c:scatterChart>
        <c:scatterStyle val="lineMarker"/>
        <c:varyColors val="0"/>
        <c:ser>
          <c:idx val="3"/>
          <c:order val="0"/>
          <c:tx>
            <c:v>Perm. rek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'1V'!$C$14:$C$167</c:f>
              <c:numCache>
                <c:formatCode>General</c:formatCode>
                <c:ptCount val="15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  <c:pt idx="29">
                  <c:v>800</c:v>
                </c:pt>
                <c:pt idx="30">
                  <c:v>900</c:v>
                </c:pt>
                <c:pt idx="31">
                  <c:v>1000</c:v>
                </c:pt>
                <c:pt idx="32">
                  <c:v>1100</c:v>
                </c:pt>
                <c:pt idx="33">
                  <c:v>1200</c:v>
                </c:pt>
                <c:pt idx="34">
                  <c:v>1300</c:v>
                </c:pt>
                <c:pt idx="35">
                  <c:v>1400</c:v>
                </c:pt>
                <c:pt idx="36">
                  <c:v>1500</c:v>
                </c:pt>
                <c:pt idx="37">
                  <c:v>1600</c:v>
                </c:pt>
                <c:pt idx="38">
                  <c:v>1700</c:v>
                </c:pt>
                <c:pt idx="39">
                  <c:v>1800</c:v>
                </c:pt>
                <c:pt idx="40">
                  <c:v>1900</c:v>
                </c:pt>
                <c:pt idx="41">
                  <c:v>2000</c:v>
                </c:pt>
                <c:pt idx="42">
                  <c:v>2500</c:v>
                </c:pt>
                <c:pt idx="43">
                  <c:v>3000</c:v>
                </c:pt>
                <c:pt idx="44">
                  <c:v>3500</c:v>
                </c:pt>
                <c:pt idx="45">
                  <c:v>4000</c:v>
                </c:pt>
                <c:pt idx="46">
                  <c:v>4500</c:v>
                </c:pt>
                <c:pt idx="47">
                  <c:v>5000</c:v>
                </c:pt>
                <c:pt idx="48">
                  <c:v>5500</c:v>
                </c:pt>
                <c:pt idx="49">
                  <c:v>6000</c:v>
                </c:pt>
                <c:pt idx="50">
                  <c:v>6500</c:v>
                </c:pt>
                <c:pt idx="51">
                  <c:v>7000</c:v>
                </c:pt>
                <c:pt idx="52">
                  <c:v>7500</c:v>
                </c:pt>
                <c:pt idx="53">
                  <c:v>8000</c:v>
                </c:pt>
                <c:pt idx="54">
                  <c:v>8500</c:v>
                </c:pt>
                <c:pt idx="55">
                  <c:v>9000</c:v>
                </c:pt>
                <c:pt idx="56">
                  <c:v>9500</c:v>
                </c:pt>
                <c:pt idx="57">
                  <c:v>10000</c:v>
                </c:pt>
                <c:pt idx="58">
                  <c:v>10500</c:v>
                </c:pt>
                <c:pt idx="59">
                  <c:v>11000</c:v>
                </c:pt>
                <c:pt idx="60">
                  <c:v>11500</c:v>
                </c:pt>
                <c:pt idx="61">
                  <c:v>12000</c:v>
                </c:pt>
                <c:pt idx="62">
                  <c:v>12500</c:v>
                </c:pt>
                <c:pt idx="63">
                  <c:v>13000</c:v>
                </c:pt>
                <c:pt idx="64">
                  <c:v>13500</c:v>
                </c:pt>
                <c:pt idx="65">
                  <c:v>14000</c:v>
                </c:pt>
                <c:pt idx="66">
                  <c:v>14500</c:v>
                </c:pt>
                <c:pt idx="67">
                  <c:v>15000</c:v>
                </c:pt>
                <c:pt idx="68">
                  <c:v>15500</c:v>
                </c:pt>
                <c:pt idx="69">
                  <c:v>16000</c:v>
                </c:pt>
                <c:pt idx="70">
                  <c:v>16500</c:v>
                </c:pt>
                <c:pt idx="71">
                  <c:v>17000</c:v>
                </c:pt>
                <c:pt idx="72">
                  <c:v>17500</c:v>
                </c:pt>
                <c:pt idx="73">
                  <c:v>18000</c:v>
                </c:pt>
                <c:pt idx="74">
                  <c:v>18500</c:v>
                </c:pt>
                <c:pt idx="75">
                  <c:v>19000</c:v>
                </c:pt>
                <c:pt idx="76">
                  <c:v>19500</c:v>
                </c:pt>
                <c:pt idx="77">
                  <c:v>20000</c:v>
                </c:pt>
                <c:pt idx="78">
                  <c:v>20500</c:v>
                </c:pt>
                <c:pt idx="79">
                  <c:v>21000</c:v>
                </c:pt>
                <c:pt idx="80">
                  <c:v>21500</c:v>
                </c:pt>
                <c:pt idx="81">
                  <c:v>22000</c:v>
                </c:pt>
                <c:pt idx="82">
                  <c:v>22500</c:v>
                </c:pt>
                <c:pt idx="83">
                  <c:v>23000</c:v>
                </c:pt>
                <c:pt idx="84">
                  <c:v>23500</c:v>
                </c:pt>
                <c:pt idx="85">
                  <c:v>24000</c:v>
                </c:pt>
                <c:pt idx="86">
                  <c:v>24500</c:v>
                </c:pt>
                <c:pt idx="87">
                  <c:v>25000</c:v>
                </c:pt>
                <c:pt idx="88">
                  <c:v>25500</c:v>
                </c:pt>
                <c:pt idx="89">
                  <c:v>26000</c:v>
                </c:pt>
                <c:pt idx="90">
                  <c:v>26500</c:v>
                </c:pt>
                <c:pt idx="91">
                  <c:v>27000</c:v>
                </c:pt>
                <c:pt idx="92">
                  <c:v>27500</c:v>
                </c:pt>
                <c:pt idx="93">
                  <c:v>28000</c:v>
                </c:pt>
                <c:pt idx="94">
                  <c:v>28500</c:v>
                </c:pt>
                <c:pt idx="95">
                  <c:v>29000</c:v>
                </c:pt>
                <c:pt idx="96">
                  <c:v>29500</c:v>
                </c:pt>
                <c:pt idx="97">
                  <c:v>30000</c:v>
                </c:pt>
                <c:pt idx="98">
                  <c:v>30500</c:v>
                </c:pt>
                <c:pt idx="99">
                  <c:v>31000</c:v>
                </c:pt>
                <c:pt idx="100">
                  <c:v>31500</c:v>
                </c:pt>
                <c:pt idx="101">
                  <c:v>32000</c:v>
                </c:pt>
                <c:pt idx="102">
                  <c:v>32500</c:v>
                </c:pt>
                <c:pt idx="103">
                  <c:v>33000</c:v>
                </c:pt>
                <c:pt idx="104">
                  <c:v>33500</c:v>
                </c:pt>
                <c:pt idx="105">
                  <c:v>34000</c:v>
                </c:pt>
                <c:pt idx="106">
                  <c:v>34500</c:v>
                </c:pt>
                <c:pt idx="107">
                  <c:v>35000</c:v>
                </c:pt>
                <c:pt idx="108">
                  <c:v>35500</c:v>
                </c:pt>
                <c:pt idx="109">
                  <c:v>36000</c:v>
                </c:pt>
                <c:pt idx="110">
                  <c:v>36500</c:v>
                </c:pt>
                <c:pt idx="111">
                  <c:v>37000</c:v>
                </c:pt>
                <c:pt idx="112">
                  <c:v>37500</c:v>
                </c:pt>
                <c:pt idx="113">
                  <c:v>38000</c:v>
                </c:pt>
                <c:pt idx="114">
                  <c:v>38500</c:v>
                </c:pt>
                <c:pt idx="115">
                  <c:v>39000</c:v>
                </c:pt>
                <c:pt idx="116">
                  <c:v>39500</c:v>
                </c:pt>
                <c:pt idx="117">
                  <c:v>40000</c:v>
                </c:pt>
                <c:pt idx="118">
                  <c:v>40500</c:v>
                </c:pt>
                <c:pt idx="119">
                  <c:v>41000</c:v>
                </c:pt>
                <c:pt idx="120">
                  <c:v>41500</c:v>
                </c:pt>
                <c:pt idx="121">
                  <c:v>42000</c:v>
                </c:pt>
                <c:pt idx="122">
                  <c:v>42500</c:v>
                </c:pt>
                <c:pt idx="123">
                  <c:v>43000</c:v>
                </c:pt>
                <c:pt idx="124">
                  <c:v>43500</c:v>
                </c:pt>
                <c:pt idx="125">
                  <c:v>44000</c:v>
                </c:pt>
                <c:pt idx="126">
                  <c:v>44500</c:v>
                </c:pt>
                <c:pt idx="127">
                  <c:v>45000</c:v>
                </c:pt>
                <c:pt idx="128">
                  <c:v>45500</c:v>
                </c:pt>
                <c:pt idx="129">
                  <c:v>46000</c:v>
                </c:pt>
                <c:pt idx="130">
                  <c:v>46500</c:v>
                </c:pt>
                <c:pt idx="131">
                  <c:v>47000</c:v>
                </c:pt>
                <c:pt idx="132">
                  <c:v>47500</c:v>
                </c:pt>
                <c:pt idx="133">
                  <c:v>48000</c:v>
                </c:pt>
                <c:pt idx="134">
                  <c:v>48500</c:v>
                </c:pt>
                <c:pt idx="135">
                  <c:v>49000</c:v>
                </c:pt>
                <c:pt idx="136">
                  <c:v>49500</c:v>
                </c:pt>
                <c:pt idx="137">
                  <c:v>50000</c:v>
                </c:pt>
                <c:pt idx="138">
                  <c:v>51000</c:v>
                </c:pt>
                <c:pt idx="139">
                  <c:v>52000</c:v>
                </c:pt>
                <c:pt idx="140">
                  <c:v>53000</c:v>
                </c:pt>
                <c:pt idx="141">
                  <c:v>54000</c:v>
                </c:pt>
                <c:pt idx="142">
                  <c:v>55000</c:v>
                </c:pt>
                <c:pt idx="143">
                  <c:v>56000</c:v>
                </c:pt>
                <c:pt idx="144">
                  <c:v>57000</c:v>
                </c:pt>
                <c:pt idx="145">
                  <c:v>58000</c:v>
                </c:pt>
                <c:pt idx="146">
                  <c:v>59000</c:v>
                </c:pt>
                <c:pt idx="147">
                  <c:v>60000</c:v>
                </c:pt>
                <c:pt idx="148">
                  <c:v>62000</c:v>
                </c:pt>
                <c:pt idx="149">
                  <c:v>64000</c:v>
                </c:pt>
                <c:pt idx="150">
                  <c:v>68000</c:v>
                </c:pt>
                <c:pt idx="151">
                  <c:v>68000</c:v>
                </c:pt>
                <c:pt idx="152">
                  <c:v>70000</c:v>
                </c:pt>
                <c:pt idx="153">
                  <c:v>72000</c:v>
                </c:pt>
              </c:numCache>
            </c:numRef>
          </c:xVal>
          <c:yVal>
            <c:numRef>
              <c:f>'1V'!$F$14:$F$167</c:f>
              <c:numCache>
                <c:formatCode>General</c:formatCode>
                <c:ptCount val="154"/>
                <c:pt idx="0">
                  <c:v>0</c:v>
                </c:pt>
                <c:pt idx="1">
                  <c:v>208</c:v>
                </c:pt>
                <c:pt idx="2">
                  <c:v>280</c:v>
                </c:pt>
                <c:pt idx="3">
                  <c:v>341</c:v>
                </c:pt>
                <c:pt idx="4">
                  <c:v>383</c:v>
                </c:pt>
                <c:pt idx="5">
                  <c:v>428</c:v>
                </c:pt>
                <c:pt idx="6">
                  <c:v>477</c:v>
                </c:pt>
                <c:pt idx="7">
                  <c:v>508</c:v>
                </c:pt>
                <c:pt idx="8">
                  <c:v>526</c:v>
                </c:pt>
                <c:pt idx="9">
                  <c:v>579</c:v>
                </c:pt>
                <c:pt idx="10">
                  <c:v>591</c:v>
                </c:pt>
                <c:pt idx="11">
                  <c:v>659</c:v>
                </c:pt>
                <c:pt idx="12">
                  <c:v>739</c:v>
                </c:pt>
                <c:pt idx="13">
                  <c:v>780</c:v>
                </c:pt>
                <c:pt idx="14">
                  <c:v>837</c:v>
                </c:pt>
                <c:pt idx="15">
                  <c:v>890</c:v>
                </c:pt>
                <c:pt idx="16">
                  <c:v>958</c:v>
                </c:pt>
                <c:pt idx="17">
                  <c:v>996</c:v>
                </c:pt>
                <c:pt idx="18">
                  <c:v>1053</c:v>
                </c:pt>
                <c:pt idx="19">
                  <c:v>1102</c:v>
                </c:pt>
                <c:pt idx="20">
                  <c:v>1129</c:v>
                </c:pt>
                <c:pt idx="21">
                  <c:v>1174</c:v>
                </c:pt>
                <c:pt idx="22">
                  <c:v>1204</c:v>
                </c:pt>
                <c:pt idx="23">
                  <c:v>1239</c:v>
                </c:pt>
                <c:pt idx="24">
                  <c:v>1276</c:v>
                </c:pt>
                <c:pt idx="25">
                  <c:v>1322</c:v>
                </c:pt>
                <c:pt idx="26">
                  <c:v>1356</c:v>
                </c:pt>
                <c:pt idx="27">
                  <c:v>1492</c:v>
                </c:pt>
                <c:pt idx="28">
                  <c:v>1591</c:v>
                </c:pt>
                <c:pt idx="29">
                  <c:v>1693</c:v>
                </c:pt>
                <c:pt idx="30">
                  <c:v>1810</c:v>
                </c:pt>
                <c:pt idx="31">
                  <c:v>1901</c:v>
                </c:pt>
                <c:pt idx="32">
                  <c:v>1981</c:v>
                </c:pt>
                <c:pt idx="33">
                  <c:v>2064</c:v>
                </c:pt>
                <c:pt idx="34">
                  <c:v>2148</c:v>
                </c:pt>
                <c:pt idx="35">
                  <c:v>2216</c:v>
                </c:pt>
                <c:pt idx="36">
                  <c:v>2299</c:v>
                </c:pt>
                <c:pt idx="37">
                  <c:v>2371</c:v>
                </c:pt>
                <c:pt idx="38">
                  <c:v>2428</c:v>
                </c:pt>
                <c:pt idx="39">
                  <c:v>2504</c:v>
                </c:pt>
                <c:pt idx="40">
                  <c:v>2587</c:v>
                </c:pt>
                <c:pt idx="41">
                  <c:v>2632</c:v>
                </c:pt>
                <c:pt idx="42">
                  <c:v>2928</c:v>
                </c:pt>
                <c:pt idx="43">
                  <c:v>3189</c:v>
                </c:pt>
                <c:pt idx="44">
                  <c:v>3416</c:v>
                </c:pt>
                <c:pt idx="45">
                  <c:v>3663</c:v>
                </c:pt>
                <c:pt idx="46">
                  <c:v>3867</c:v>
                </c:pt>
                <c:pt idx="47">
                  <c:v>4049</c:v>
                </c:pt>
                <c:pt idx="48">
                  <c:v>4242</c:v>
                </c:pt>
                <c:pt idx="49">
                  <c:v>4420</c:v>
                </c:pt>
                <c:pt idx="50">
                  <c:v>4572</c:v>
                </c:pt>
                <c:pt idx="51">
                  <c:v>4761</c:v>
                </c:pt>
                <c:pt idx="52">
                  <c:v>4946</c:v>
                </c:pt>
                <c:pt idx="53">
                  <c:v>5083</c:v>
                </c:pt>
                <c:pt idx="54">
                  <c:v>5246</c:v>
                </c:pt>
                <c:pt idx="55">
                  <c:v>5378</c:v>
                </c:pt>
                <c:pt idx="56">
                  <c:v>5541</c:v>
                </c:pt>
                <c:pt idx="57">
                  <c:v>5681</c:v>
                </c:pt>
                <c:pt idx="58">
                  <c:v>5821</c:v>
                </c:pt>
                <c:pt idx="59">
                  <c:v>5954</c:v>
                </c:pt>
                <c:pt idx="60">
                  <c:v>6098</c:v>
                </c:pt>
                <c:pt idx="61">
                  <c:v>6219</c:v>
                </c:pt>
                <c:pt idx="62">
                  <c:v>6378</c:v>
                </c:pt>
                <c:pt idx="63">
                  <c:v>6480</c:v>
                </c:pt>
                <c:pt idx="64">
                  <c:v>6624</c:v>
                </c:pt>
                <c:pt idx="65">
                  <c:v>6772</c:v>
                </c:pt>
                <c:pt idx="66">
                  <c:v>6905</c:v>
                </c:pt>
                <c:pt idx="67">
                  <c:v>7014</c:v>
                </c:pt>
                <c:pt idx="68">
                  <c:v>7151</c:v>
                </c:pt>
                <c:pt idx="69">
                  <c:v>7302</c:v>
                </c:pt>
                <c:pt idx="70">
                  <c:v>7405</c:v>
                </c:pt>
                <c:pt idx="71">
                  <c:v>7526</c:v>
                </c:pt>
                <c:pt idx="72">
                  <c:v>7632</c:v>
                </c:pt>
                <c:pt idx="73">
                  <c:v>7761</c:v>
                </c:pt>
                <c:pt idx="74">
                  <c:v>7874</c:v>
                </c:pt>
                <c:pt idx="75">
                  <c:v>7980</c:v>
                </c:pt>
                <c:pt idx="76">
                  <c:v>8158</c:v>
                </c:pt>
                <c:pt idx="77">
                  <c:v>8336</c:v>
                </c:pt>
                <c:pt idx="78">
                  <c:v>8450</c:v>
                </c:pt>
                <c:pt idx="79">
                  <c:v>8567</c:v>
                </c:pt>
                <c:pt idx="80">
                  <c:v>8715</c:v>
                </c:pt>
                <c:pt idx="81">
                  <c:v>8802</c:v>
                </c:pt>
                <c:pt idx="82">
                  <c:v>8916</c:v>
                </c:pt>
                <c:pt idx="83">
                  <c:v>9010</c:v>
                </c:pt>
                <c:pt idx="84">
                  <c:v>9117</c:v>
                </c:pt>
                <c:pt idx="85">
                  <c:v>9185</c:v>
                </c:pt>
                <c:pt idx="86">
                  <c:v>9389</c:v>
                </c:pt>
                <c:pt idx="87">
                  <c:v>9548</c:v>
                </c:pt>
                <c:pt idx="88">
                  <c:v>9669</c:v>
                </c:pt>
                <c:pt idx="89">
                  <c:v>9794</c:v>
                </c:pt>
                <c:pt idx="90">
                  <c:v>9901</c:v>
                </c:pt>
                <c:pt idx="91">
                  <c:v>9999</c:v>
                </c:pt>
                <c:pt idx="92">
                  <c:v>10090</c:v>
                </c:pt>
                <c:pt idx="93">
                  <c:v>10207</c:v>
                </c:pt>
                <c:pt idx="94">
                  <c:v>10298</c:v>
                </c:pt>
                <c:pt idx="95">
                  <c:v>10400</c:v>
                </c:pt>
                <c:pt idx="96">
                  <c:v>10484</c:v>
                </c:pt>
                <c:pt idx="97">
                  <c:v>10582</c:v>
                </c:pt>
                <c:pt idx="98">
                  <c:v>10677</c:v>
                </c:pt>
                <c:pt idx="99">
                  <c:v>10772</c:v>
                </c:pt>
                <c:pt idx="100">
                  <c:v>10878</c:v>
                </c:pt>
                <c:pt idx="101">
                  <c:v>10991</c:v>
                </c:pt>
                <c:pt idx="102">
                  <c:v>11060</c:v>
                </c:pt>
                <c:pt idx="103">
                  <c:v>11158</c:v>
                </c:pt>
                <c:pt idx="104">
                  <c:v>11268</c:v>
                </c:pt>
                <c:pt idx="105">
                  <c:v>11347</c:v>
                </c:pt>
                <c:pt idx="106">
                  <c:v>11434</c:v>
                </c:pt>
                <c:pt idx="107">
                  <c:v>11559</c:v>
                </c:pt>
                <c:pt idx="108">
                  <c:v>11631</c:v>
                </c:pt>
                <c:pt idx="109">
                  <c:v>11722</c:v>
                </c:pt>
                <c:pt idx="110">
                  <c:v>11813</c:v>
                </c:pt>
                <c:pt idx="111">
                  <c:v>11912</c:v>
                </c:pt>
                <c:pt idx="112">
                  <c:v>11991</c:v>
                </c:pt>
                <c:pt idx="113">
                  <c:v>12093</c:v>
                </c:pt>
                <c:pt idx="114">
                  <c:v>12207</c:v>
                </c:pt>
                <c:pt idx="115">
                  <c:v>12283</c:v>
                </c:pt>
                <c:pt idx="116">
                  <c:v>12374</c:v>
                </c:pt>
                <c:pt idx="117">
                  <c:v>12491</c:v>
                </c:pt>
                <c:pt idx="118">
                  <c:v>12571</c:v>
                </c:pt>
                <c:pt idx="119">
                  <c:v>12688</c:v>
                </c:pt>
                <c:pt idx="120">
                  <c:v>12756</c:v>
                </c:pt>
                <c:pt idx="121">
                  <c:v>12840</c:v>
                </c:pt>
                <c:pt idx="122">
                  <c:v>12965</c:v>
                </c:pt>
                <c:pt idx="123">
                  <c:v>13056</c:v>
                </c:pt>
                <c:pt idx="124">
                  <c:v>13158</c:v>
                </c:pt>
                <c:pt idx="125">
                  <c:v>13237</c:v>
                </c:pt>
                <c:pt idx="126">
                  <c:v>13336</c:v>
                </c:pt>
                <c:pt idx="127">
                  <c:v>13412</c:v>
                </c:pt>
                <c:pt idx="128">
                  <c:v>13510</c:v>
                </c:pt>
                <c:pt idx="129">
                  <c:v>13620</c:v>
                </c:pt>
                <c:pt idx="130">
                  <c:v>13722</c:v>
                </c:pt>
                <c:pt idx="131">
                  <c:v>13840</c:v>
                </c:pt>
                <c:pt idx="132">
                  <c:v>13938</c:v>
                </c:pt>
                <c:pt idx="133">
                  <c:v>14052</c:v>
                </c:pt>
                <c:pt idx="134">
                  <c:v>14146</c:v>
                </c:pt>
                <c:pt idx="135">
                  <c:v>14233</c:v>
                </c:pt>
                <c:pt idx="136">
                  <c:v>14366</c:v>
                </c:pt>
                <c:pt idx="137">
                  <c:v>14464</c:v>
                </c:pt>
                <c:pt idx="138">
                  <c:v>14658</c:v>
                </c:pt>
                <c:pt idx="139">
                  <c:v>14915</c:v>
                </c:pt>
                <c:pt idx="140">
                  <c:v>15123</c:v>
                </c:pt>
                <c:pt idx="141">
                  <c:v>15362</c:v>
                </c:pt>
                <c:pt idx="142">
                  <c:v>15589</c:v>
                </c:pt>
                <c:pt idx="143">
                  <c:v>15847</c:v>
                </c:pt>
                <c:pt idx="144">
                  <c:v>16116</c:v>
                </c:pt>
                <c:pt idx="145">
                  <c:v>16373</c:v>
                </c:pt>
                <c:pt idx="146">
                  <c:v>16669</c:v>
                </c:pt>
                <c:pt idx="147">
                  <c:v>16964</c:v>
                </c:pt>
                <c:pt idx="148">
                  <c:v>17627</c:v>
                </c:pt>
                <c:pt idx="149">
                  <c:v>18475</c:v>
                </c:pt>
                <c:pt idx="150">
                  <c:v>19517</c:v>
                </c:pt>
                <c:pt idx="151">
                  <c:v>21149</c:v>
                </c:pt>
                <c:pt idx="152">
                  <c:v>26240</c:v>
                </c:pt>
                <c:pt idx="153">
                  <c:v>45749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B-4AA6-BDD4-9BFA615D8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665184"/>
        <c:axId val="1"/>
      </c:scatterChart>
      <c:valAx>
        <c:axId val="410665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9068825910931176"/>
              <c:y val="0.903104030600826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e</a:t>
                </a:r>
                <a:r>
                  <a:rPr lang="nl-NL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perm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m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m/m]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nl-NL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</c:rich>
          </c:tx>
          <c:layout>
            <c:manualLayout>
              <c:xMode val="edge"/>
              <c:yMode val="edge"/>
              <c:x val="4.6558704453441298E-2"/>
              <c:y val="0.39147449592056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106651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748801948695589"/>
          <c:y val="7.2072283432700557E-2"/>
          <c:w val="0.12641830241739077"/>
          <c:h val="7.20722834327005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3V</a:t>
            </a:r>
          </a:p>
        </c:rich>
      </c:tx>
      <c:layout>
        <c:manualLayout>
          <c:xMode val="edge"/>
          <c:yMode val="edge"/>
          <c:x val="0.46856026363844477"/>
          <c:y val="3.89105058365758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227196599261337"/>
          <c:y val="0.19066147859922178"/>
          <c:w val="0.73225224654166787"/>
          <c:h val="0.6108949416342413"/>
        </c:manualLayout>
      </c:layout>
      <c:scatterChart>
        <c:scatterStyle val="lineMarker"/>
        <c:varyColors val="0"/>
        <c:ser>
          <c:idx val="0"/>
          <c:order val="0"/>
          <c:tx>
            <c:v>E*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'3V'!$C$14:$C$44</c:f>
              <c:numCache>
                <c:formatCode>General</c:formatCode>
                <c:ptCount val="3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  <c:pt idx="29">
                  <c:v>800</c:v>
                </c:pt>
                <c:pt idx="30">
                  <c:v>900</c:v>
                </c:pt>
              </c:numCache>
            </c:numRef>
          </c:xVal>
          <c:yVal>
            <c:numRef>
              <c:f>'3V'!$I$14:$I$44</c:f>
              <c:numCache>
                <c:formatCode>0</c:formatCode>
                <c:ptCount val="31"/>
                <c:pt idx="0">
                  <c:v>3618</c:v>
                </c:pt>
                <c:pt idx="1">
                  <c:v>3653</c:v>
                </c:pt>
                <c:pt idx="2">
                  <c:v>3658</c:v>
                </c:pt>
                <c:pt idx="3">
                  <c:v>3647</c:v>
                </c:pt>
                <c:pt idx="4">
                  <c:v>3627</c:v>
                </c:pt>
                <c:pt idx="5">
                  <c:v>3615</c:v>
                </c:pt>
                <c:pt idx="6">
                  <c:v>3620</c:v>
                </c:pt>
                <c:pt idx="7">
                  <c:v>3627</c:v>
                </c:pt>
                <c:pt idx="8">
                  <c:v>3589</c:v>
                </c:pt>
                <c:pt idx="9">
                  <c:v>3604</c:v>
                </c:pt>
                <c:pt idx="10">
                  <c:v>3574</c:v>
                </c:pt>
                <c:pt idx="11">
                  <c:v>3557</c:v>
                </c:pt>
                <c:pt idx="12">
                  <c:v>3536</c:v>
                </c:pt>
                <c:pt idx="13">
                  <c:v>3507</c:v>
                </c:pt>
                <c:pt idx="14">
                  <c:v>3497</c:v>
                </c:pt>
                <c:pt idx="15">
                  <c:v>3475</c:v>
                </c:pt>
                <c:pt idx="16">
                  <c:v>3449</c:v>
                </c:pt>
                <c:pt idx="17">
                  <c:v>3456</c:v>
                </c:pt>
                <c:pt idx="18">
                  <c:v>3429</c:v>
                </c:pt>
                <c:pt idx="19">
                  <c:v>3440</c:v>
                </c:pt>
                <c:pt idx="20">
                  <c:v>3417</c:v>
                </c:pt>
                <c:pt idx="21">
                  <c:v>3407</c:v>
                </c:pt>
                <c:pt idx="22">
                  <c:v>3393</c:v>
                </c:pt>
                <c:pt idx="23">
                  <c:v>3380</c:v>
                </c:pt>
                <c:pt idx="24">
                  <c:v>3370</c:v>
                </c:pt>
                <c:pt idx="25">
                  <c:v>3363</c:v>
                </c:pt>
                <c:pt idx="26">
                  <c:v>3342</c:v>
                </c:pt>
                <c:pt idx="27">
                  <c:v>3260</c:v>
                </c:pt>
                <c:pt idx="28">
                  <c:v>3051</c:v>
                </c:pt>
                <c:pt idx="29">
                  <c:v>1284</c:v>
                </c:pt>
                <c:pt idx="30">
                  <c:v>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94-4585-A878-50870A269D80}"/>
            </c:ext>
          </c:extLst>
        </c:ser>
        <c:ser>
          <c:idx val="2"/>
          <c:order val="2"/>
          <c:tx>
            <c:v>Einde Levensduur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'3V'!$K$7</c:f>
              <c:numCache>
                <c:formatCode>0</c:formatCode>
                <c:ptCount val="1"/>
                <c:pt idx="0">
                  <c:v>900</c:v>
                </c:pt>
              </c:numCache>
            </c:numRef>
          </c:xVal>
          <c:yVal>
            <c:numRef>
              <c:f>'3V'!$V$6</c:f>
              <c:numCache>
                <c:formatCode>0</c:formatCode>
                <c:ptCount val="1"/>
                <c:pt idx="0">
                  <c:v>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94-4585-A878-50870A269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347712"/>
        <c:axId val="1"/>
      </c:scatterChart>
      <c:scatterChart>
        <c:scatterStyle val="lineMarker"/>
        <c:varyColors val="0"/>
        <c:ser>
          <c:idx val="1"/>
          <c:order val="1"/>
          <c:tx>
            <c:v>Fasehoek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'3V'!$C$14:$C$44</c:f>
              <c:numCache>
                <c:formatCode>General</c:formatCode>
                <c:ptCount val="3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  <c:pt idx="29">
                  <c:v>800</c:v>
                </c:pt>
                <c:pt idx="30">
                  <c:v>900</c:v>
                </c:pt>
              </c:numCache>
            </c:numRef>
          </c:xVal>
          <c:yVal>
            <c:numRef>
              <c:f>'3V'!$J$14:$J$44</c:f>
              <c:numCache>
                <c:formatCode>0.0</c:formatCode>
                <c:ptCount val="31"/>
                <c:pt idx="0">
                  <c:v>4.2</c:v>
                </c:pt>
                <c:pt idx="1">
                  <c:v>9.4</c:v>
                </c:pt>
                <c:pt idx="2">
                  <c:v>9.3000000000000007</c:v>
                </c:pt>
                <c:pt idx="3">
                  <c:v>9.1999999999999993</c:v>
                </c:pt>
                <c:pt idx="4">
                  <c:v>9.1999999999999993</c:v>
                </c:pt>
                <c:pt idx="5">
                  <c:v>9</c:v>
                </c:pt>
                <c:pt idx="6">
                  <c:v>9</c:v>
                </c:pt>
                <c:pt idx="7">
                  <c:v>9.1</c:v>
                </c:pt>
                <c:pt idx="8">
                  <c:v>9.1999999999999993</c:v>
                </c:pt>
                <c:pt idx="9">
                  <c:v>9.1</c:v>
                </c:pt>
                <c:pt idx="10">
                  <c:v>9</c:v>
                </c:pt>
                <c:pt idx="11">
                  <c:v>9</c:v>
                </c:pt>
                <c:pt idx="12">
                  <c:v>8.9</c:v>
                </c:pt>
                <c:pt idx="13">
                  <c:v>9.3000000000000007</c:v>
                </c:pt>
                <c:pt idx="14">
                  <c:v>9.3000000000000007</c:v>
                </c:pt>
                <c:pt idx="15">
                  <c:v>8.9</c:v>
                </c:pt>
                <c:pt idx="16">
                  <c:v>9.1999999999999993</c:v>
                </c:pt>
                <c:pt idx="17">
                  <c:v>9</c:v>
                </c:pt>
                <c:pt idx="18">
                  <c:v>9.1999999999999993</c:v>
                </c:pt>
                <c:pt idx="19">
                  <c:v>9.4</c:v>
                </c:pt>
                <c:pt idx="20">
                  <c:v>9.4</c:v>
                </c:pt>
                <c:pt idx="21">
                  <c:v>9.6</c:v>
                </c:pt>
                <c:pt idx="22">
                  <c:v>9.6</c:v>
                </c:pt>
                <c:pt idx="23">
                  <c:v>9.9</c:v>
                </c:pt>
                <c:pt idx="24">
                  <c:v>9.6</c:v>
                </c:pt>
                <c:pt idx="25">
                  <c:v>9.8000000000000007</c:v>
                </c:pt>
                <c:pt idx="26">
                  <c:v>10</c:v>
                </c:pt>
                <c:pt idx="27">
                  <c:v>10.8</c:v>
                </c:pt>
                <c:pt idx="28">
                  <c:v>12.2</c:v>
                </c:pt>
                <c:pt idx="29">
                  <c:v>27.9</c:v>
                </c:pt>
                <c:pt idx="30">
                  <c:v>14.3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94-4585-A878-50870A269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411347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8336756586968207"/>
              <c:y val="0.902723735408560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nl-NL" sz="85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mix</a:t>
                </a: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[MPa]</a:t>
                </a:r>
                <a:endPara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2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3.6511156186612576E-2"/>
              <c:y val="0.4241245136186770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11347712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  <c:max val="3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Fase-hoek [°]</a:t>
                </a:r>
              </a:p>
            </c:rich>
          </c:tx>
          <c:layout>
            <c:manualLayout>
              <c:xMode val="edge"/>
              <c:yMode val="edge"/>
              <c:x val="0.93914892484281243"/>
              <c:y val="0.3463035019455252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6586197013770593"/>
          <c:y val="3.6144658051621148E-2"/>
          <c:w val="0.21256097143861341"/>
          <c:h val="0.219880003147361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3V</a:t>
            </a:r>
          </a:p>
        </c:rich>
      </c:tx>
      <c:layout>
        <c:manualLayout>
          <c:xMode val="edge"/>
          <c:yMode val="edge"/>
          <c:x val="0.46761133603238869"/>
          <c:y val="3.87596899224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7327935222673"/>
          <c:y val="0.18992319950338959"/>
          <c:w val="0.77327935222672062"/>
          <c:h val="0.61240541880684807"/>
        </c:manualLayout>
      </c:layout>
      <c:scatterChart>
        <c:scatterStyle val="lineMarker"/>
        <c:varyColors val="0"/>
        <c:ser>
          <c:idx val="3"/>
          <c:order val="0"/>
          <c:tx>
            <c:v>Perm. rek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'3V'!$C$14:$C$44</c:f>
              <c:numCache>
                <c:formatCode>General</c:formatCode>
                <c:ptCount val="3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  <c:pt idx="29">
                  <c:v>800</c:v>
                </c:pt>
                <c:pt idx="30">
                  <c:v>900</c:v>
                </c:pt>
              </c:numCache>
            </c:numRef>
          </c:xVal>
          <c:yVal>
            <c:numRef>
              <c:f>'3V'!$F$14:$F$44</c:f>
              <c:numCache>
                <c:formatCode>General</c:formatCode>
                <c:ptCount val="31"/>
                <c:pt idx="0">
                  <c:v>0</c:v>
                </c:pt>
                <c:pt idx="1">
                  <c:v>417</c:v>
                </c:pt>
                <c:pt idx="2">
                  <c:v>621</c:v>
                </c:pt>
                <c:pt idx="3">
                  <c:v>789</c:v>
                </c:pt>
                <c:pt idx="4">
                  <c:v>941</c:v>
                </c:pt>
                <c:pt idx="5">
                  <c:v>1053</c:v>
                </c:pt>
                <c:pt idx="6">
                  <c:v>1187</c:v>
                </c:pt>
                <c:pt idx="7">
                  <c:v>1298</c:v>
                </c:pt>
                <c:pt idx="8">
                  <c:v>1406</c:v>
                </c:pt>
                <c:pt idx="9">
                  <c:v>1492</c:v>
                </c:pt>
                <c:pt idx="10">
                  <c:v>1603</c:v>
                </c:pt>
                <c:pt idx="11">
                  <c:v>1830</c:v>
                </c:pt>
                <c:pt idx="12">
                  <c:v>2050</c:v>
                </c:pt>
                <c:pt idx="13">
                  <c:v>2269</c:v>
                </c:pt>
                <c:pt idx="14">
                  <c:v>2463</c:v>
                </c:pt>
                <c:pt idx="15">
                  <c:v>2664</c:v>
                </c:pt>
                <c:pt idx="16">
                  <c:v>2864</c:v>
                </c:pt>
                <c:pt idx="17">
                  <c:v>3036</c:v>
                </c:pt>
                <c:pt idx="18">
                  <c:v>3244</c:v>
                </c:pt>
                <c:pt idx="19">
                  <c:v>3441</c:v>
                </c:pt>
                <c:pt idx="20">
                  <c:v>3620</c:v>
                </c:pt>
                <c:pt idx="21">
                  <c:v>3791</c:v>
                </c:pt>
                <c:pt idx="22">
                  <c:v>3984</c:v>
                </c:pt>
                <c:pt idx="23">
                  <c:v>4174</c:v>
                </c:pt>
                <c:pt idx="24">
                  <c:v>4364</c:v>
                </c:pt>
                <c:pt idx="25">
                  <c:v>4561</c:v>
                </c:pt>
                <c:pt idx="26">
                  <c:v>4765</c:v>
                </c:pt>
                <c:pt idx="27">
                  <c:v>5636</c:v>
                </c:pt>
                <c:pt idx="28">
                  <c:v>6830</c:v>
                </c:pt>
                <c:pt idx="29">
                  <c:v>24883</c:v>
                </c:pt>
                <c:pt idx="30">
                  <c:v>45905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9-4FB0-87B6-990E3A9DE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349872"/>
        <c:axId val="1"/>
      </c:scatterChart>
      <c:valAx>
        <c:axId val="41134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9068825910931176"/>
              <c:y val="0.903104030600826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e</a:t>
                </a:r>
                <a:r>
                  <a:rPr lang="nl-NL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perm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m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m/m]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nl-NL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</c:rich>
          </c:tx>
          <c:layout>
            <c:manualLayout>
              <c:xMode val="edge"/>
              <c:yMode val="edge"/>
              <c:x val="4.6558704453441298E-2"/>
              <c:y val="0.39147449592056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113498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748801948695589"/>
          <c:y val="7.2072283432700557E-2"/>
          <c:w val="0.12641830241739077"/>
          <c:h val="7.20722834327005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7V</a:t>
            </a:r>
          </a:p>
        </c:rich>
      </c:tx>
      <c:layout>
        <c:manualLayout>
          <c:xMode val="edge"/>
          <c:yMode val="edge"/>
          <c:x val="0.46856026363844477"/>
          <c:y val="3.89105058365758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227196599261337"/>
          <c:y val="0.19066147859922178"/>
          <c:w val="0.73225224654166787"/>
          <c:h val="0.6108949416342413"/>
        </c:manualLayout>
      </c:layout>
      <c:scatterChart>
        <c:scatterStyle val="lineMarker"/>
        <c:varyColors val="0"/>
        <c:ser>
          <c:idx val="0"/>
          <c:order val="0"/>
          <c:tx>
            <c:v>E*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'7V'!$C$14:$C$42</c:f>
              <c:numCache>
                <c:formatCode>General</c:formatCode>
                <c:ptCount val="2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</c:numCache>
            </c:numRef>
          </c:xVal>
          <c:yVal>
            <c:numRef>
              <c:f>'7V'!$I$14:$I$42</c:f>
              <c:numCache>
                <c:formatCode>0</c:formatCode>
                <c:ptCount val="29"/>
                <c:pt idx="0">
                  <c:v>3152</c:v>
                </c:pt>
                <c:pt idx="1">
                  <c:v>3163</c:v>
                </c:pt>
                <c:pt idx="2">
                  <c:v>3151</c:v>
                </c:pt>
                <c:pt idx="3">
                  <c:v>3147</c:v>
                </c:pt>
                <c:pt idx="4">
                  <c:v>3141</c:v>
                </c:pt>
                <c:pt idx="5">
                  <c:v>3137</c:v>
                </c:pt>
                <c:pt idx="6">
                  <c:v>3164</c:v>
                </c:pt>
                <c:pt idx="7">
                  <c:v>3152</c:v>
                </c:pt>
                <c:pt idx="8">
                  <c:v>3171</c:v>
                </c:pt>
                <c:pt idx="9">
                  <c:v>3169</c:v>
                </c:pt>
                <c:pt idx="10">
                  <c:v>3171</c:v>
                </c:pt>
                <c:pt idx="11">
                  <c:v>3188</c:v>
                </c:pt>
                <c:pt idx="12">
                  <c:v>3214</c:v>
                </c:pt>
                <c:pt idx="13">
                  <c:v>3202</c:v>
                </c:pt>
                <c:pt idx="14">
                  <c:v>3210</c:v>
                </c:pt>
                <c:pt idx="15">
                  <c:v>3188</c:v>
                </c:pt>
                <c:pt idx="16">
                  <c:v>3194</c:v>
                </c:pt>
                <c:pt idx="17">
                  <c:v>3173</c:v>
                </c:pt>
                <c:pt idx="18">
                  <c:v>3172</c:v>
                </c:pt>
                <c:pt idx="19">
                  <c:v>3156</c:v>
                </c:pt>
                <c:pt idx="20">
                  <c:v>3136</c:v>
                </c:pt>
                <c:pt idx="21">
                  <c:v>3114</c:v>
                </c:pt>
                <c:pt idx="22">
                  <c:v>3091</c:v>
                </c:pt>
                <c:pt idx="23">
                  <c:v>3069</c:v>
                </c:pt>
                <c:pt idx="24">
                  <c:v>3028</c:v>
                </c:pt>
                <c:pt idx="25">
                  <c:v>2994</c:v>
                </c:pt>
                <c:pt idx="26">
                  <c:v>2961</c:v>
                </c:pt>
                <c:pt idx="27">
                  <c:v>2738</c:v>
                </c:pt>
                <c:pt idx="28">
                  <c:v>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7-4937-980D-89F6386F23E1}"/>
            </c:ext>
          </c:extLst>
        </c:ser>
        <c:ser>
          <c:idx val="2"/>
          <c:order val="2"/>
          <c:tx>
            <c:v>Einde Levensduur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'7V'!$K$7</c:f>
              <c:numCache>
                <c:formatCode>0</c:formatCode>
                <c:ptCount val="1"/>
                <c:pt idx="0">
                  <c:v>700</c:v>
                </c:pt>
              </c:numCache>
            </c:numRef>
          </c:xVal>
          <c:yVal>
            <c:numRef>
              <c:f>'7V'!$V$6</c:f>
              <c:numCache>
                <c:formatCode>0</c:formatCode>
                <c:ptCount val="1"/>
                <c:pt idx="0">
                  <c:v>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C7-4937-980D-89F6386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432984"/>
        <c:axId val="1"/>
      </c:scatterChart>
      <c:scatterChart>
        <c:scatterStyle val="lineMarker"/>
        <c:varyColors val="0"/>
        <c:ser>
          <c:idx val="1"/>
          <c:order val="1"/>
          <c:tx>
            <c:v>Fasehoek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'7V'!$C$14:$C$42</c:f>
              <c:numCache>
                <c:formatCode>General</c:formatCode>
                <c:ptCount val="2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</c:numCache>
            </c:numRef>
          </c:xVal>
          <c:yVal>
            <c:numRef>
              <c:f>'7V'!$J$14:$J$42</c:f>
              <c:numCache>
                <c:formatCode>0.0</c:formatCode>
                <c:ptCount val="29"/>
                <c:pt idx="0">
                  <c:v>6.6</c:v>
                </c:pt>
                <c:pt idx="1">
                  <c:v>12.5</c:v>
                </c:pt>
                <c:pt idx="2">
                  <c:v>12.1</c:v>
                </c:pt>
                <c:pt idx="3">
                  <c:v>11.9</c:v>
                </c:pt>
                <c:pt idx="4">
                  <c:v>11.5</c:v>
                </c:pt>
                <c:pt idx="5">
                  <c:v>11.7</c:v>
                </c:pt>
                <c:pt idx="6">
                  <c:v>11.4</c:v>
                </c:pt>
                <c:pt idx="7">
                  <c:v>11.6</c:v>
                </c:pt>
                <c:pt idx="8">
                  <c:v>11.6</c:v>
                </c:pt>
                <c:pt idx="9">
                  <c:v>11.7</c:v>
                </c:pt>
                <c:pt idx="10">
                  <c:v>11.7</c:v>
                </c:pt>
                <c:pt idx="11">
                  <c:v>11.8</c:v>
                </c:pt>
                <c:pt idx="12">
                  <c:v>11.7</c:v>
                </c:pt>
                <c:pt idx="13">
                  <c:v>11.6</c:v>
                </c:pt>
                <c:pt idx="14">
                  <c:v>11.8</c:v>
                </c:pt>
                <c:pt idx="15">
                  <c:v>12</c:v>
                </c:pt>
                <c:pt idx="16">
                  <c:v>11.9</c:v>
                </c:pt>
                <c:pt idx="17">
                  <c:v>12</c:v>
                </c:pt>
                <c:pt idx="18">
                  <c:v>12.1</c:v>
                </c:pt>
                <c:pt idx="19">
                  <c:v>12.4</c:v>
                </c:pt>
                <c:pt idx="20">
                  <c:v>12.4</c:v>
                </c:pt>
                <c:pt idx="21">
                  <c:v>12.5</c:v>
                </c:pt>
                <c:pt idx="22">
                  <c:v>13</c:v>
                </c:pt>
                <c:pt idx="23">
                  <c:v>12.9</c:v>
                </c:pt>
                <c:pt idx="24">
                  <c:v>13</c:v>
                </c:pt>
                <c:pt idx="25">
                  <c:v>13.2</c:v>
                </c:pt>
                <c:pt idx="26">
                  <c:v>13.6</c:v>
                </c:pt>
                <c:pt idx="27">
                  <c:v>14.6</c:v>
                </c:pt>
                <c:pt idx="28">
                  <c:v>21.5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C7-4937-980D-89F6386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406432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8336756586968207"/>
              <c:y val="0.902723735408560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nl-NL" sz="85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mix</a:t>
                </a: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[MPa]</a:t>
                </a:r>
                <a:endPara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2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3.6511156186612576E-2"/>
              <c:y val="0.4241245136186770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06432984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  <c:max val="3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Fase-hoek [°]</a:t>
                </a:r>
              </a:p>
            </c:rich>
          </c:tx>
          <c:layout>
            <c:manualLayout>
              <c:xMode val="edge"/>
              <c:yMode val="edge"/>
              <c:x val="0.93914892484281243"/>
              <c:y val="0.3463035019455252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6586197013770593"/>
          <c:y val="3.6144658051621148E-2"/>
          <c:w val="0.21256097143861341"/>
          <c:h val="0.219880003147361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7V</a:t>
            </a:r>
          </a:p>
        </c:rich>
      </c:tx>
      <c:layout>
        <c:manualLayout>
          <c:xMode val="edge"/>
          <c:yMode val="edge"/>
          <c:x val="0.46761133603238869"/>
          <c:y val="3.87596899224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7327935222673"/>
          <c:y val="0.18992319950338959"/>
          <c:w val="0.77327935222672062"/>
          <c:h val="0.61240541880684807"/>
        </c:manualLayout>
      </c:layout>
      <c:scatterChart>
        <c:scatterStyle val="lineMarker"/>
        <c:varyColors val="0"/>
        <c:ser>
          <c:idx val="3"/>
          <c:order val="0"/>
          <c:tx>
            <c:v>Perm. rek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'7V'!$C$14:$C$42</c:f>
              <c:numCache>
                <c:formatCode>General</c:formatCode>
                <c:ptCount val="2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</c:numCache>
            </c:numRef>
          </c:xVal>
          <c:yVal>
            <c:numRef>
              <c:f>'7V'!$F$14:$F$42</c:f>
              <c:numCache>
                <c:formatCode>General</c:formatCode>
                <c:ptCount val="29"/>
                <c:pt idx="0">
                  <c:v>0</c:v>
                </c:pt>
                <c:pt idx="1">
                  <c:v>624</c:v>
                </c:pt>
                <c:pt idx="2">
                  <c:v>915</c:v>
                </c:pt>
                <c:pt idx="3">
                  <c:v>1145</c:v>
                </c:pt>
                <c:pt idx="4">
                  <c:v>1338</c:v>
                </c:pt>
                <c:pt idx="5">
                  <c:v>1501</c:v>
                </c:pt>
                <c:pt idx="6">
                  <c:v>1686</c:v>
                </c:pt>
                <c:pt idx="7">
                  <c:v>1837</c:v>
                </c:pt>
                <c:pt idx="8">
                  <c:v>1992</c:v>
                </c:pt>
                <c:pt idx="9">
                  <c:v>2136</c:v>
                </c:pt>
                <c:pt idx="10">
                  <c:v>2260</c:v>
                </c:pt>
                <c:pt idx="11">
                  <c:v>2582</c:v>
                </c:pt>
                <c:pt idx="12">
                  <c:v>2880</c:v>
                </c:pt>
                <c:pt idx="13">
                  <c:v>3164</c:v>
                </c:pt>
                <c:pt idx="14">
                  <c:v>3440</c:v>
                </c:pt>
                <c:pt idx="15">
                  <c:v>3701</c:v>
                </c:pt>
                <c:pt idx="16">
                  <c:v>3980</c:v>
                </c:pt>
                <c:pt idx="17">
                  <c:v>4226</c:v>
                </c:pt>
                <c:pt idx="18">
                  <c:v>4494</c:v>
                </c:pt>
                <c:pt idx="19">
                  <c:v>4740</c:v>
                </c:pt>
                <c:pt idx="20">
                  <c:v>4997</c:v>
                </c:pt>
                <c:pt idx="21">
                  <c:v>5235</c:v>
                </c:pt>
                <c:pt idx="22">
                  <c:v>5519</c:v>
                </c:pt>
                <c:pt idx="23">
                  <c:v>5787</c:v>
                </c:pt>
                <c:pt idx="24">
                  <c:v>6059</c:v>
                </c:pt>
                <c:pt idx="25">
                  <c:v>6339</c:v>
                </c:pt>
                <c:pt idx="26">
                  <c:v>6645</c:v>
                </c:pt>
                <c:pt idx="27">
                  <c:v>8070</c:v>
                </c:pt>
                <c:pt idx="28">
                  <c:v>35910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63-4B76-8B9D-77FC405B1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434784"/>
        <c:axId val="1"/>
      </c:scatterChart>
      <c:valAx>
        <c:axId val="40643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9068825910931176"/>
              <c:y val="0.903104030600826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e</a:t>
                </a:r>
                <a:r>
                  <a:rPr lang="nl-NL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perm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m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m/m]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nl-NL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</c:rich>
          </c:tx>
          <c:layout>
            <c:manualLayout>
              <c:xMode val="edge"/>
              <c:yMode val="edge"/>
              <c:x val="4.6558704453441298E-2"/>
              <c:y val="0.39147449592056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064347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748801948695589"/>
          <c:y val="7.2072283432700557E-2"/>
          <c:w val="0.12641830241739077"/>
          <c:h val="7.20722834327005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4V</a:t>
            </a:r>
          </a:p>
        </c:rich>
      </c:tx>
      <c:layout>
        <c:manualLayout>
          <c:xMode val="edge"/>
          <c:yMode val="edge"/>
          <c:x val="0.46856026363844477"/>
          <c:y val="3.89105058365758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227196599261337"/>
          <c:y val="0.19066147859922178"/>
          <c:w val="0.73225224654166787"/>
          <c:h val="0.6108949416342413"/>
        </c:manualLayout>
      </c:layout>
      <c:scatterChart>
        <c:scatterStyle val="lineMarker"/>
        <c:varyColors val="0"/>
        <c:ser>
          <c:idx val="0"/>
          <c:order val="0"/>
          <c:tx>
            <c:v>E*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'4V'!$C$14:$C$27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</c:numCache>
            </c:numRef>
          </c:xVal>
          <c:yVal>
            <c:numRef>
              <c:f>'4V'!$I$14:$I$27</c:f>
              <c:numCache>
                <c:formatCode>0</c:formatCode>
                <c:ptCount val="14"/>
                <c:pt idx="0">
                  <c:v>3171</c:v>
                </c:pt>
                <c:pt idx="1">
                  <c:v>3239</c:v>
                </c:pt>
                <c:pt idx="2">
                  <c:v>3247</c:v>
                </c:pt>
                <c:pt idx="3">
                  <c:v>3242</c:v>
                </c:pt>
                <c:pt idx="4">
                  <c:v>3226</c:v>
                </c:pt>
                <c:pt idx="5">
                  <c:v>3206</c:v>
                </c:pt>
                <c:pt idx="6">
                  <c:v>3177</c:v>
                </c:pt>
                <c:pt idx="7">
                  <c:v>3156</c:v>
                </c:pt>
                <c:pt idx="8">
                  <c:v>3126</c:v>
                </c:pt>
                <c:pt idx="9">
                  <c:v>3104</c:v>
                </c:pt>
                <c:pt idx="10">
                  <c:v>3072</c:v>
                </c:pt>
                <c:pt idx="11">
                  <c:v>2911</c:v>
                </c:pt>
                <c:pt idx="12">
                  <c:v>2510</c:v>
                </c:pt>
                <c:pt idx="13">
                  <c:v>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6E-46CF-B016-9D9449407AFA}"/>
            </c:ext>
          </c:extLst>
        </c:ser>
        <c:ser>
          <c:idx val="2"/>
          <c:order val="2"/>
          <c:tx>
            <c:v>Einde Levensduur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'4V'!$K$7</c:f>
              <c:numCache>
                <c:formatCode>0</c:formatCode>
                <c:ptCount val="1"/>
                <c:pt idx="0">
                  <c:v>175</c:v>
                </c:pt>
              </c:numCache>
            </c:numRef>
          </c:xVal>
          <c:yVal>
            <c:numRef>
              <c:f>'4V'!$V$6</c:f>
              <c:numCache>
                <c:formatCode>0</c:formatCode>
                <c:ptCount val="1"/>
                <c:pt idx="0">
                  <c:v>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6E-46CF-B016-9D9449407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567680"/>
        <c:axId val="1"/>
      </c:scatterChart>
      <c:scatterChart>
        <c:scatterStyle val="lineMarker"/>
        <c:varyColors val="0"/>
        <c:ser>
          <c:idx val="1"/>
          <c:order val="1"/>
          <c:tx>
            <c:v>Fasehoek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'4V'!$C$14:$C$27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</c:numCache>
            </c:numRef>
          </c:xVal>
          <c:yVal>
            <c:numRef>
              <c:f>'4V'!$J$14:$J$27</c:f>
              <c:numCache>
                <c:formatCode>0.0</c:formatCode>
                <c:ptCount val="14"/>
                <c:pt idx="0">
                  <c:v>5.2</c:v>
                </c:pt>
                <c:pt idx="1">
                  <c:v>11.7</c:v>
                </c:pt>
                <c:pt idx="2">
                  <c:v>12.2</c:v>
                </c:pt>
                <c:pt idx="3">
                  <c:v>12.2</c:v>
                </c:pt>
                <c:pt idx="4">
                  <c:v>12.2</c:v>
                </c:pt>
                <c:pt idx="5">
                  <c:v>12.4</c:v>
                </c:pt>
                <c:pt idx="6">
                  <c:v>12.6</c:v>
                </c:pt>
                <c:pt idx="7">
                  <c:v>12.7</c:v>
                </c:pt>
                <c:pt idx="8">
                  <c:v>12.8</c:v>
                </c:pt>
                <c:pt idx="9">
                  <c:v>13</c:v>
                </c:pt>
                <c:pt idx="10">
                  <c:v>13.2</c:v>
                </c:pt>
                <c:pt idx="11">
                  <c:v>14.5</c:v>
                </c:pt>
                <c:pt idx="12">
                  <c:v>19.2</c:v>
                </c:pt>
                <c:pt idx="13">
                  <c:v>12.8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6E-46CF-B016-9D9449407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411567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8336756586968207"/>
              <c:y val="0.902723735408560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nl-NL" sz="85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mix</a:t>
                </a: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[MPa]</a:t>
                </a:r>
                <a:endPara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2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3.6511156186612576E-2"/>
              <c:y val="0.4241245136186770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11567680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  <c:max val="3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Fase-hoek [°]</a:t>
                </a:r>
              </a:p>
            </c:rich>
          </c:tx>
          <c:layout>
            <c:manualLayout>
              <c:xMode val="edge"/>
              <c:yMode val="edge"/>
              <c:x val="0.93914892484281243"/>
              <c:y val="0.3463035019455252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6586197013770593"/>
          <c:y val="3.6144658051621148E-2"/>
          <c:w val="0.21256097143861341"/>
          <c:h val="0.219880003147361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4V</a:t>
            </a:r>
          </a:p>
        </c:rich>
      </c:tx>
      <c:layout>
        <c:manualLayout>
          <c:xMode val="edge"/>
          <c:yMode val="edge"/>
          <c:x val="0.46761133603238869"/>
          <c:y val="3.87596899224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7327935222673"/>
          <c:y val="0.18992319950338959"/>
          <c:w val="0.77327935222672062"/>
          <c:h val="0.61240541880684807"/>
        </c:manualLayout>
      </c:layout>
      <c:scatterChart>
        <c:scatterStyle val="lineMarker"/>
        <c:varyColors val="0"/>
        <c:ser>
          <c:idx val="3"/>
          <c:order val="0"/>
          <c:tx>
            <c:v>Perm. rek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'4V'!$C$14:$C$27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</c:numCache>
            </c:numRef>
          </c:xVal>
          <c:yVal>
            <c:numRef>
              <c:f>'4V'!$F$14:$F$27</c:f>
              <c:numCache>
                <c:formatCode>General</c:formatCode>
                <c:ptCount val="14"/>
                <c:pt idx="0">
                  <c:v>0</c:v>
                </c:pt>
                <c:pt idx="1">
                  <c:v>772</c:v>
                </c:pt>
                <c:pt idx="2">
                  <c:v>1182</c:v>
                </c:pt>
                <c:pt idx="3">
                  <c:v>1529</c:v>
                </c:pt>
                <c:pt idx="4">
                  <c:v>1834</c:v>
                </c:pt>
                <c:pt idx="5">
                  <c:v>2154</c:v>
                </c:pt>
                <c:pt idx="6">
                  <c:v>2432</c:v>
                </c:pt>
                <c:pt idx="7">
                  <c:v>2733</c:v>
                </c:pt>
                <c:pt idx="8">
                  <c:v>3020</c:v>
                </c:pt>
                <c:pt idx="9">
                  <c:v>3332</c:v>
                </c:pt>
                <c:pt idx="10">
                  <c:v>3637</c:v>
                </c:pt>
                <c:pt idx="11">
                  <c:v>4590</c:v>
                </c:pt>
                <c:pt idx="12">
                  <c:v>6216</c:v>
                </c:pt>
                <c:pt idx="13">
                  <c:v>48403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D-4349-B82F-6246A2EC2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560480"/>
        <c:axId val="1"/>
      </c:scatterChart>
      <c:valAx>
        <c:axId val="411560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9068825910931176"/>
              <c:y val="0.903104030600826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e</a:t>
                </a:r>
                <a:r>
                  <a:rPr lang="nl-NL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perm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m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m/m]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nl-NL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</c:rich>
          </c:tx>
          <c:layout>
            <c:manualLayout>
              <c:xMode val="edge"/>
              <c:yMode val="edge"/>
              <c:x val="4.6558704453441298E-2"/>
              <c:y val="0.39147449592056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115604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748801948695589"/>
          <c:y val="7.2072283432700557E-2"/>
          <c:w val="0.12641830241739077"/>
          <c:h val="7.20722834327005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8V</a:t>
            </a:r>
          </a:p>
        </c:rich>
      </c:tx>
      <c:layout>
        <c:manualLayout>
          <c:xMode val="edge"/>
          <c:yMode val="edge"/>
          <c:x val="0.46856026363844477"/>
          <c:y val="3.89105058365758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227196599261337"/>
          <c:y val="0.19066147859922178"/>
          <c:w val="0.73225224654166787"/>
          <c:h val="0.6108949416342413"/>
        </c:manualLayout>
      </c:layout>
      <c:scatterChart>
        <c:scatterStyle val="lineMarker"/>
        <c:varyColors val="0"/>
        <c:ser>
          <c:idx val="0"/>
          <c:order val="0"/>
          <c:tx>
            <c:v>E*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'8V'!$C$14:$C$26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</c:numCache>
            </c:numRef>
          </c:xVal>
          <c:yVal>
            <c:numRef>
              <c:f>'8V'!$I$14:$I$26</c:f>
              <c:numCache>
                <c:formatCode>0</c:formatCode>
                <c:ptCount val="13"/>
                <c:pt idx="0">
                  <c:v>3774</c:v>
                </c:pt>
                <c:pt idx="1">
                  <c:v>3625</c:v>
                </c:pt>
                <c:pt idx="2">
                  <c:v>3573</c:v>
                </c:pt>
                <c:pt idx="3">
                  <c:v>3517</c:v>
                </c:pt>
                <c:pt idx="4">
                  <c:v>3473</c:v>
                </c:pt>
                <c:pt idx="5">
                  <c:v>3415</c:v>
                </c:pt>
                <c:pt idx="6">
                  <c:v>3350</c:v>
                </c:pt>
                <c:pt idx="7">
                  <c:v>3289</c:v>
                </c:pt>
                <c:pt idx="8">
                  <c:v>3208</c:v>
                </c:pt>
                <c:pt idx="9">
                  <c:v>3117</c:v>
                </c:pt>
                <c:pt idx="10">
                  <c:v>3005</c:v>
                </c:pt>
                <c:pt idx="11">
                  <c:v>2307</c:v>
                </c:pt>
                <c:pt idx="12">
                  <c:v>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F-4029-8402-4D5ED5EFBFBE}"/>
            </c:ext>
          </c:extLst>
        </c:ser>
        <c:ser>
          <c:idx val="2"/>
          <c:order val="2"/>
          <c:tx>
            <c:v>Einde Levensduur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'8V'!$K$7</c:f>
              <c:numCache>
                <c:formatCode>0</c:formatCode>
                <c:ptCount val="1"/>
                <c:pt idx="0">
                  <c:v>150</c:v>
                </c:pt>
              </c:numCache>
            </c:numRef>
          </c:xVal>
          <c:yVal>
            <c:numRef>
              <c:f>'8V'!$V$6</c:f>
              <c:numCache>
                <c:formatCode>0</c:formatCode>
                <c:ptCount val="1"/>
                <c:pt idx="0">
                  <c:v>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6F-4029-8402-4D5ED5EFB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434424"/>
        <c:axId val="1"/>
      </c:scatterChart>
      <c:scatterChart>
        <c:scatterStyle val="lineMarker"/>
        <c:varyColors val="0"/>
        <c:ser>
          <c:idx val="1"/>
          <c:order val="1"/>
          <c:tx>
            <c:v>Fasehoek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'8V'!$C$14:$C$26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</c:numCache>
            </c:numRef>
          </c:xVal>
          <c:yVal>
            <c:numRef>
              <c:f>'8V'!$J$14:$J$26</c:f>
              <c:numCache>
                <c:formatCode>0.0</c:formatCode>
                <c:ptCount val="13"/>
                <c:pt idx="0">
                  <c:v>7</c:v>
                </c:pt>
                <c:pt idx="1">
                  <c:v>16.2</c:v>
                </c:pt>
                <c:pt idx="2">
                  <c:v>15.7</c:v>
                </c:pt>
                <c:pt idx="3">
                  <c:v>16</c:v>
                </c:pt>
                <c:pt idx="4">
                  <c:v>15.9</c:v>
                </c:pt>
                <c:pt idx="5">
                  <c:v>16.399999999999999</c:v>
                </c:pt>
                <c:pt idx="6">
                  <c:v>16.3</c:v>
                </c:pt>
                <c:pt idx="7">
                  <c:v>16.8</c:v>
                </c:pt>
                <c:pt idx="8">
                  <c:v>17.3</c:v>
                </c:pt>
                <c:pt idx="9">
                  <c:v>17.600000000000001</c:v>
                </c:pt>
                <c:pt idx="10">
                  <c:v>18.5</c:v>
                </c:pt>
                <c:pt idx="11">
                  <c:v>25.4</c:v>
                </c:pt>
                <c:pt idx="12">
                  <c:v>12.8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6F-4029-8402-4D5ED5EFB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406434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8336756586968207"/>
              <c:y val="0.902723735408560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nl-NL" sz="85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mix</a:t>
                </a: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[MPa]</a:t>
                </a:r>
                <a:endPara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2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3.6511156186612576E-2"/>
              <c:y val="0.4241245136186770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06434424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  <c:max val="3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Fase-hoek [°]</a:t>
                </a:r>
              </a:p>
            </c:rich>
          </c:tx>
          <c:layout>
            <c:manualLayout>
              <c:xMode val="edge"/>
              <c:yMode val="edge"/>
              <c:x val="0.93914892484281243"/>
              <c:y val="0.3463035019455252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6586197013770593"/>
          <c:y val="3.6144658051621148E-2"/>
          <c:w val="0.21256097143861341"/>
          <c:h val="0.219880003147361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8V</a:t>
            </a:r>
          </a:p>
        </c:rich>
      </c:tx>
      <c:layout>
        <c:manualLayout>
          <c:xMode val="edge"/>
          <c:yMode val="edge"/>
          <c:x val="0.46761133603238869"/>
          <c:y val="3.87596899224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7327935222673"/>
          <c:y val="0.18992319950338959"/>
          <c:w val="0.77327935222672062"/>
          <c:h val="0.61240541880684807"/>
        </c:manualLayout>
      </c:layout>
      <c:scatterChart>
        <c:scatterStyle val="lineMarker"/>
        <c:varyColors val="0"/>
        <c:ser>
          <c:idx val="3"/>
          <c:order val="0"/>
          <c:tx>
            <c:v>Perm. rek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'8V'!$C$14:$C$26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</c:numCache>
            </c:numRef>
          </c:xVal>
          <c:yVal>
            <c:numRef>
              <c:f>'8V'!$F$14:$F$26</c:f>
              <c:numCache>
                <c:formatCode>General</c:formatCode>
                <c:ptCount val="13"/>
                <c:pt idx="0">
                  <c:v>0</c:v>
                </c:pt>
                <c:pt idx="1">
                  <c:v>1094</c:v>
                </c:pt>
                <c:pt idx="2">
                  <c:v>1713</c:v>
                </c:pt>
                <c:pt idx="3">
                  <c:v>2260</c:v>
                </c:pt>
                <c:pt idx="4">
                  <c:v>2761</c:v>
                </c:pt>
                <c:pt idx="5">
                  <c:v>3252</c:v>
                </c:pt>
                <c:pt idx="6">
                  <c:v>3731</c:v>
                </c:pt>
                <c:pt idx="7">
                  <c:v>4259</c:v>
                </c:pt>
                <c:pt idx="8">
                  <c:v>4780</c:v>
                </c:pt>
                <c:pt idx="9">
                  <c:v>5376</c:v>
                </c:pt>
                <c:pt idx="10">
                  <c:v>6036</c:v>
                </c:pt>
                <c:pt idx="11">
                  <c:v>8847</c:v>
                </c:pt>
                <c:pt idx="12">
                  <c:v>54611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85-4CE1-8F59-DBA83218D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039584"/>
        <c:axId val="1"/>
      </c:scatterChart>
      <c:valAx>
        <c:axId val="412039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9068825910931176"/>
              <c:y val="0.903104030600826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e</a:t>
                </a:r>
                <a:r>
                  <a:rPr lang="nl-NL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perm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m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m/m]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nl-NL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</c:rich>
          </c:tx>
          <c:layout>
            <c:manualLayout>
              <c:xMode val="edge"/>
              <c:yMode val="edge"/>
              <c:x val="4.6558704453441298E-2"/>
              <c:y val="0.39147449592056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120395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748801948695589"/>
          <c:y val="7.2072283432700557E-2"/>
          <c:w val="0.12641830241739077"/>
          <c:h val="7.20722834327005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2V</a:t>
            </a:r>
          </a:p>
        </c:rich>
      </c:tx>
      <c:layout>
        <c:manualLayout>
          <c:xMode val="edge"/>
          <c:yMode val="edge"/>
          <c:x val="0.46856026363844477"/>
          <c:y val="3.89105058365758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227196599261337"/>
          <c:y val="0.19066147859922178"/>
          <c:w val="0.73225224654166787"/>
          <c:h val="0.6108949416342413"/>
        </c:manualLayout>
      </c:layout>
      <c:scatterChart>
        <c:scatterStyle val="lineMarker"/>
        <c:varyColors val="0"/>
        <c:ser>
          <c:idx val="0"/>
          <c:order val="0"/>
          <c:tx>
            <c:v>E*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'2V'!$C$14:$C$42</c:f>
              <c:numCache>
                <c:formatCode>General</c:formatCode>
                <c:ptCount val="2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</c:numCache>
            </c:numRef>
          </c:xVal>
          <c:yVal>
            <c:numRef>
              <c:f>'2V'!$I$14:$I$42</c:f>
              <c:numCache>
                <c:formatCode>0</c:formatCode>
                <c:ptCount val="29"/>
                <c:pt idx="0">
                  <c:v>4539</c:v>
                </c:pt>
                <c:pt idx="1">
                  <c:v>4528</c:v>
                </c:pt>
                <c:pt idx="2">
                  <c:v>4491</c:v>
                </c:pt>
                <c:pt idx="3">
                  <c:v>4481</c:v>
                </c:pt>
                <c:pt idx="4">
                  <c:v>4446</c:v>
                </c:pt>
                <c:pt idx="5">
                  <c:v>4432</c:v>
                </c:pt>
                <c:pt idx="6">
                  <c:v>4426</c:v>
                </c:pt>
                <c:pt idx="7">
                  <c:v>4424</c:v>
                </c:pt>
                <c:pt idx="8">
                  <c:v>4405</c:v>
                </c:pt>
                <c:pt idx="9">
                  <c:v>4383</c:v>
                </c:pt>
                <c:pt idx="10">
                  <c:v>4380</c:v>
                </c:pt>
                <c:pt idx="11">
                  <c:v>4362</c:v>
                </c:pt>
                <c:pt idx="12">
                  <c:v>4329</c:v>
                </c:pt>
                <c:pt idx="13">
                  <c:v>4317</c:v>
                </c:pt>
                <c:pt idx="14">
                  <c:v>4280</c:v>
                </c:pt>
                <c:pt idx="15">
                  <c:v>4260</c:v>
                </c:pt>
                <c:pt idx="16">
                  <c:v>4270</c:v>
                </c:pt>
                <c:pt idx="17">
                  <c:v>4207</c:v>
                </c:pt>
                <c:pt idx="18">
                  <c:v>4196</c:v>
                </c:pt>
                <c:pt idx="19">
                  <c:v>4149</c:v>
                </c:pt>
                <c:pt idx="20">
                  <c:v>4096</c:v>
                </c:pt>
                <c:pt idx="21">
                  <c:v>4056</c:v>
                </c:pt>
                <c:pt idx="22">
                  <c:v>4043</c:v>
                </c:pt>
                <c:pt idx="23">
                  <c:v>3989</c:v>
                </c:pt>
                <c:pt idx="24">
                  <c:v>3922</c:v>
                </c:pt>
                <c:pt idx="25">
                  <c:v>3841</c:v>
                </c:pt>
                <c:pt idx="26">
                  <c:v>3747</c:v>
                </c:pt>
                <c:pt idx="27">
                  <c:v>2782</c:v>
                </c:pt>
                <c:pt idx="28">
                  <c:v>1258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16-44B0-9936-F46C9476A81A}"/>
            </c:ext>
          </c:extLst>
        </c:ser>
        <c:ser>
          <c:idx val="2"/>
          <c:order val="2"/>
          <c:tx>
            <c:v>Einde Levensduur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'2V'!$K$7</c:f>
              <c:numCache>
                <c:formatCode>0</c:formatCode>
                <c:ptCount val="1"/>
                <c:pt idx="0">
                  <c:v>700</c:v>
                </c:pt>
              </c:numCache>
            </c:numRef>
          </c:xVal>
          <c:yVal>
            <c:numRef>
              <c:f>'2V'!$V$6</c:f>
              <c:numCache>
                <c:formatCode>0</c:formatCode>
                <c:ptCount val="1"/>
                <c:pt idx="0">
                  <c:v>1258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16-44B0-9936-F46C9476A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662664"/>
        <c:axId val="1"/>
      </c:scatterChart>
      <c:scatterChart>
        <c:scatterStyle val="lineMarker"/>
        <c:varyColors val="0"/>
        <c:ser>
          <c:idx val="1"/>
          <c:order val="1"/>
          <c:tx>
            <c:v>Fasehoek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'2V'!$C$14:$C$42</c:f>
              <c:numCache>
                <c:formatCode>General</c:formatCode>
                <c:ptCount val="2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</c:numCache>
            </c:numRef>
          </c:xVal>
          <c:yVal>
            <c:numRef>
              <c:f>'2V'!$J$14:$J$42</c:f>
              <c:numCache>
                <c:formatCode>0.0</c:formatCode>
                <c:ptCount val="29"/>
                <c:pt idx="0">
                  <c:v>5.5</c:v>
                </c:pt>
                <c:pt idx="1">
                  <c:v>11.6</c:v>
                </c:pt>
                <c:pt idx="2">
                  <c:v>11.4</c:v>
                </c:pt>
                <c:pt idx="3">
                  <c:v>11.2</c:v>
                </c:pt>
                <c:pt idx="4">
                  <c:v>10.9</c:v>
                </c:pt>
                <c:pt idx="5">
                  <c:v>11.1</c:v>
                </c:pt>
                <c:pt idx="6">
                  <c:v>10.9</c:v>
                </c:pt>
                <c:pt idx="7">
                  <c:v>10.9</c:v>
                </c:pt>
                <c:pt idx="8">
                  <c:v>11.1</c:v>
                </c:pt>
                <c:pt idx="9">
                  <c:v>10.7</c:v>
                </c:pt>
                <c:pt idx="10">
                  <c:v>10.7</c:v>
                </c:pt>
                <c:pt idx="11">
                  <c:v>10.8</c:v>
                </c:pt>
                <c:pt idx="12">
                  <c:v>11.1</c:v>
                </c:pt>
                <c:pt idx="13">
                  <c:v>11.3</c:v>
                </c:pt>
                <c:pt idx="14">
                  <c:v>11.1</c:v>
                </c:pt>
                <c:pt idx="15">
                  <c:v>11.3</c:v>
                </c:pt>
                <c:pt idx="16">
                  <c:v>11.3</c:v>
                </c:pt>
                <c:pt idx="17">
                  <c:v>11.3</c:v>
                </c:pt>
                <c:pt idx="18">
                  <c:v>11.3</c:v>
                </c:pt>
                <c:pt idx="19">
                  <c:v>11.7</c:v>
                </c:pt>
                <c:pt idx="20">
                  <c:v>11.5</c:v>
                </c:pt>
                <c:pt idx="21">
                  <c:v>11.8</c:v>
                </c:pt>
                <c:pt idx="22">
                  <c:v>12</c:v>
                </c:pt>
                <c:pt idx="23">
                  <c:v>12.4</c:v>
                </c:pt>
                <c:pt idx="24">
                  <c:v>12.6</c:v>
                </c:pt>
                <c:pt idx="25">
                  <c:v>12.9</c:v>
                </c:pt>
                <c:pt idx="26">
                  <c:v>13.4</c:v>
                </c:pt>
                <c:pt idx="27">
                  <c:v>19.5</c:v>
                </c:pt>
                <c:pt idx="28">
                  <c:v>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16-44B0-9936-F46C9476A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410662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8336756586968207"/>
              <c:y val="0.902723735408560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nl-NL" sz="85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mix</a:t>
                </a: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[MPa]</a:t>
                </a:r>
                <a:endPara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2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3.6511156186612576E-2"/>
              <c:y val="0.4241245136186770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10662664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  <c:max val="3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Fase-hoek [°]</a:t>
                </a:r>
              </a:p>
            </c:rich>
          </c:tx>
          <c:layout>
            <c:manualLayout>
              <c:xMode val="edge"/>
              <c:yMode val="edge"/>
              <c:x val="0.93914892484281243"/>
              <c:y val="0.3463035019455252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6586197013770593"/>
          <c:y val="3.6144658051621148E-2"/>
          <c:w val="0.21256097143861341"/>
          <c:h val="0.219880003147361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2V</a:t>
            </a:r>
          </a:p>
        </c:rich>
      </c:tx>
      <c:layout>
        <c:manualLayout>
          <c:xMode val="edge"/>
          <c:yMode val="edge"/>
          <c:x val="0.46761133603238869"/>
          <c:y val="3.87596899224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7327935222673"/>
          <c:y val="0.18992319950338959"/>
          <c:w val="0.77327935222672062"/>
          <c:h val="0.61240541880684807"/>
        </c:manualLayout>
      </c:layout>
      <c:scatterChart>
        <c:scatterStyle val="lineMarker"/>
        <c:varyColors val="0"/>
        <c:ser>
          <c:idx val="3"/>
          <c:order val="0"/>
          <c:tx>
            <c:v>Perm. rek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'2V'!$C$14:$C$42</c:f>
              <c:numCache>
                <c:formatCode>General</c:formatCode>
                <c:ptCount val="2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125</c:v>
                </c:pt>
                <c:pt idx="12">
                  <c:v>150</c:v>
                </c:pt>
                <c:pt idx="13">
                  <c:v>175</c:v>
                </c:pt>
                <c:pt idx="14">
                  <c:v>200</c:v>
                </c:pt>
                <c:pt idx="15">
                  <c:v>225</c:v>
                </c:pt>
                <c:pt idx="16">
                  <c:v>250</c:v>
                </c:pt>
                <c:pt idx="17">
                  <c:v>275</c:v>
                </c:pt>
                <c:pt idx="18">
                  <c:v>300</c:v>
                </c:pt>
                <c:pt idx="19">
                  <c:v>325</c:v>
                </c:pt>
                <c:pt idx="20">
                  <c:v>350</c:v>
                </c:pt>
                <c:pt idx="21">
                  <c:v>375</c:v>
                </c:pt>
                <c:pt idx="22">
                  <c:v>400</c:v>
                </c:pt>
                <c:pt idx="23">
                  <c:v>425</c:v>
                </c:pt>
                <c:pt idx="24">
                  <c:v>450</c:v>
                </c:pt>
                <c:pt idx="25">
                  <c:v>475</c:v>
                </c:pt>
                <c:pt idx="26">
                  <c:v>500</c:v>
                </c:pt>
                <c:pt idx="27">
                  <c:v>600</c:v>
                </c:pt>
                <c:pt idx="28">
                  <c:v>700</c:v>
                </c:pt>
              </c:numCache>
            </c:numRef>
          </c:xVal>
          <c:yVal>
            <c:numRef>
              <c:f>'2V'!$F$14:$F$42</c:f>
              <c:numCache>
                <c:formatCode>General</c:formatCode>
                <c:ptCount val="29"/>
                <c:pt idx="0">
                  <c:v>0</c:v>
                </c:pt>
                <c:pt idx="1">
                  <c:v>502</c:v>
                </c:pt>
                <c:pt idx="2">
                  <c:v>762</c:v>
                </c:pt>
                <c:pt idx="3">
                  <c:v>966</c:v>
                </c:pt>
                <c:pt idx="4">
                  <c:v>1154</c:v>
                </c:pt>
                <c:pt idx="5">
                  <c:v>1309</c:v>
                </c:pt>
                <c:pt idx="6">
                  <c:v>1452</c:v>
                </c:pt>
                <c:pt idx="7">
                  <c:v>1622</c:v>
                </c:pt>
                <c:pt idx="8">
                  <c:v>1762</c:v>
                </c:pt>
                <c:pt idx="9">
                  <c:v>1890</c:v>
                </c:pt>
                <c:pt idx="10">
                  <c:v>2022</c:v>
                </c:pt>
                <c:pt idx="11">
                  <c:v>2350</c:v>
                </c:pt>
                <c:pt idx="12">
                  <c:v>2633</c:v>
                </c:pt>
                <c:pt idx="13">
                  <c:v>2905</c:v>
                </c:pt>
                <c:pt idx="14">
                  <c:v>3180</c:v>
                </c:pt>
                <c:pt idx="15">
                  <c:v>3441</c:v>
                </c:pt>
                <c:pt idx="16">
                  <c:v>3701</c:v>
                </c:pt>
                <c:pt idx="17">
                  <c:v>3954</c:v>
                </c:pt>
                <c:pt idx="18">
                  <c:v>4225</c:v>
                </c:pt>
                <c:pt idx="19">
                  <c:v>4489</c:v>
                </c:pt>
                <c:pt idx="20">
                  <c:v>4765</c:v>
                </c:pt>
                <c:pt idx="21">
                  <c:v>5021</c:v>
                </c:pt>
                <c:pt idx="22">
                  <c:v>5312</c:v>
                </c:pt>
                <c:pt idx="23">
                  <c:v>5613</c:v>
                </c:pt>
                <c:pt idx="24">
                  <c:v>5919</c:v>
                </c:pt>
                <c:pt idx="25">
                  <c:v>6285</c:v>
                </c:pt>
                <c:pt idx="26">
                  <c:v>6677</c:v>
                </c:pt>
                <c:pt idx="27">
                  <c:v>9495</c:v>
                </c:pt>
                <c:pt idx="28">
                  <c:v>59866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D3-4E44-9D3E-1B7C9C82F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346272"/>
        <c:axId val="1"/>
      </c:scatterChart>
      <c:valAx>
        <c:axId val="411346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Aantal lastherhalingen [-]</a:t>
                </a:r>
              </a:p>
            </c:rich>
          </c:tx>
          <c:layout>
            <c:manualLayout>
              <c:xMode val="edge"/>
              <c:yMode val="edge"/>
              <c:x val="0.39068825910931176"/>
              <c:y val="0.903104030600826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e</a:t>
                </a:r>
                <a:r>
                  <a:rPr lang="nl-NL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perm 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m</a:t>
                </a:r>
                <a:r>
                  <a:rPr lang="nl-NL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m/m]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nl-NL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</c:rich>
          </c:tx>
          <c:layout>
            <c:manualLayout>
              <c:xMode val="edge"/>
              <c:yMode val="edge"/>
              <c:x val="4.6558704453441298E-2"/>
              <c:y val="0.39147449592056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113462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748801948695589"/>
          <c:y val="7.2072283432700557E-2"/>
          <c:w val="0.12641830241739077"/>
          <c:h val="7.20722834327005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41C19B0-8692-4297-9300-7E205772600B}">
  <sheetPr codeName="Grafiek3"/>
  <sheetViews>
    <sheetView zoomScale="93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350520</xdr:colOff>
          <xdr:row>17</xdr:row>
          <xdr:rowOff>121920</xdr:rowOff>
        </xdr:from>
        <xdr:to>
          <xdr:col>11</xdr:col>
          <xdr:colOff>144780</xdr:colOff>
          <xdr:row>22</xdr:row>
          <xdr:rowOff>68580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5ECCE23D-1DB3-2344-033E-2B18FB4002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Ophalen meetdata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89720" cy="5600700"/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2E75CC2-48F4-A2B6-162E-2585B05DBE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30480</xdr:colOff>
          <xdr:row>0</xdr:row>
          <xdr:rowOff>121920</xdr:rowOff>
        </xdr:from>
        <xdr:to>
          <xdr:col>9</xdr:col>
          <xdr:colOff>289560</xdr:colOff>
          <xdr:row>4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BC04651-E809-619A-CF09-0A6ECA10F5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Data uit sheets verzamelen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518160</xdr:colOff>
      <xdr:row>31</xdr:row>
      <xdr:rowOff>30480</xdr:rowOff>
    </xdr:from>
    <xdr:to>
      <xdr:col>10</xdr:col>
      <xdr:colOff>548640</xdr:colOff>
      <xdr:row>46</xdr:row>
      <xdr:rowOff>45720</xdr:rowOff>
    </xdr:to>
    <xdr:graphicFrame macro="">
      <xdr:nvGraphicFramePr>
        <xdr:cNvPr id="509490" name="Grafiek 1">
          <a:extLst>
            <a:ext uri="{FF2B5EF4-FFF2-40B4-BE49-F238E27FC236}">
              <a16:creationId xmlns:a16="http://schemas.microsoft.com/office/drawing/2014/main" id="{0FD0898A-36C8-ED2C-ED0C-2BF3FAD273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31</xdr:row>
      <xdr:rowOff>22860</xdr:rowOff>
    </xdr:from>
    <xdr:to>
      <xdr:col>18</xdr:col>
      <xdr:colOff>533400</xdr:colOff>
      <xdr:row>46</xdr:row>
      <xdr:rowOff>45720</xdr:rowOff>
    </xdr:to>
    <xdr:graphicFrame macro="">
      <xdr:nvGraphicFramePr>
        <xdr:cNvPr id="509491" name="Grafiek 11">
          <a:extLst>
            <a:ext uri="{FF2B5EF4-FFF2-40B4-BE49-F238E27FC236}">
              <a16:creationId xmlns:a16="http://schemas.microsoft.com/office/drawing/2014/main" id="{F641B452-2B42-A6B6-6DB7-7EE3BC44C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518160</xdr:colOff>
      <xdr:row>31</xdr:row>
      <xdr:rowOff>30480</xdr:rowOff>
    </xdr:from>
    <xdr:to>
      <xdr:col>10</xdr:col>
      <xdr:colOff>548640</xdr:colOff>
      <xdr:row>46</xdr:row>
      <xdr:rowOff>45720</xdr:rowOff>
    </xdr:to>
    <xdr:graphicFrame macro="">
      <xdr:nvGraphicFramePr>
        <xdr:cNvPr id="5756956" name="Grafiek 1">
          <a:extLst>
            <a:ext uri="{FF2B5EF4-FFF2-40B4-BE49-F238E27FC236}">
              <a16:creationId xmlns:a16="http://schemas.microsoft.com/office/drawing/2014/main" id="{872664BB-F17F-AED0-5797-081A9FEDB9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31</xdr:row>
      <xdr:rowOff>22860</xdr:rowOff>
    </xdr:from>
    <xdr:to>
      <xdr:col>18</xdr:col>
      <xdr:colOff>533400</xdr:colOff>
      <xdr:row>46</xdr:row>
      <xdr:rowOff>45720</xdr:rowOff>
    </xdr:to>
    <xdr:graphicFrame macro="">
      <xdr:nvGraphicFramePr>
        <xdr:cNvPr id="5756957" name="Grafiek 11">
          <a:extLst>
            <a:ext uri="{FF2B5EF4-FFF2-40B4-BE49-F238E27FC236}">
              <a16:creationId xmlns:a16="http://schemas.microsoft.com/office/drawing/2014/main" id="{E01B2F8D-FC06-423F-9962-580F1ED75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518160</xdr:colOff>
      <xdr:row>31</xdr:row>
      <xdr:rowOff>30480</xdr:rowOff>
    </xdr:from>
    <xdr:to>
      <xdr:col>10</xdr:col>
      <xdr:colOff>548640</xdr:colOff>
      <xdr:row>46</xdr:row>
      <xdr:rowOff>45720</xdr:rowOff>
    </xdr:to>
    <xdr:graphicFrame macro="">
      <xdr:nvGraphicFramePr>
        <xdr:cNvPr id="5757980" name="Grafiek 1">
          <a:extLst>
            <a:ext uri="{FF2B5EF4-FFF2-40B4-BE49-F238E27FC236}">
              <a16:creationId xmlns:a16="http://schemas.microsoft.com/office/drawing/2014/main" id="{FFAEBD55-C7DE-884F-27A6-FE7D8E37D1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31</xdr:row>
      <xdr:rowOff>22860</xdr:rowOff>
    </xdr:from>
    <xdr:to>
      <xdr:col>18</xdr:col>
      <xdr:colOff>533400</xdr:colOff>
      <xdr:row>46</xdr:row>
      <xdr:rowOff>45720</xdr:rowOff>
    </xdr:to>
    <xdr:graphicFrame macro="">
      <xdr:nvGraphicFramePr>
        <xdr:cNvPr id="5757981" name="Grafiek 11">
          <a:extLst>
            <a:ext uri="{FF2B5EF4-FFF2-40B4-BE49-F238E27FC236}">
              <a16:creationId xmlns:a16="http://schemas.microsoft.com/office/drawing/2014/main" id="{E12C4C64-E792-227A-5B83-2C7F7E93E1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518160</xdr:colOff>
      <xdr:row>31</xdr:row>
      <xdr:rowOff>30480</xdr:rowOff>
    </xdr:from>
    <xdr:to>
      <xdr:col>10</xdr:col>
      <xdr:colOff>548640</xdr:colOff>
      <xdr:row>46</xdr:row>
      <xdr:rowOff>45720</xdr:rowOff>
    </xdr:to>
    <xdr:graphicFrame macro="">
      <xdr:nvGraphicFramePr>
        <xdr:cNvPr id="5759004" name="Grafiek 1">
          <a:extLst>
            <a:ext uri="{FF2B5EF4-FFF2-40B4-BE49-F238E27FC236}">
              <a16:creationId xmlns:a16="http://schemas.microsoft.com/office/drawing/2014/main" id="{10C80BE1-3DF4-DC42-B127-83C7E05154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31</xdr:row>
      <xdr:rowOff>22860</xdr:rowOff>
    </xdr:from>
    <xdr:to>
      <xdr:col>18</xdr:col>
      <xdr:colOff>533400</xdr:colOff>
      <xdr:row>46</xdr:row>
      <xdr:rowOff>45720</xdr:rowOff>
    </xdr:to>
    <xdr:graphicFrame macro="">
      <xdr:nvGraphicFramePr>
        <xdr:cNvPr id="5759005" name="Grafiek 11">
          <a:extLst>
            <a:ext uri="{FF2B5EF4-FFF2-40B4-BE49-F238E27FC236}">
              <a16:creationId xmlns:a16="http://schemas.microsoft.com/office/drawing/2014/main" id="{C8D43DA6-DAB3-F4C5-88BA-8D71B7D965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518160</xdr:colOff>
      <xdr:row>31</xdr:row>
      <xdr:rowOff>30480</xdr:rowOff>
    </xdr:from>
    <xdr:to>
      <xdr:col>10</xdr:col>
      <xdr:colOff>548640</xdr:colOff>
      <xdr:row>46</xdr:row>
      <xdr:rowOff>45720</xdr:rowOff>
    </xdr:to>
    <xdr:graphicFrame macro="">
      <xdr:nvGraphicFramePr>
        <xdr:cNvPr id="5760028" name="Grafiek 1">
          <a:extLst>
            <a:ext uri="{FF2B5EF4-FFF2-40B4-BE49-F238E27FC236}">
              <a16:creationId xmlns:a16="http://schemas.microsoft.com/office/drawing/2014/main" id="{B060B7B7-5050-97F7-3502-0B18BAB79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31</xdr:row>
      <xdr:rowOff>22860</xdr:rowOff>
    </xdr:from>
    <xdr:to>
      <xdr:col>18</xdr:col>
      <xdr:colOff>533400</xdr:colOff>
      <xdr:row>46</xdr:row>
      <xdr:rowOff>45720</xdr:rowOff>
    </xdr:to>
    <xdr:graphicFrame macro="">
      <xdr:nvGraphicFramePr>
        <xdr:cNvPr id="5760029" name="Grafiek 11">
          <a:extLst>
            <a:ext uri="{FF2B5EF4-FFF2-40B4-BE49-F238E27FC236}">
              <a16:creationId xmlns:a16="http://schemas.microsoft.com/office/drawing/2014/main" id="{B8C7A526-C9AA-0FE0-4FEB-65E5288999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518160</xdr:colOff>
      <xdr:row>31</xdr:row>
      <xdr:rowOff>30480</xdr:rowOff>
    </xdr:from>
    <xdr:to>
      <xdr:col>10</xdr:col>
      <xdr:colOff>548640</xdr:colOff>
      <xdr:row>46</xdr:row>
      <xdr:rowOff>45720</xdr:rowOff>
    </xdr:to>
    <xdr:graphicFrame macro="">
      <xdr:nvGraphicFramePr>
        <xdr:cNvPr id="5761052" name="Grafiek 1">
          <a:extLst>
            <a:ext uri="{FF2B5EF4-FFF2-40B4-BE49-F238E27FC236}">
              <a16:creationId xmlns:a16="http://schemas.microsoft.com/office/drawing/2014/main" id="{315CD2E0-18C3-6775-3B25-66484C237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31</xdr:row>
      <xdr:rowOff>22860</xdr:rowOff>
    </xdr:from>
    <xdr:to>
      <xdr:col>18</xdr:col>
      <xdr:colOff>533400</xdr:colOff>
      <xdr:row>46</xdr:row>
      <xdr:rowOff>45720</xdr:rowOff>
    </xdr:to>
    <xdr:graphicFrame macro="">
      <xdr:nvGraphicFramePr>
        <xdr:cNvPr id="5761053" name="Grafiek 11">
          <a:extLst>
            <a:ext uri="{FF2B5EF4-FFF2-40B4-BE49-F238E27FC236}">
              <a16:creationId xmlns:a16="http://schemas.microsoft.com/office/drawing/2014/main" id="{EE7F0CD1-0E63-3D8A-B66F-9D14C74DE7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518160</xdr:colOff>
      <xdr:row>31</xdr:row>
      <xdr:rowOff>30480</xdr:rowOff>
    </xdr:from>
    <xdr:to>
      <xdr:col>10</xdr:col>
      <xdr:colOff>548640</xdr:colOff>
      <xdr:row>46</xdr:row>
      <xdr:rowOff>45720</xdr:rowOff>
    </xdr:to>
    <xdr:graphicFrame macro="">
      <xdr:nvGraphicFramePr>
        <xdr:cNvPr id="5762076" name="Grafiek 1">
          <a:extLst>
            <a:ext uri="{FF2B5EF4-FFF2-40B4-BE49-F238E27FC236}">
              <a16:creationId xmlns:a16="http://schemas.microsoft.com/office/drawing/2014/main" id="{BCD94223-F2DB-13E7-BB2C-5A5F61D1A2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31</xdr:row>
      <xdr:rowOff>22860</xdr:rowOff>
    </xdr:from>
    <xdr:to>
      <xdr:col>18</xdr:col>
      <xdr:colOff>533400</xdr:colOff>
      <xdr:row>46</xdr:row>
      <xdr:rowOff>45720</xdr:rowOff>
    </xdr:to>
    <xdr:graphicFrame macro="">
      <xdr:nvGraphicFramePr>
        <xdr:cNvPr id="5762077" name="Grafiek 11">
          <a:extLst>
            <a:ext uri="{FF2B5EF4-FFF2-40B4-BE49-F238E27FC236}">
              <a16:creationId xmlns:a16="http://schemas.microsoft.com/office/drawing/2014/main" id="{BE031DED-A0CF-A37D-C145-DB296505A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518160</xdr:colOff>
      <xdr:row>31</xdr:row>
      <xdr:rowOff>30480</xdr:rowOff>
    </xdr:from>
    <xdr:to>
      <xdr:col>10</xdr:col>
      <xdr:colOff>548640</xdr:colOff>
      <xdr:row>46</xdr:row>
      <xdr:rowOff>45720</xdr:rowOff>
    </xdr:to>
    <xdr:graphicFrame macro="">
      <xdr:nvGraphicFramePr>
        <xdr:cNvPr id="5763100" name="Grafiek 1">
          <a:extLst>
            <a:ext uri="{FF2B5EF4-FFF2-40B4-BE49-F238E27FC236}">
              <a16:creationId xmlns:a16="http://schemas.microsoft.com/office/drawing/2014/main" id="{AF8DFE30-70F6-EB5C-55FF-C80EFA3F0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31</xdr:row>
      <xdr:rowOff>22860</xdr:rowOff>
    </xdr:from>
    <xdr:to>
      <xdr:col>18</xdr:col>
      <xdr:colOff>533400</xdr:colOff>
      <xdr:row>46</xdr:row>
      <xdr:rowOff>45720</xdr:rowOff>
    </xdr:to>
    <xdr:graphicFrame macro="">
      <xdr:nvGraphicFramePr>
        <xdr:cNvPr id="5763101" name="Grafiek 11">
          <a:extLst>
            <a:ext uri="{FF2B5EF4-FFF2-40B4-BE49-F238E27FC236}">
              <a16:creationId xmlns:a16="http://schemas.microsoft.com/office/drawing/2014/main" id="{CAF1EF86-0106-F1F3-7016-78E140AF3A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518160</xdr:colOff>
      <xdr:row>31</xdr:row>
      <xdr:rowOff>30480</xdr:rowOff>
    </xdr:from>
    <xdr:to>
      <xdr:col>10</xdr:col>
      <xdr:colOff>548640</xdr:colOff>
      <xdr:row>46</xdr:row>
      <xdr:rowOff>45720</xdr:rowOff>
    </xdr:to>
    <xdr:graphicFrame macro="">
      <xdr:nvGraphicFramePr>
        <xdr:cNvPr id="5764124" name="Grafiek 1">
          <a:extLst>
            <a:ext uri="{FF2B5EF4-FFF2-40B4-BE49-F238E27FC236}">
              <a16:creationId xmlns:a16="http://schemas.microsoft.com/office/drawing/2014/main" id="{2AAF5658-5F8A-A3C7-AA27-F2ED230818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31</xdr:row>
      <xdr:rowOff>22860</xdr:rowOff>
    </xdr:from>
    <xdr:to>
      <xdr:col>18</xdr:col>
      <xdr:colOff>533400</xdr:colOff>
      <xdr:row>46</xdr:row>
      <xdr:rowOff>45720</xdr:rowOff>
    </xdr:to>
    <xdr:graphicFrame macro="">
      <xdr:nvGraphicFramePr>
        <xdr:cNvPr id="5764125" name="Grafiek 11">
          <a:extLst>
            <a:ext uri="{FF2B5EF4-FFF2-40B4-BE49-F238E27FC236}">
              <a16:creationId xmlns:a16="http://schemas.microsoft.com/office/drawing/2014/main" id="{B0FA9975-9840-582B-DE34-40FA0AB47B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09A71-A9A8-487B-BF5F-38EA53EDA49E}">
  <sheetPr codeName="Blad1"/>
  <dimension ref="A1:N39"/>
  <sheetViews>
    <sheetView workbookViewId="0">
      <selection activeCell="D23" sqref="D23"/>
    </sheetView>
  </sheetViews>
  <sheetFormatPr defaultRowHeight="13.2" x14ac:dyDescent="0.25"/>
  <cols>
    <col min="7" max="7" width="11.5546875" customWidth="1"/>
  </cols>
  <sheetData>
    <row r="1" spans="1:14" x14ac:dyDescent="0.25">
      <c r="A1" s="114" t="s">
        <v>67</v>
      </c>
      <c r="B1" s="115"/>
      <c r="C1" s="115"/>
      <c r="D1" s="115"/>
      <c r="E1" s="115"/>
      <c r="F1" s="115"/>
      <c r="G1" s="115"/>
      <c r="H1" s="115" t="s">
        <v>73</v>
      </c>
      <c r="I1" s="115"/>
      <c r="J1" s="115"/>
      <c r="K1" s="115"/>
      <c r="L1" t="s">
        <v>83</v>
      </c>
    </row>
    <row r="3" spans="1:14" x14ac:dyDescent="0.25">
      <c r="B3" s="68" t="s">
        <v>59</v>
      </c>
      <c r="C3" s="112" t="s">
        <v>118</v>
      </c>
      <c r="D3" s="112"/>
      <c r="E3" s="112"/>
      <c r="F3" s="112"/>
      <c r="G3" s="112"/>
      <c r="H3" s="112"/>
      <c r="I3" s="112"/>
      <c r="J3" s="112"/>
      <c r="K3" s="112"/>
      <c r="L3" s="112"/>
      <c r="M3" s="112"/>
    </row>
    <row r="4" spans="1:14" ht="12" customHeight="1" x14ac:dyDescent="0.25">
      <c r="B4" s="68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</row>
    <row r="5" spans="1:14" x14ac:dyDescent="0.25">
      <c r="B5" s="68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</row>
    <row r="6" spans="1:14" x14ac:dyDescent="0.25">
      <c r="B6" s="111" t="s">
        <v>68</v>
      </c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</row>
    <row r="7" spans="1:14" ht="13.8" thickBot="1" x14ac:dyDescent="0.3">
      <c r="B7" s="113"/>
    </row>
    <row r="8" spans="1:14" ht="14.4" thickTop="1" thickBot="1" x14ac:dyDescent="0.3">
      <c r="B8" s="100" t="s">
        <v>60</v>
      </c>
      <c r="C8" s="102" t="s">
        <v>61</v>
      </c>
      <c r="D8" s="102" t="s">
        <v>62</v>
      </c>
      <c r="E8" s="102" t="s">
        <v>63</v>
      </c>
      <c r="F8" s="117" t="s">
        <v>64</v>
      </c>
      <c r="G8" s="103" t="s">
        <v>72</v>
      </c>
      <c r="I8" s="152" t="s">
        <v>15</v>
      </c>
      <c r="J8" s="153"/>
      <c r="K8" s="153"/>
      <c r="L8" s="154"/>
    </row>
    <row r="9" spans="1:14" ht="14.4" thickTop="1" thickBot="1" x14ac:dyDescent="0.3">
      <c r="B9" s="101"/>
      <c r="C9" s="104" t="s">
        <v>40</v>
      </c>
      <c r="D9" s="105" t="s">
        <v>40</v>
      </c>
      <c r="E9" s="104" t="s">
        <v>65</v>
      </c>
      <c r="F9" s="118" t="s">
        <v>66</v>
      </c>
      <c r="G9" s="106" t="s">
        <v>10</v>
      </c>
      <c r="I9" s="155" t="s">
        <v>35</v>
      </c>
      <c r="J9" s="146"/>
      <c r="K9" s="147"/>
      <c r="L9" s="38">
        <v>5</v>
      </c>
    </row>
    <row r="10" spans="1:14" ht="13.8" thickTop="1" x14ac:dyDescent="0.25">
      <c r="B10" s="142" t="s">
        <v>116</v>
      </c>
      <c r="C10" s="108">
        <v>50.3</v>
      </c>
      <c r="D10" s="108">
        <v>50.3</v>
      </c>
      <c r="E10" s="108">
        <v>1331.3</v>
      </c>
      <c r="F10" s="119"/>
      <c r="G10" s="109"/>
      <c r="I10" s="145" t="s">
        <v>14</v>
      </c>
      <c r="J10" s="148"/>
      <c r="K10" s="147"/>
      <c r="L10" s="28">
        <v>1</v>
      </c>
    </row>
    <row r="11" spans="1:14" x14ac:dyDescent="0.25">
      <c r="B11" s="107" t="s">
        <v>117</v>
      </c>
      <c r="C11" s="108">
        <v>50.2</v>
      </c>
      <c r="D11" s="108">
        <v>50.4</v>
      </c>
      <c r="E11" s="108">
        <v>1314.2</v>
      </c>
      <c r="F11" s="119"/>
      <c r="G11" s="109"/>
      <c r="I11" s="145" t="s">
        <v>26</v>
      </c>
      <c r="J11" s="146"/>
      <c r="K11" s="147"/>
      <c r="L11" s="28">
        <v>0</v>
      </c>
    </row>
    <row r="12" spans="1:14" x14ac:dyDescent="0.25">
      <c r="B12" s="107" t="s">
        <v>129</v>
      </c>
      <c r="C12" s="108">
        <v>50.3</v>
      </c>
      <c r="D12" s="108">
        <v>50.5</v>
      </c>
      <c r="E12" s="108">
        <v>1300.8</v>
      </c>
      <c r="F12" s="119"/>
      <c r="G12" s="109"/>
      <c r="I12" s="145" t="s">
        <v>25</v>
      </c>
      <c r="J12" s="146"/>
      <c r="K12" s="147"/>
      <c r="L12" s="28">
        <v>200</v>
      </c>
    </row>
    <row r="13" spans="1:14" x14ac:dyDescent="0.25">
      <c r="B13" s="142" t="s">
        <v>130</v>
      </c>
      <c r="C13" s="108">
        <v>50.2</v>
      </c>
      <c r="D13" s="108">
        <v>49.6</v>
      </c>
      <c r="E13" s="108">
        <v>1332.2</v>
      </c>
      <c r="F13" s="119"/>
      <c r="G13" s="109"/>
      <c r="I13" s="145" t="s">
        <v>28</v>
      </c>
      <c r="J13" s="148"/>
      <c r="K13" s="146"/>
      <c r="L13" s="28">
        <v>1700</v>
      </c>
    </row>
    <row r="14" spans="1:14" ht="13.8" thickBot="1" x14ac:dyDescent="0.3">
      <c r="B14" s="142" t="s">
        <v>131</v>
      </c>
      <c r="C14" s="108">
        <v>50.3</v>
      </c>
      <c r="D14" s="108">
        <v>50.4</v>
      </c>
      <c r="E14" s="108">
        <v>1341.3</v>
      </c>
      <c r="F14" s="119"/>
      <c r="G14" s="109"/>
      <c r="I14" s="149" t="s">
        <v>55</v>
      </c>
      <c r="J14" s="150"/>
      <c r="K14" s="151"/>
      <c r="L14" s="29">
        <v>50</v>
      </c>
    </row>
    <row r="15" spans="1:14" ht="13.8" thickTop="1" x14ac:dyDescent="0.25">
      <c r="B15" s="142" t="s">
        <v>139</v>
      </c>
      <c r="C15" s="108">
        <v>50.2</v>
      </c>
      <c r="D15" s="108">
        <v>50.2</v>
      </c>
      <c r="E15" s="108">
        <v>1325.6</v>
      </c>
      <c r="F15" s="119"/>
      <c r="G15" s="109"/>
    </row>
    <row r="16" spans="1:14" x14ac:dyDescent="0.25">
      <c r="B16" s="107" t="s">
        <v>140</v>
      </c>
      <c r="C16" s="108">
        <v>50.1</v>
      </c>
      <c r="D16" s="108">
        <v>50.3</v>
      </c>
      <c r="E16" s="108">
        <v>1335.7</v>
      </c>
      <c r="F16" s="119"/>
      <c r="G16" s="109"/>
    </row>
    <row r="17" spans="2:11" x14ac:dyDescent="0.25">
      <c r="B17" s="142" t="s">
        <v>147</v>
      </c>
      <c r="C17" s="108">
        <v>50.2</v>
      </c>
      <c r="D17" s="108">
        <v>50.3</v>
      </c>
      <c r="E17" s="108">
        <v>1344</v>
      </c>
      <c r="F17" s="119"/>
      <c r="G17" s="109"/>
    </row>
    <row r="18" spans="2:11" x14ac:dyDescent="0.25">
      <c r="B18" s="107"/>
      <c r="C18" s="108"/>
      <c r="D18" s="108"/>
      <c r="E18" s="108"/>
      <c r="F18" s="119"/>
      <c r="G18" s="109"/>
    </row>
    <row r="19" spans="2:11" x14ac:dyDescent="0.25">
      <c r="B19" s="142"/>
      <c r="C19" s="108"/>
      <c r="D19" s="108"/>
      <c r="E19" s="108"/>
      <c r="F19" s="119"/>
      <c r="G19" s="109"/>
    </row>
    <row r="20" spans="2:11" x14ac:dyDescent="0.25">
      <c r="B20" s="142"/>
      <c r="C20" s="108"/>
      <c r="D20" s="108"/>
      <c r="E20" s="108"/>
      <c r="F20" s="119"/>
      <c r="G20" s="109"/>
    </row>
    <row r="21" spans="2:11" x14ac:dyDescent="0.25">
      <c r="B21" s="142"/>
      <c r="C21" s="108"/>
      <c r="D21" s="108"/>
      <c r="E21" s="108"/>
      <c r="F21" s="119"/>
      <c r="G21" s="109"/>
    </row>
    <row r="22" spans="2:11" x14ac:dyDescent="0.25">
      <c r="B22" s="142"/>
      <c r="C22" s="108"/>
      <c r="D22" s="108"/>
      <c r="E22" s="108"/>
      <c r="F22" s="119"/>
      <c r="G22" s="109"/>
    </row>
    <row r="23" spans="2:11" x14ac:dyDescent="0.25">
      <c r="B23" s="142"/>
      <c r="C23" s="108"/>
      <c r="D23" s="108"/>
      <c r="E23" s="108"/>
      <c r="F23" s="119"/>
      <c r="G23" s="109"/>
    </row>
    <row r="24" spans="2:11" x14ac:dyDescent="0.25">
      <c r="B24" s="142"/>
      <c r="C24" s="108"/>
      <c r="D24" s="108"/>
      <c r="E24" s="108"/>
      <c r="F24" s="120"/>
      <c r="G24" s="109"/>
    </row>
    <row r="25" spans="2:11" x14ac:dyDescent="0.25">
      <c r="B25" s="142"/>
      <c r="C25" s="108"/>
      <c r="D25" s="108"/>
      <c r="E25" s="108"/>
      <c r="F25" s="120"/>
      <c r="G25" s="109"/>
      <c r="I25" t="s">
        <v>77</v>
      </c>
    </row>
    <row r="26" spans="2:11" x14ac:dyDescent="0.25">
      <c r="B26" s="142"/>
      <c r="C26" s="108"/>
      <c r="D26" s="108"/>
      <c r="E26" s="108"/>
      <c r="F26" s="120"/>
      <c r="G26" s="109"/>
      <c r="I26" t="s">
        <v>78</v>
      </c>
    </row>
    <row r="27" spans="2:11" x14ac:dyDescent="0.25">
      <c r="B27" s="142"/>
      <c r="C27" s="108"/>
      <c r="D27" s="108"/>
      <c r="E27" s="108"/>
      <c r="F27" s="137"/>
      <c r="G27" s="109"/>
      <c r="I27" t="s">
        <v>110</v>
      </c>
    </row>
    <row r="28" spans="2:11" x14ac:dyDescent="0.25">
      <c r="B28" s="142"/>
      <c r="C28" s="108"/>
      <c r="D28" s="108"/>
      <c r="E28" s="108"/>
      <c r="F28" s="137"/>
      <c r="G28" s="109"/>
      <c r="H28" s="2"/>
      <c r="I28" t="s">
        <v>76</v>
      </c>
      <c r="J28" s="2"/>
      <c r="K28" s="2"/>
    </row>
    <row r="29" spans="2:11" x14ac:dyDescent="0.25">
      <c r="B29" s="143"/>
      <c r="C29" s="137"/>
      <c r="D29" s="137"/>
      <c r="E29" s="137"/>
      <c r="F29" s="137"/>
      <c r="G29" s="109"/>
      <c r="I29" t="s">
        <v>74</v>
      </c>
    </row>
    <row r="30" spans="2:11" x14ac:dyDescent="0.25">
      <c r="B30" s="143"/>
      <c r="C30" s="137"/>
      <c r="D30" s="137"/>
      <c r="E30" s="137"/>
      <c r="F30" s="137"/>
      <c r="G30" s="109"/>
      <c r="I30" t="s">
        <v>75</v>
      </c>
    </row>
    <row r="31" spans="2:11" x14ac:dyDescent="0.25">
      <c r="B31" s="110"/>
      <c r="C31" s="137"/>
      <c r="D31" s="137"/>
      <c r="E31" s="137"/>
      <c r="F31" s="137"/>
      <c r="G31" s="109"/>
      <c r="I31" s="1" t="s">
        <v>111</v>
      </c>
    </row>
    <row r="32" spans="2:11" x14ac:dyDescent="0.25">
      <c r="B32" s="107"/>
      <c r="C32" s="108"/>
      <c r="D32" s="108"/>
      <c r="E32" s="108"/>
      <c r="F32" s="119"/>
      <c r="G32" s="109"/>
      <c r="I32" t="s">
        <v>112</v>
      </c>
    </row>
    <row r="33" spans="2:7" x14ac:dyDescent="0.25">
      <c r="B33" s="107"/>
      <c r="C33" s="108"/>
      <c r="D33" s="108"/>
      <c r="E33" s="108"/>
      <c r="F33" s="119"/>
      <c r="G33" s="109"/>
    </row>
    <row r="34" spans="2:7" x14ac:dyDescent="0.25">
      <c r="B34" s="64"/>
    </row>
    <row r="35" spans="2:7" x14ac:dyDescent="0.25">
      <c r="D35" s="64"/>
      <c r="E35" s="91"/>
      <c r="F35" s="2"/>
      <c r="G35" s="2"/>
    </row>
    <row r="36" spans="2:7" x14ac:dyDescent="0.25">
      <c r="B36" s="64"/>
    </row>
    <row r="37" spans="2:7" x14ac:dyDescent="0.25">
      <c r="B37" s="64"/>
    </row>
    <row r="38" spans="2:7" x14ac:dyDescent="0.25">
      <c r="B38" s="64"/>
    </row>
    <row r="39" spans="2:7" x14ac:dyDescent="0.25">
      <c r="B39" s="64"/>
    </row>
  </sheetData>
  <mergeCells count="7">
    <mergeCell ref="I12:K12"/>
    <mergeCell ref="I13:K13"/>
    <mergeCell ref="I14:K14"/>
    <mergeCell ref="I8:L8"/>
    <mergeCell ref="I9:K9"/>
    <mergeCell ref="I10:K10"/>
    <mergeCell ref="I11:K11"/>
  </mergeCells>
  <phoneticPr fontId="4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Ophalen_Meetdata">
                <anchor>
                  <from>
                    <xdr:col>9</xdr:col>
                    <xdr:colOff>350520</xdr:colOff>
                    <xdr:row>17</xdr:row>
                    <xdr:rowOff>121920</xdr:rowOff>
                  </from>
                  <to>
                    <xdr:col>11</xdr:col>
                    <xdr:colOff>144780</xdr:colOff>
                    <xdr:row>22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222E9-BECC-459B-A1A9-10F926076490}">
  <sheetPr codeName="Blad4"/>
  <dimension ref="A1:S84"/>
  <sheetViews>
    <sheetView tabSelected="1" zoomScaleNormal="100" zoomScaleSheetLayoutView="100" workbookViewId="0">
      <selection activeCell="G23" sqref="G23"/>
    </sheetView>
  </sheetViews>
  <sheetFormatPr defaultRowHeight="13.2" x14ac:dyDescent="0.25"/>
  <cols>
    <col min="1" max="1" width="8.33203125" style="140" customWidth="1"/>
    <col min="4" max="4" width="9.44140625" customWidth="1"/>
    <col min="6" max="6" width="9.6640625" customWidth="1"/>
    <col min="7" max="7" width="11" customWidth="1"/>
    <col min="8" max="8" width="4.88671875" customWidth="1"/>
    <col min="9" max="9" width="3.109375" customWidth="1"/>
    <col min="10" max="10" width="9.6640625" customWidth="1"/>
    <col min="13" max="13" width="10.6640625" bestFit="1" customWidth="1"/>
  </cols>
  <sheetData>
    <row r="1" spans="1:19" x14ac:dyDescent="0.25">
      <c r="A1" s="139" t="s">
        <v>34</v>
      </c>
    </row>
    <row r="2" spans="1:19" ht="13.8" thickBot="1" x14ac:dyDescent="0.3"/>
    <row r="3" spans="1:19" ht="17.399999999999999" thickTop="1" x14ac:dyDescent="0.35">
      <c r="B3" s="16" t="s">
        <v>70</v>
      </c>
      <c r="C3" s="40"/>
      <c r="D3" s="39"/>
      <c r="E3" s="70"/>
      <c r="O3" s="48"/>
    </row>
    <row r="4" spans="1:19" x14ac:dyDescent="0.25">
      <c r="B4" s="17"/>
      <c r="C4" s="44" t="s">
        <v>71</v>
      </c>
      <c r="D4" s="99">
        <f>IF(COUNT(K9:K24)&lt;3,"",ROUND(10^INTERCEPT(L9:L24,K9:K24),3))</f>
        <v>186396.01500000001</v>
      </c>
      <c r="E4" s="70"/>
      <c r="G4" s="122"/>
    </row>
    <row r="5" spans="1:19" ht="14.4" thickBot="1" x14ac:dyDescent="0.3">
      <c r="B5" s="23"/>
      <c r="C5" s="116" t="s">
        <v>69</v>
      </c>
      <c r="D5" s="97">
        <f>IF(COUNT(K9:K30)&lt;3,"",ROUND(SLOPE(L9:L30,K9:K30),3))</f>
        <v>-4.556</v>
      </c>
      <c r="E5" s="70"/>
      <c r="F5" s="72"/>
      <c r="G5" s="2"/>
    </row>
    <row r="6" spans="1:19" ht="14.4" thickTop="1" thickBot="1" x14ac:dyDescent="0.3"/>
    <row r="7" spans="1:19" ht="16.2" thickTop="1" x14ac:dyDescent="0.35">
      <c r="B7" s="18" t="s">
        <v>12</v>
      </c>
      <c r="C7" s="88" t="s">
        <v>54</v>
      </c>
      <c r="D7" s="15" t="s">
        <v>53</v>
      </c>
      <c r="E7" s="15" t="s">
        <v>29</v>
      </c>
      <c r="F7" s="15" t="s">
        <v>47</v>
      </c>
      <c r="G7" s="20" t="s">
        <v>30</v>
      </c>
      <c r="J7" s="6" t="s">
        <v>12</v>
      </c>
      <c r="K7" s="156" t="s">
        <v>32</v>
      </c>
      <c r="L7" s="157"/>
      <c r="M7" s="158"/>
      <c r="O7" s="2"/>
      <c r="P7" s="2"/>
      <c r="Q7" s="2"/>
      <c r="S7" s="2"/>
    </row>
    <row r="8" spans="1:19" ht="16.2" thickBot="1" x14ac:dyDescent="0.4">
      <c r="B8" s="37"/>
      <c r="C8" s="12" t="s">
        <v>48</v>
      </c>
      <c r="D8" s="14" t="s">
        <v>1</v>
      </c>
      <c r="E8" s="14" t="s">
        <v>1</v>
      </c>
      <c r="F8" s="14" t="s">
        <v>3</v>
      </c>
      <c r="G8" s="22" t="s">
        <v>10</v>
      </c>
      <c r="J8" s="23"/>
      <c r="K8" s="14" t="s">
        <v>56</v>
      </c>
      <c r="L8" s="14" t="s">
        <v>33</v>
      </c>
      <c r="M8" s="22" t="s">
        <v>58</v>
      </c>
      <c r="O8" s="2"/>
      <c r="P8" s="2"/>
      <c r="Q8" s="2"/>
      <c r="S8" s="2"/>
    </row>
    <row r="9" spans="1:19" ht="13.8" thickTop="1" x14ac:dyDescent="0.25">
      <c r="B9" s="84" t="s">
        <v>116</v>
      </c>
      <c r="C9" s="75">
        <v>1.6465897435897432</v>
      </c>
      <c r="D9" s="75">
        <v>0.88365822784810177</v>
      </c>
      <c r="E9" s="49">
        <v>2865</v>
      </c>
      <c r="F9" s="77">
        <v>7</v>
      </c>
      <c r="G9" s="79">
        <v>21000</v>
      </c>
      <c r="J9" s="19" t="str">
        <f t="shared" ref="J9:J14" si="0">IF(B9="","",B9)</f>
        <v>5V</v>
      </c>
      <c r="K9" s="41">
        <f>IF(C9&lt;&gt;"",LOG10(C9),"")</f>
        <v>0.21658540591562594</v>
      </c>
      <c r="L9" s="41">
        <f>IF(G9&lt;&gt;"",LOG10(G9),"")</f>
        <v>4.3222192947339195</v>
      </c>
      <c r="M9" s="21">
        <f>IF(C9="","",IF(D$5="","",D$4*C9^D$5))</f>
        <v>19216.465648148485</v>
      </c>
    </row>
    <row r="10" spans="1:19" x14ac:dyDescent="0.25">
      <c r="B10" s="85" t="s">
        <v>117</v>
      </c>
      <c r="C10" s="76">
        <v>2.2311555555555556</v>
      </c>
      <c r="D10" s="76">
        <v>1.1764347826086952</v>
      </c>
      <c r="E10" s="47">
        <v>4015</v>
      </c>
      <c r="F10" s="78">
        <v>10</v>
      </c>
      <c r="G10" s="80">
        <v>4500</v>
      </c>
      <c r="J10" s="19" t="str">
        <f t="shared" si="0"/>
        <v>6V</v>
      </c>
      <c r="K10" s="41">
        <f>IF(C10&lt;&gt;"",LOG10(C10),"")</f>
        <v>0.3485298502319899</v>
      </c>
      <c r="L10" s="41">
        <f t="shared" ref="L10:L15" si="1">IF(G10&lt;&gt;"",LOG10(G10),"")</f>
        <v>3.6532125137753435</v>
      </c>
      <c r="M10" s="21">
        <f t="shared" ref="M10:M32" si="2">IF(C10="","",IF(D$5="","",D$4*C10^D$5))</f>
        <v>4814.3163622428456</v>
      </c>
    </row>
    <row r="11" spans="1:19" x14ac:dyDescent="0.25">
      <c r="B11" s="85" t="s">
        <v>129</v>
      </c>
      <c r="C11" s="76">
        <v>1.2134868421052638</v>
      </c>
      <c r="D11" s="76">
        <v>0.66641176470588392</v>
      </c>
      <c r="E11" s="47">
        <v>2671</v>
      </c>
      <c r="F11" s="78">
        <v>9</v>
      </c>
      <c r="G11" s="80">
        <v>72000</v>
      </c>
      <c r="J11" s="19" t="str">
        <f t="shared" si="0"/>
        <v>1V</v>
      </c>
      <c r="K11" s="41">
        <f t="shared" ref="K11:K23" si="3">IF(C11&lt;&gt;"",LOG10(C11),"")</f>
        <v>8.4035071618049934E-2</v>
      </c>
      <c r="L11" s="41">
        <f t="shared" si="1"/>
        <v>4.8573324964312681</v>
      </c>
      <c r="M11" s="21">
        <f t="shared" si="2"/>
        <v>77192.096612539157</v>
      </c>
    </row>
    <row r="12" spans="1:19" x14ac:dyDescent="0.25">
      <c r="B12" s="85" t="s">
        <v>130</v>
      </c>
      <c r="C12" s="76">
        <v>3.5227586206896557</v>
      </c>
      <c r="D12" s="76">
        <v>1.8240000000000001</v>
      </c>
      <c r="E12" s="47">
        <v>3656</v>
      </c>
      <c r="F12" s="78">
        <v>9</v>
      </c>
      <c r="G12" s="80">
        <v>900</v>
      </c>
      <c r="J12" s="19" t="str">
        <f t="shared" si="0"/>
        <v>3V</v>
      </c>
      <c r="K12" s="41">
        <f t="shared" si="3"/>
        <v>0.54688288635640281</v>
      </c>
      <c r="L12" s="41">
        <f>IF(G12&lt;&gt;"",LOG10(G12),"")</f>
        <v>2.9542425094393248</v>
      </c>
      <c r="M12" s="21">
        <f t="shared" si="2"/>
        <v>600.94979727163934</v>
      </c>
    </row>
    <row r="13" spans="1:19" x14ac:dyDescent="0.25">
      <c r="B13" s="85" t="s">
        <v>131</v>
      </c>
      <c r="C13" s="76">
        <v>3.1648518518518531</v>
      </c>
      <c r="D13" s="76">
        <v>1.6486071428571432</v>
      </c>
      <c r="E13" s="47">
        <v>3157</v>
      </c>
      <c r="F13" s="78">
        <v>12</v>
      </c>
      <c r="G13" s="80">
        <v>700</v>
      </c>
      <c r="J13" s="19" t="str">
        <f t="shared" si="0"/>
        <v>7V</v>
      </c>
      <c r="K13" s="41">
        <f t="shared" si="3"/>
        <v>0.50035338530784113</v>
      </c>
      <c r="L13" s="41">
        <f t="shared" si="1"/>
        <v>2.8450980400142569</v>
      </c>
      <c r="M13" s="21">
        <f t="shared" si="2"/>
        <v>979.09898371929728</v>
      </c>
    </row>
    <row r="14" spans="1:19" x14ac:dyDescent="0.25">
      <c r="B14" s="85" t="s">
        <v>139</v>
      </c>
      <c r="C14" s="76">
        <v>4.3806666666666656</v>
      </c>
      <c r="D14" s="76">
        <v>2.2544615384615385</v>
      </c>
      <c r="E14" s="47">
        <v>3243</v>
      </c>
      <c r="F14" s="78">
        <v>12</v>
      </c>
      <c r="G14" s="80">
        <v>175</v>
      </c>
      <c r="J14" s="19" t="str">
        <f t="shared" si="0"/>
        <v>4V</v>
      </c>
      <c r="K14" s="41">
        <f t="shared" si="3"/>
        <v>0.64154020813483403</v>
      </c>
      <c r="L14" s="41">
        <f t="shared" si="1"/>
        <v>2.2430380486862944</v>
      </c>
      <c r="M14" s="21">
        <f t="shared" si="2"/>
        <v>222.62782067587017</v>
      </c>
    </row>
    <row r="15" spans="1:19" x14ac:dyDescent="0.25">
      <c r="B15" s="85" t="s">
        <v>140</v>
      </c>
      <c r="C15" s="76">
        <v>4.3649090909090908</v>
      </c>
      <c r="D15" s="76">
        <v>2.2544999999999997</v>
      </c>
      <c r="E15" s="47">
        <v>3599</v>
      </c>
      <c r="F15" s="78">
        <v>16</v>
      </c>
      <c r="G15" s="80">
        <v>150</v>
      </c>
      <c r="J15" s="19" t="str">
        <f t="shared" ref="J15:J22" si="4">IF(B15="","",B15)</f>
        <v>8V</v>
      </c>
      <c r="K15" s="41">
        <f>IF(C15&lt;&gt;"",LOG10(C15),"")</f>
        <v>0.63997520297224653</v>
      </c>
      <c r="L15" s="41">
        <f t="shared" si="1"/>
        <v>2.1760912590556813</v>
      </c>
      <c r="M15" s="21">
        <f t="shared" si="2"/>
        <v>226.31305046375158</v>
      </c>
    </row>
    <row r="16" spans="1:19" x14ac:dyDescent="0.25">
      <c r="B16" s="86" t="s">
        <v>147</v>
      </c>
      <c r="C16" s="89">
        <v>3.9155925925925916</v>
      </c>
      <c r="D16" s="76">
        <v>2.0215714285714292</v>
      </c>
      <c r="E16" s="47">
        <v>4510</v>
      </c>
      <c r="F16" s="78">
        <v>12</v>
      </c>
      <c r="G16" s="81">
        <v>700</v>
      </c>
      <c r="J16" s="19" t="str">
        <f t="shared" si="4"/>
        <v>2V</v>
      </c>
      <c r="K16" s="41">
        <f t="shared" si="3"/>
        <v>0.59279749825024952</v>
      </c>
      <c r="L16" s="41">
        <f t="shared" ref="L16:L22" si="5">IF(G16&lt;&gt;"",LOG10(G16),"")</f>
        <v>2.8450980400142569</v>
      </c>
      <c r="M16" s="21">
        <f t="shared" si="2"/>
        <v>371.23697159852424</v>
      </c>
    </row>
    <row r="17" spans="1:13" x14ac:dyDescent="0.25">
      <c r="B17" s="86"/>
      <c r="C17" s="89"/>
      <c r="D17" s="76"/>
      <c r="E17" s="47"/>
      <c r="F17" s="78"/>
      <c r="G17" s="81"/>
      <c r="J17" s="19" t="str">
        <f t="shared" si="4"/>
        <v/>
      </c>
      <c r="K17" s="41" t="str">
        <f t="shared" si="3"/>
        <v/>
      </c>
      <c r="L17" s="41" t="str">
        <f t="shared" si="5"/>
        <v/>
      </c>
      <c r="M17" s="21" t="str">
        <f t="shared" si="2"/>
        <v/>
      </c>
    </row>
    <row r="18" spans="1:13" x14ac:dyDescent="0.25">
      <c r="B18" s="144"/>
      <c r="C18" s="89"/>
      <c r="D18" s="76"/>
      <c r="E18" s="47"/>
      <c r="F18" s="78"/>
      <c r="G18" s="81"/>
      <c r="J18" s="19" t="str">
        <f t="shared" si="4"/>
        <v/>
      </c>
      <c r="K18" s="41" t="str">
        <f t="shared" si="3"/>
        <v/>
      </c>
      <c r="L18" s="41" t="str">
        <f t="shared" si="5"/>
        <v/>
      </c>
      <c r="M18" s="21" t="str">
        <f t="shared" si="2"/>
        <v/>
      </c>
    </row>
    <row r="19" spans="1:13" x14ac:dyDescent="0.25">
      <c r="B19" s="144"/>
      <c r="C19" s="89"/>
      <c r="D19" s="76"/>
      <c r="E19" s="47"/>
      <c r="F19" s="78"/>
      <c r="G19" s="81"/>
      <c r="J19" s="19" t="str">
        <f>IF(B19="","",B19)</f>
        <v/>
      </c>
      <c r="K19" s="41" t="str">
        <f t="shared" si="3"/>
        <v/>
      </c>
      <c r="L19" s="41" t="str">
        <f>IF(G19&lt;&gt;"",LOG10(G19),"")</f>
        <v/>
      </c>
      <c r="M19" s="21" t="str">
        <f t="shared" si="2"/>
        <v/>
      </c>
    </row>
    <row r="20" spans="1:13" x14ac:dyDescent="0.25">
      <c r="B20" s="144"/>
      <c r="C20" s="89"/>
      <c r="D20" s="76"/>
      <c r="E20" s="47"/>
      <c r="F20" s="78"/>
      <c r="G20" s="81"/>
      <c r="J20" s="19" t="str">
        <f t="shared" si="4"/>
        <v/>
      </c>
      <c r="K20" s="41" t="str">
        <f t="shared" si="3"/>
        <v/>
      </c>
      <c r="L20" s="41" t="str">
        <f t="shared" si="5"/>
        <v/>
      </c>
      <c r="M20" s="21" t="str">
        <f t="shared" si="2"/>
        <v/>
      </c>
    </row>
    <row r="21" spans="1:13" x14ac:dyDescent="0.25">
      <c r="B21" s="144"/>
      <c r="C21" s="89"/>
      <c r="D21" s="76"/>
      <c r="E21" s="47"/>
      <c r="F21" s="78"/>
      <c r="G21" s="81"/>
      <c r="J21" s="19" t="str">
        <f t="shared" si="4"/>
        <v/>
      </c>
      <c r="K21" s="41" t="str">
        <f t="shared" si="3"/>
        <v/>
      </c>
      <c r="L21" s="41" t="str">
        <f t="shared" si="5"/>
        <v/>
      </c>
      <c r="M21" s="21" t="str">
        <f t="shared" si="2"/>
        <v/>
      </c>
    </row>
    <row r="22" spans="1:13" x14ac:dyDescent="0.25">
      <c r="B22" s="86"/>
      <c r="C22" s="89"/>
      <c r="D22" s="76"/>
      <c r="E22" s="47"/>
      <c r="F22" s="78"/>
      <c r="G22" s="81"/>
      <c r="J22" s="19" t="str">
        <f t="shared" si="4"/>
        <v/>
      </c>
      <c r="K22" s="41" t="str">
        <f t="shared" si="3"/>
        <v/>
      </c>
      <c r="L22" s="41" t="str">
        <f t="shared" si="5"/>
        <v/>
      </c>
      <c r="M22" s="21" t="str">
        <f t="shared" si="2"/>
        <v/>
      </c>
    </row>
    <row r="23" spans="1:13" x14ac:dyDescent="0.25">
      <c r="B23" s="86"/>
      <c r="C23" s="89"/>
      <c r="D23" s="76"/>
      <c r="E23" s="47"/>
      <c r="F23" s="78"/>
      <c r="G23" s="81"/>
      <c r="J23" s="19" t="str">
        <f>IF(B23="","",B23)</f>
        <v/>
      </c>
      <c r="K23" s="41" t="str">
        <f t="shared" si="3"/>
        <v/>
      </c>
      <c r="L23" s="41" t="str">
        <f>IF(G23&lt;&gt;"",LOG10(G23),"")</f>
        <v/>
      </c>
      <c r="M23" s="21" t="str">
        <f t="shared" si="2"/>
        <v/>
      </c>
    </row>
    <row r="24" spans="1:13" x14ac:dyDescent="0.25">
      <c r="A24" s="141"/>
      <c r="B24" s="134"/>
      <c r="C24" s="128"/>
      <c r="D24" s="130"/>
      <c r="E24" s="127"/>
      <c r="F24" s="123"/>
      <c r="G24" s="131"/>
      <c r="J24" s="19" t="str">
        <f>IF(B24="","",B24)</f>
        <v/>
      </c>
      <c r="K24" s="41" t="str">
        <f>IF(C24&lt;&gt;"",LOG10(C24),"")</f>
        <v/>
      </c>
      <c r="L24" s="41" t="str">
        <f>IF(G24&lt;&gt;"",LOG10(G24),"")</f>
        <v/>
      </c>
      <c r="M24" s="21" t="str">
        <f t="shared" si="2"/>
        <v/>
      </c>
    </row>
    <row r="25" spans="1:13" x14ac:dyDescent="0.25">
      <c r="A25" s="141"/>
      <c r="B25" s="126"/>
      <c r="C25" s="129"/>
      <c r="D25" s="129"/>
      <c r="E25" s="126"/>
      <c r="F25" s="124"/>
      <c r="G25" s="132"/>
      <c r="J25" s="19" t="str">
        <f t="shared" ref="J25:J32" si="6">IF(B25="","",B25)</f>
        <v/>
      </c>
      <c r="K25" s="41" t="str">
        <f t="shared" ref="K25:K32" si="7">IF(C25&lt;&gt;"",LOG10(C25),"")</f>
        <v/>
      </c>
      <c r="L25" s="41" t="str">
        <f t="shared" ref="L25:L32" si="8">IF(G25&lt;&gt;"",LOG10(G25),"")</f>
        <v/>
      </c>
      <c r="M25" s="21" t="str">
        <f t="shared" si="2"/>
        <v/>
      </c>
    </row>
    <row r="26" spans="1:13" x14ac:dyDescent="0.25">
      <c r="A26" s="141"/>
      <c r="B26" s="126"/>
      <c r="C26" s="129"/>
      <c r="D26" s="129"/>
      <c r="E26" s="126"/>
      <c r="F26" s="124"/>
      <c r="G26" s="132"/>
      <c r="J26" s="19" t="str">
        <f t="shared" si="6"/>
        <v/>
      </c>
      <c r="K26" s="41" t="str">
        <f t="shared" si="7"/>
        <v/>
      </c>
      <c r="L26" s="41" t="str">
        <f t="shared" si="8"/>
        <v/>
      </c>
      <c r="M26" s="21" t="str">
        <f t="shared" si="2"/>
        <v/>
      </c>
    </row>
    <row r="27" spans="1:13" x14ac:dyDescent="0.25">
      <c r="A27" s="141"/>
      <c r="B27" s="126"/>
      <c r="C27" s="129"/>
      <c r="D27" s="129"/>
      <c r="E27" s="126"/>
      <c r="F27" s="124"/>
      <c r="G27" s="132"/>
      <c r="J27" s="19" t="str">
        <f t="shared" si="6"/>
        <v/>
      </c>
      <c r="K27" s="41" t="str">
        <f t="shared" si="7"/>
        <v/>
      </c>
      <c r="L27" s="41" t="str">
        <f t="shared" si="8"/>
        <v/>
      </c>
      <c r="M27" s="21" t="str">
        <f t="shared" si="2"/>
        <v/>
      </c>
    </row>
    <row r="28" spans="1:13" x14ac:dyDescent="0.25">
      <c r="A28" s="141"/>
      <c r="B28" s="126"/>
      <c r="C28" s="129"/>
      <c r="D28" s="129"/>
      <c r="E28" s="126"/>
      <c r="F28" s="124"/>
      <c r="G28" s="133"/>
      <c r="J28" s="19" t="str">
        <f t="shared" si="6"/>
        <v/>
      </c>
      <c r="K28" s="41" t="str">
        <f t="shared" si="7"/>
        <v/>
      </c>
      <c r="L28" s="41" t="str">
        <f t="shared" si="8"/>
        <v/>
      </c>
      <c r="M28" s="21" t="str">
        <f t="shared" si="2"/>
        <v/>
      </c>
    </row>
    <row r="29" spans="1:13" x14ac:dyDescent="0.25">
      <c r="A29" s="141"/>
      <c r="B29" s="126"/>
      <c r="C29" s="129"/>
      <c r="D29" s="129"/>
      <c r="E29" s="126"/>
      <c r="F29" s="125"/>
      <c r="G29" s="132"/>
      <c r="J29" s="19" t="str">
        <f t="shared" si="6"/>
        <v/>
      </c>
      <c r="K29" s="41" t="str">
        <f t="shared" si="7"/>
        <v/>
      </c>
      <c r="L29" s="41" t="str">
        <f t="shared" si="8"/>
        <v/>
      </c>
      <c r="M29" s="21" t="str">
        <f t="shared" si="2"/>
        <v/>
      </c>
    </row>
    <row r="30" spans="1:13" x14ac:dyDescent="0.25">
      <c r="A30" s="141"/>
      <c r="B30" s="126"/>
      <c r="C30" s="129"/>
      <c r="D30" s="129"/>
      <c r="E30" s="126"/>
      <c r="F30" s="124"/>
      <c r="G30" s="132"/>
      <c r="J30" s="19" t="str">
        <f t="shared" si="6"/>
        <v/>
      </c>
      <c r="K30" s="41" t="str">
        <f t="shared" si="7"/>
        <v/>
      </c>
      <c r="L30" s="41" t="str">
        <f t="shared" si="8"/>
        <v/>
      </c>
      <c r="M30" s="21" t="str">
        <f t="shared" si="2"/>
        <v/>
      </c>
    </row>
    <row r="31" spans="1:13" x14ac:dyDescent="0.25">
      <c r="A31" s="141"/>
      <c r="B31" s="126"/>
      <c r="C31" s="129"/>
      <c r="D31" s="129"/>
      <c r="E31" s="126"/>
      <c r="F31" s="124"/>
      <c r="G31" s="132"/>
      <c r="J31" s="19" t="str">
        <f t="shared" si="6"/>
        <v/>
      </c>
      <c r="K31" s="41" t="str">
        <f t="shared" si="7"/>
        <v/>
      </c>
      <c r="L31" s="41" t="str">
        <f t="shared" si="8"/>
        <v/>
      </c>
      <c r="M31" s="21" t="str">
        <f t="shared" si="2"/>
        <v/>
      </c>
    </row>
    <row r="32" spans="1:13" ht="13.8" thickBot="1" x14ac:dyDescent="0.3">
      <c r="A32" s="141"/>
      <c r="B32" s="126"/>
      <c r="C32" s="129"/>
      <c r="D32" s="129"/>
      <c r="E32" s="126"/>
      <c r="F32" s="124"/>
      <c r="G32" s="132"/>
      <c r="J32" s="37" t="str">
        <f t="shared" si="6"/>
        <v/>
      </c>
      <c r="K32" s="42" t="str">
        <f t="shared" si="7"/>
        <v/>
      </c>
      <c r="L32" s="42" t="str">
        <f t="shared" si="8"/>
        <v/>
      </c>
      <c r="M32" s="98" t="str">
        <f t="shared" si="2"/>
        <v/>
      </c>
    </row>
    <row r="33" spans="2:13" ht="13.8" thickTop="1" x14ac:dyDescent="0.25">
      <c r="B33" s="2"/>
      <c r="C33" s="122"/>
      <c r="D33" s="122"/>
      <c r="E33" s="92"/>
      <c r="F33" s="92"/>
      <c r="G33" s="92"/>
      <c r="J33" s="2"/>
      <c r="K33" s="43"/>
      <c r="L33" s="43"/>
      <c r="M33" s="2"/>
    </row>
    <row r="34" spans="2:13" x14ac:dyDescent="0.25">
      <c r="B34" s="2"/>
      <c r="C34" s="71"/>
      <c r="D34" s="64"/>
      <c r="E34" s="92"/>
      <c r="F34" s="92"/>
      <c r="G34" s="92"/>
      <c r="H34" s="2"/>
      <c r="J34" s="2"/>
      <c r="K34" s="43"/>
      <c r="L34" s="43"/>
      <c r="M34" s="2"/>
    </row>
    <row r="35" spans="2:13" x14ac:dyDescent="0.25">
      <c r="B35" s="2"/>
      <c r="C35" s="71"/>
      <c r="E35" s="92"/>
      <c r="F35" s="92"/>
      <c r="G35" s="92"/>
      <c r="H35" s="2"/>
      <c r="J35" s="2"/>
      <c r="K35" s="43"/>
      <c r="L35" s="43"/>
      <c r="M35" s="2"/>
    </row>
    <row r="36" spans="2:13" x14ac:dyDescent="0.25">
      <c r="B36" s="2"/>
      <c r="C36" s="71"/>
      <c r="D36" s="71"/>
      <c r="E36" s="92"/>
      <c r="F36" s="92"/>
      <c r="G36" s="92"/>
      <c r="H36" s="2"/>
      <c r="J36" s="2"/>
      <c r="K36" s="43"/>
      <c r="L36" s="43"/>
      <c r="M36" s="2"/>
    </row>
    <row r="37" spans="2:13" x14ac:dyDescent="0.25">
      <c r="B37" s="2"/>
      <c r="C37" s="71"/>
      <c r="D37" s="71"/>
      <c r="E37" s="92"/>
      <c r="F37" s="92"/>
      <c r="G37" s="92"/>
      <c r="J37" s="2"/>
      <c r="K37" s="43"/>
      <c r="L37" s="43"/>
      <c r="M37" s="2"/>
    </row>
    <row r="38" spans="2:13" x14ac:dyDescent="0.25">
      <c r="B38" s="2"/>
      <c r="C38" s="71"/>
      <c r="D38" s="71"/>
      <c r="E38" s="92"/>
      <c r="F38" s="92"/>
      <c r="G38" s="92"/>
      <c r="J38" s="2"/>
      <c r="K38" s="43"/>
      <c r="L38" s="43"/>
      <c r="M38" s="2"/>
    </row>
    <row r="39" spans="2:13" x14ac:dyDescent="0.25">
      <c r="B39" s="2"/>
      <c r="C39" s="71"/>
      <c r="D39" s="71"/>
      <c r="E39" s="92"/>
      <c r="F39" s="92"/>
      <c r="G39" s="92"/>
      <c r="J39" s="2"/>
      <c r="K39" s="43"/>
      <c r="L39" s="43"/>
      <c r="M39" s="2"/>
    </row>
    <row r="40" spans="2:13" x14ac:dyDescent="0.25">
      <c r="B40" s="2"/>
      <c r="C40" s="71"/>
      <c r="D40" s="71"/>
      <c r="E40" s="92"/>
      <c r="F40" s="92"/>
      <c r="G40" s="92"/>
      <c r="J40" s="2"/>
      <c r="K40" s="43"/>
      <c r="L40" s="43"/>
      <c r="M40" s="2"/>
    </row>
    <row r="41" spans="2:13" x14ac:dyDescent="0.25">
      <c r="B41" s="2"/>
      <c r="C41" s="71"/>
      <c r="D41" s="71"/>
      <c r="E41" s="92"/>
      <c r="F41" s="92"/>
      <c r="G41" s="92"/>
      <c r="J41" s="2"/>
      <c r="K41" s="43"/>
      <c r="L41" s="43"/>
      <c r="M41" s="2"/>
    </row>
    <row r="42" spans="2:13" x14ac:dyDescent="0.25">
      <c r="B42" s="2"/>
      <c r="C42" s="71"/>
      <c r="D42" s="71"/>
      <c r="E42" s="92"/>
      <c r="F42" s="92"/>
      <c r="G42" s="92"/>
      <c r="J42" s="2"/>
      <c r="K42" s="43"/>
      <c r="L42" s="43"/>
      <c r="M42" s="2"/>
    </row>
    <row r="43" spans="2:13" x14ac:dyDescent="0.25">
      <c r="B43" s="2"/>
      <c r="C43" s="71"/>
      <c r="D43" s="71"/>
      <c r="E43" s="92"/>
      <c r="F43" s="92"/>
      <c r="G43" s="92"/>
      <c r="J43" s="2"/>
      <c r="K43" s="43"/>
      <c r="L43" s="43"/>
      <c r="M43" s="2"/>
    </row>
    <row r="44" spans="2:13" x14ac:dyDescent="0.25">
      <c r="B44" s="2"/>
      <c r="C44" s="71"/>
      <c r="D44" s="71"/>
      <c r="E44" s="92"/>
      <c r="F44" s="92"/>
      <c r="G44" s="92"/>
      <c r="J44" s="2"/>
      <c r="K44" s="43"/>
      <c r="L44" s="43"/>
      <c r="M44" s="2"/>
    </row>
    <row r="48" spans="2:13" x14ac:dyDescent="0.25">
      <c r="C48" s="90"/>
      <c r="D48" s="91"/>
      <c r="G48" s="2"/>
    </row>
    <row r="49" spans="2:13" ht="13.8" x14ac:dyDescent="0.25">
      <c r="C49" s="90"/>
      <c r="D49" s="91"/>
      <c r="F49" s="72"/>
      <c r="G49" s="2"/>
    </row>
    <row r="51" spans="2:13" x14ac:dyDescent="0.25">
      <c r="B51" s="2"/>
      <c r="C51" s="2"/>
      <c r="D51" s="2"/>
      <c r="E51" s="2"/>
      <c r="F51" s="2"/>
      <c r="G51" s="2"/>
      <c r="J51" s="2"/>
      <c r="K51" s="146"/>
      <c r="L51" s="146"/>
      <c r="M51" s="159"/>
    </row>
    <row r="52" spans="2:13" x14ac:dyDescent="0.25">
      <c r="B52" s="2"/>
      <c r="C52" s="2"/>
      <c r="D52" s="2"/>
      <c r="E52" s="2"/>
      <c r="F52" s="2"/>
      <c r="G52" s="2"/>
      <c r="K52" s="2"/>
      <c r="L52" s="2"/>
      <c r="M52" s="2"/>
    </row>
    <row r="53" spans="2:13" x14ac:dyDescent="0.25">
      <c r="B53" s="93"/>
      <c r="C53" s="94"/>
      <c r="D53" s="95"/>
      <c r="E53" s="96"/>
      <c r="F53" s="96"/>
      <c r="G53" s="96"/>
      <c r="J53" s="2"/>
      <c r="K53" s="43"/>
      <c r="L53" s="43"/>
      <c r="M53" s="2"/>
    </row>
    <row r="54" spans="2:13" x14ac:dyDescent="0.25">
      <c r="B54" s="93"/>
      <c r="C54" s="95"/>
      <c r="D54" s="95"/>
      <c r="E54" s="96"/>
      <c r="F54" s="96"/>
      <c r="G54" s="96"/>
      <c r="H54" s="2"/>
      <c r="J54" s="2"/>
      <c r="K54" s="43"/>
      <c r="L54" s="43"/>
      <c r="M54" s="2"/>
    </row>
    <row r="55" spans="2:13" x14ac:dyDescent="0.25">
      <c r="B55" s="93"/>
      <c r="C55" s="95"/>
      <c r="D55" s="95"/>
      <c r="E55" s="96"/>
      <c r="F55" s="96"/>
      <c r="G55" s="96"/>
      <c r="H55" s="2"/>
      <c r="J55" s="2"/>
      <c r="K55" s="43"/>
      <c r="L55" s="43"/>
      <c r="M55" s="2"/>
    </row>
    <row r="56" spans="2:13" x14ac:dyDescent="0.25">
      <c r="B56" s="93"/>
      <c r="C56" s="95"/>
      <c r="D56" s="95"/>
      <c r="E56" s="96"/>
      <c r="F56" s="96"/>
      <c r="G56" s="96"/>
      <c r="H56" s="2"/>
      <c r="J56" s="2"/>
      <c r="K56" s="43"/>
      <c r="L56" s="43"/>
      <c r="M56" s="2"/>
    </row>
    <row r="57" spans="2:13" x14ac:dyDescent="0.25">
      <c r="B57" s="93"/>
      <c r="C57" s="95"/>
      <c r="D57" s="95"/>
      <c r="E57" s="96"/>
      <c r="F57" s="96"/>
      <c r="G57" s="96"/>
      <c r="J57" s="2"/>
      <c r="K57" s="43"/>
      <c r="L57" s="43"/>
      <c r="M57" s="2"/>
    </row>
    <row r="58" spans="2:13" x14ac:dyDescent="0.25">
      <c r="B58" s="93"/>
      <c r="C58" s="95"/>
      <c r="D58" s="95"/>
      <c r="E58" s="96"/>
      <c r="F58" s="96"/>
      <c r="G58" s="96"/>
      <c r="J58" s="2"/>
      <c r="K58" s="43"/>
      <c r="L58" s="43"/>
      <c r="M58" s="2"/>
    </row>
    <row r="59" spans="2:13" x14ac:dyDescent="0.25">
      <c r="B59" s="93"/>
      <c r="C59" s="95"/>
      <c r="D59" s="95"/>
      <c r="E59" s="96"/>
      <c r="F59" s="96"/>
      <c r="G59" s="96"/>
      <c r="J59" s="2"/>
      <c r="K59" s="43"/>
      <c r="L59" s="43"/>
      <c r="M59" s="2"/>
    </row>
    <row r="60" spans="2:13" x14ac:dyDescent="0.25">
      <c r="B60" s="93"/>
      <c r="C60" s="95"/>
      <c r="D60" s="95"/>
      <c r="E60" s="96"/>
      <c r="F60" s="96"/>
      <c r="G60" s="96"/>
      <c r="J60" s="2"/>
      <c r="K60" s="43"/>
      <c r="L60" s="43"/>
      <c r="M60" s="2"/>
    </row>
    <row r="61" spans="2:13" x14ac:dyDescent="0.25">
      <c r="B61" s="93"/>
      <c r="C61" s="95"/>
      <c r="D61" s="95"/>
      <c r="E61" s="96"/>
      <c r="F61" s="96"/>
      <c r="G61" s="96"/>
      <c r="J61" s="2"/>
      <c r="K61" s="43"/>
      <c r="L61" s="43"/>
      <c r="M61" s="2"/>
    </row>
    <row r="62" spans="2:13" x14ac:dyDescent="0.25">
      <c r="B62" s="93"/>
      <c r="C62" s="95"/>
      <c r="D62" s="95"/>
      <c r="E62" s="96"/>
      <c r="F62" s="96"/>
      <c r="G62" s="96"/>
      <c r="J62" s="2"/>
      <c r="K62" s="43"/>
      <c r="L62" s="43"/>
      <c r="M62" s="2"/>
    </row>
    <row r="63" spans="2:13" x14ac:dyDescent="0.25">
      <c r="B63" s="93"/>
      <c r="C63" s="95"/>
      <c r="D63" s="95"/>
      <c r="E63" s="96"/>
      <c r="F63" s="96"/>
      <c r="G63" s="96"/>
      <c r="J63" s="2"/>
      <c r="K63" s="43"/>
      <c r="L63" s="43"/>
      <c r="M63" s="2"/>
    </row>
    <row r="64" spans="2:13" x14ac:dyDescent="0.25">
      <c r="B64" s="93"/>
      <c r="C64" s="95"/>
      <c r="D64" s="95"/>
      <c r="E64" s="96"/>
      <c r="F64" s="96"/>
      <c r="G64" s="96"/>
      <c r="J64" s="2"/>
      <c r="K64" s="43"/>
      <c r="L64" s="43"/>
      <c r="M64" s="2"/>
    </row>
    <row r="68" spans="2:13" x14ac:dyDescent="0.25">
      <c r="C68" s="90"/>
      <c r="D68" s="91"/>
      <c r="G68" s="2"/>
    </row>
    <row r="69" spans="2:13" ht="13.8" x14ac:dyDescent="0.25">
      <c r="C69" s="90"/>
      <c r="D69" s="91"/>
      <c r="F69" s="72"/>
      <c r="G69" s="2"/>
    </row>
    <row r="71" spans="2:13" x14ac:dyDescent="0.25">
      <c r="B71" s="2"/>
      <c r="C71" s="2"/>
      <c r="D71" s="2"/>
      <c r="E71" s="2"/>
      <c r="F71" s="2"/>
      <c r="G71" s="2"/>
      <c r="J71" s="2"/>
      <c r="K71" s="146"/>
      <c r="L71" s="146"/>
      <c r="M71" s="159"/>
    </row>
    <row r="72" spans="2:13" x14ac:dyDescent="0.25">
      <c r="B72" s="2"/>
      <c r="C72" s="2"/>
      <c r="D72" s="2"/>
      <c r="E72" s="2"/>
      <c r="F72" s="2"/>
      <c r="G72" s="2"/>
      <c r="K72" s="2"/>
      <c r="L72" s="2"/>
      <c r="M72" s="2"/>
    </row>
    <row r="73" spans="2:13" x14ac:dyDescent="0.25">
      <c r="B73" s="93"/>
      <c r="C73" s="94"/>
      <c r="D73" s="95"/>
      <c r="E73" s="96"/>
      <c r="F73" s="96"/>
      <c r="G73" s="96"/>
      <c r="J73" s="2"/>
      <c r="K73" s="43"/>
      <c r="L73" s="43"/>
      <c r="M73" s="2"/>
    </row>
    <row r="74" spans="2:13" x14ac:dyDescent="0.25">
      <c r="B74" s="93"/>
      <c r="C74" s="95"/>
      <c r="D74" s="95"/>
      <c r="E74" s="96"/>
      <c r="F74" s="96"/>
      <c r="G74" s="96"/>
      <c r="H74" s="2"/>
      <c r="J74" s="2"/>
      <c r="K74" s="43"/>
      <c r="L74" s="43"/>
      <c r="M74" s="2"/>
    </row>
    <row r="75" spans="2:13" x14ac:dyDescent="0.25">
      <c r="B75" s="93"/>
      <c r="C75" s="95"/>
      <c r="D75" s="95"/>
      <c r="E75" s="96"/>
      <c r="F75" s="96"/>
      <c r="G75" s="96"/>
      <c r="H75" s="2"/>
      <c r="J75" s="2"/>
      <c r="K75" s="43"/>
      <c r="L75" s="43"/>
      <c r="M75" s="2"/>
    </row>
    <row r="76" spans="2:13" x14ac:dyDescent="0.25">
      <c r="B76" s="93"/>
      <c r="C76" s="95"/>
      <c r="D76" s="95"/>
      <c r="E76" s="96"/>
      <c r="F76" s="96"/>
      <c r="G76" s="96"/>
      <c r="H76" s="2"/>
      <c r="J76" s="2"/>
      <c r="K76" s="43"/>
      <c r="L76" s="43"/>
      <c r="M76" s="2"/>
    </row>
    <row r="77" spans="2:13" x14ac:dyDescent="0.25">
      <c r="B77" s="93"/>
      <c r="C77" s="95"/>
      <c r="D77" s="95"/>
      <c r="E77" s="96"/>
      <c r="F77" s="96"/>
      <c r="G77" s="96"/>
      <c r="J77" s="2"/>
      <c r="K77" s="43"/>
      <c r="L77" s="43"/>
      <c r="M77" s="2"/>
    </row>
    <row r="78" spans="2:13" x14ac:dyDescent="0.25">
      <c r="B78" s="93"/>
      <c r="C78" s="95"/>
      <c r="D78" s="95"/>
      <c r="E78" s="96"/>
      <c r="F78" s="96"/>
      <c r="G78" s="96"/>
      <c r="J78" s="2"/>
      <c r="K78" s="43"/>
      <c r="L78" s="43"/>
      <c r="M78" s="2"/>
    </row>
    <row r="79" spans="2:13" x14ac:dyDescent="0.25">
      <c r="B79" s="93"/>
      <c r="C79" s="95"/>
      <c r="D79" s="95"/>
      <c r="E79" s="96"/>
      <c r="F79" s="96"/>
      <c r="G79" s="96"/>
      <c r="J79" s="2"/>
      <c r="K79" s="43"/>
      <c r="L79" s="43"/>
      <c r="M79" s="2"/>
    </row>
    <row r="80" spans="2:13" x14ac:dyDescent="0.25">
      <c r="B80" s="93"/>
      <c r="C80" s="95"/>
      <c r="D80" s="95"/>
      <c r="E80" s="96"/>
      <c r="F80" s="96"/>
      <c r="G80" s="96"/>
      <c r="J80" s="2"/>
      <c r="K80" s="43"/>
      <c r="L80" s="43"/>
      <c r="M80" s="2"/>
    </row>
    <row r="81" spans="2:13" x14ac:dyDescent="0.25">
      <c r="B81" s="93"/>
      <c r="C81" s="95"/>
      <c r="D81" s="95"/>
      <c r="E81" s="96"/>
      <c r="F81" s="96"/>
      <c r="G81" s="96"/>
      <c r="J81" s="2"/>
      <c r="K81" s="43"/>
      <c r="L81" s="43"/>
      <c r="M81" s="2"/>
    </row>
    <row r="82" spans="2:13" x14ac:dyDescent="0.25">
      <c r="B82" s="93"/>
      <c r="C82" s="95"/>
      <c r="D82" s="95"/>
      <c r="E82" s="96"/>
      <c r="F82" s="96"/>
      <c r="G82" s="96"/>
      <c r="J82" s="2"/>
      <c r="K82" s="43"/>
      <c r="L82" s="43"/>
      <c r="M82" s="2"/>
    </row>
    <row r="83" spans="2:13" x14ac:dyDescent="0.25">
      <c r="B83" s="93"/>
      <c r="C83" s="95"/>
      <c r="D83" s="95"/>
      <c r="E83" s="96"/>
      <c r="F83" s="96"/>
      <c r="G83" s="96"/>
      <c r="J83" s="2"/>
      <c r="K83" s="43"/>
      <c r="L83" s="43"/>
      <c r="M83" s="2"/>
    </row>
    <row r="84" spans="2:13" x14ac:dyDescent="0.25">
      <c r="B84" s="93"/>
      <c r="C84" s="95"/>
      <c r="D84" s="95"/>
      <c r="E84" s="96"/>
      <c r="F84" s="96"/>
      <c r="G84" s="96"/>
      <c r="J84" s="2"/>
      <c r="K84" s="43"/>
      <c r="L84" s="43"/>
      <c r="M84" s="2"/>
    </row>
  </sheetData>
  <mergeCells count="3">
    <mergeCell ref="K7:M7"/>
    <mergeCell ref="K51:M51"/>
    <mergeCell ref="K71:M71"/>
  </mergeCells>
  <phoneticPr fontId="4" type="noConversion"/>
  <pageMargins left="0.75" right="0.75" top="1" bottom="1" header="0.5" footer="0.5"/>
  <pageSetup paperSize="9" orientation="portrait" verticalDpi="1200" r:id="rId1"/>
  <headerFooter alignWithMargins="0"/>
  <colBreaks count="1" manualBreakCount="1">
    <brk id="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halen_Bewerkte_Data">
                <anchor>
                  <from>
                    <xdr:col>7</xdr:col>
                    <xdr:colOff>30480</xdr:colOff>
                    <xdr:row>0</xdr:row>
                    <xdr:rowOff>121920</xdr:rowOff>
                  </from>
                  <to>
                    <xdr:col>9</xdr:col>
                    <xdr:colOff>289560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E36EC-E115-4815-8C06-B9BEDD07F779}">
  <sheetPr codeName="Blad15"/>
  <dimension ref="B1:AC207"/>
  <sheetViews>
    <sheetView workbookViewId="0">
      <selection activeCell="Z1" sqref="Z1:AX1000"/>
    </sheetView>
  </sheetViews>
  <sheetFormatPr defaultRowHeight="13.2" x14ac:dyDescent="0.25"/>
  <cols>
    <col min="1" max="1" width="2" customWidth="1"/>
    <col min="4" max="4" width="4.5546875" customWidth="1"/>
    <col min="6" max="6" width="10.6640625" bestFit="1" customWidth="1"/>
    <col min="11" max="11" width="8.33203125" customWidth="1"/>
  </cols>
  <sheetData>
    <row r="1" spans="2:29" ht="12" customHeight="1" x14ac:dyDescent="0.25">
      <c r="B1" s="4"/>
      <c r="E1" s="2"/>
      <c r="F1" s="1"/>
      <c r="G1" s="2"/>
      <c r="H1" s="2"/>
      <c r="S1" t="str">
        <f>Invoer!L1</f>
        <v>versie 1.2 juli 2009</v>
      </c>
    </row>
    <row r="2" spans="2:29" ht="5.25" customHeight="1" thickBot="1" x14ac:dyDescent="0.3">
      <c r="B2" s="51"/>
      <c r="H2" s="2"/>
    </row>
    <row r="3" spans="2:29" ht="14.4" thickTop="1" thickBot="1" x14ac:dyDescent="0.3">
      <c r="B3" s="152" t="s">
        <v>22</v>
      </c>
      <c r="C3" s="154"/>
      <c r="E3" s="152" t="s">
        <v>15</v>
      </c>
      <c r="F3" s="153"/>
      <c r="G3" s="153"/>
      <c r="H3" s="154"/>
      <c r="J3" s="152" t="s">
        <v>20</v>
      </c>
      <c r="K3" s="160"/>
      <c r="M3" s="152" t="s">
        <v>31</v>
      </c>
      <c r="N3" s="153"/>
      <c r="O3" s="153"/>
      <c r="P3" s="153"/>
      <c r="Q3" s="161"/>
      <c r="R3" s="162"/>
      <c r="U3" s="152" t="s">
        <v>23</v>
      </c>
      <c r="V3" s="160"/>
    </row>
    <row r="4" spans="2:29" ht="16.2" thickTop="1" x14ac:dyDescent="0.35">
      <c r="B4" s="18" t="s">
        <v>12</v>
      </c>
      <c r="C4" s="83" t="s">
        <v>79</v>
      </c>
      <c r="E4" s="155" t="s">
        <v>35</v>
      </c>
      <c r="F4" s="146"/>
      <c r="G4" s="147"/>
      <c r="H4" s="38">
        <v>5</v>
      </c>
      <c r="J4" s="16" t="s">
        <v>11</v>
      </c>
      <c r="K4" s="20">
        <f>COUNT(G14:G203)</f>
        <v>0</v>
      </c>
      <c r="M4" s="6" t="s">
        <v>12</v>
      </c>
      <c r="N4" s="88" t="s">
        <v>54</v>
      </c>
      <c r="O4" s="15" t="s">
        <v>53</v>
      </c>
      <c r="P4" s="15" t="s">
        <v>29</v>
      </c>
      <c r="Q4" s="68" t="s">
        <v>45</v>
      </c>
      <c r="R4" s="20" t="s">
        <v>30</v>
      </c>
      <c r="U4" s="69" t="s">
        <v>7</v>
      </c>
      <c r="V4" s="21">
        <f>IF(C6="","",((H7/1000)^3-1.5*(H6/1000)^2*(H7/1000)+0.5*(H6/1000)^3)/(4*(C6/1000)*(C7/1000)^3))</f>
        <v>327.80453828337426</v>
      </c>
    </row>
    <row r="5" spans="2:29" ht="16.2" thickBot="1" x14ac:dyDescent="0.4">
      <c r="B5" s="19" t="s">
        <v>27</v>
      </c>
      <c r="C5" s="27">
        <v>1294.0999999999999</v>
      </c>
      <c r="D5" s="2"/>
      <c r="E5" s="145" t="s">
        <v>14</v>
      </c>
      <c r="F5" s="148"/>
      <c r="G5" s="147"/>
      <c r="H5" s="28">
        <v>1</v>
      </c>
      <c r="J5" s="17" t="s">
        <v>18</v>
      </c>
      <c r="K5" s="21" t="str">
        <f>IF(I15="","",ROUND(AVERAGE(I15:I16),0))</f>
        <v/>
      </c>
      <c r="M5" s="13"/>
      <c r="N5" s="12" t="s">
        <v>48</v>
      </c>
      <c r="O5" s="14" t="s">
        <v>1</v>
      </c>
      <c r="P5" s="14" t="s">
        <v>1</v>
      </c>
      <c r="Q5" s="68" t="s">
        <v>46</v>
      </c>
      <c r="R5" s="22" t="s">
        <v>10</v>
      </c>
      <c r="U5" s="69" t="s">
        <v>8</v>
      </c>
      <c r="V5" s="87">
        <f>0.573*C5/1000+0.872*H8/1000</f>
        <v>2.2239192999999999</v>
      </c>
    </row>
    <row r="6" spans="2:29" ht="14.4" thickTop="1" thickBot="1" x14ac:dyDescent="0.3">
      <c r="B6" s="19" t="s">
        <v>5</v>
      </c>
      <c r="C6" s="27">
        <v>50</v>
      </c>
      <c r="D6" s="2"/>
      <c r="E6" s="145" t="s">
        <v>26</v>
      </c>
      <c r="F6" s="146"/>
      <c r="G6" s="147"/>
      <c r="H6" s="28">
        <v>0</v>
      </c>
      <c r="J6" s="17" t="s">
        <v>44</v>
      </c>
      <c r="K6" s="21" t="str">
        <f>IF(J15="","",ROUND(AVERAGE(J15:J16),0))</f>
        <v/>
      </c>
      <c r="M6" s="16"/>
      <c r="N6" s="45"/>
      <c r="O6" s="45"/>
      <c r="P6" s="45"/>
      <c r="Q6" s="15"/>
      <c r="R6" s="39"/>
      <c r="U6" s="13" t="s">
        <v>57</v>
      </c>
      <c r="V6" s="98" t="str">
        <f ca="1">IF(K5="","",(OFFSET(H14,K4-1,1)+OFFSET(H14,K4-1,1))/2)</f>
        <v/>
      </c>
    </row>
    <row r="7" spans="2:29" ht="16.8" thickTop="1" thickBot="1" x14ac:dyDescent="0.4">
      <c r="B7" s="19" t="s">
        <v>6</v>
      </c>
      <c r="C7" s="27">
        <v>49.6</v>
      </c>
      <c r="D7" s="2"/>
      <c r="E7" s="145" t="s">
        <v>25</v>
      </c>
      <c r="F7" s="146"/>
      <c r="G7" s="147"/>
      <c r="H7" s="28">
        <v>200</v>
      </c>
      <c r="J7" s="17" t="s">
        <v>19</v>
      </c>
      <c r="K7" s="21" t="str">
        <f ca="1">IF(K5="n/b","",OFFSET(B14,K4-1,1))</f>
        <v>[-]</v>
      </c>
      <c r="M7" s="13" t="str">
        <f>IF(C4="","",C4)</f>
        <v>1A</v>
      </c>
      <c r="N7" s="42" t="str">
        <f ca="1">IF(K8="","",K$8)</f>
        <v/>
      </c>
      <c r="O7" s="42" t="str">
        <f ca="1">K9</f>
        <v/>
      </c>
      <c r="P7" s="46" t="str">
        <f>K5</f>
        <v/>
      </c>
      <c r="Q7" s="46" t="str">
        <f>K6</f>
        <v/>
      </c>
      <c r="R7" s="50" t="str">
        <f ca="1">K7</f>
        <v>[-]</v>
      </c>
      <c r="AC7" s="121"/>
    </row>
    <row r="8" spans="2:29" ht="16.8" thickTop="1" thickBot="1" x14ac:dyDescent="0.4">
      <c r="B8" s="37" t="s">
        <v>51</v>
      </c>
      <c r="C8" s="82">
        <v>1106</v>
      </c>
      <c r="D8" s="2"/>
      <c r="E8" s="145" t="s">
        <v>28</v>
      </c>
      <c r="F8" s="148"/>
      <c r="G8" s="146"/>
      <c r="H8" s="28">
        <v>1700</v>
      </c>
      <c r="J8" s="17" t="s">
        <v>49</v>
      </c>
      <c r="K8" s="87" t="str">
        <f ca="1">IF(G14="","",AVERAGE(G15:OFFSET(F14,MATCH(K7,C14:C200)-2,1)))</f>
        <v/>
      </c>
      <c r="L8" s="135"/>
    </row>
    <row r="9" spans="2:29" ht="16.8" thickTop="1" thickBot="1" x14ac:dyDescent="0.4">
      <c r="B9" s="23" t="s">
        <v>50</v>
      </c>
      <c r="C9" s="24">
        <f>IF(C7="","",1.5*H7*(C8-H9)/(C6*C7^2))</f>
        <v>2.5754422476586885</v>
      </c>
      <c r="D9" s="2"/>
      <c r="E9" s="149" t="s">
        <v>55</v>
      </c>
      <c r="F9" s="150"/>
      <c r="G9" s="151"/>
      <c r="H9" s="29">
        <v>50</v>
      </c>
      <c r="J9" s="23" t="s">
        <v>52</v>
      </c>
      <c r="K9" s="24" t="str">
        <f ca="1">IF(H14="","",AVERAGE(H15:OFFSET(H14,MATCH(K7,C14:C200)-1,0)))</f>
        <v/>
      </c>
      <c r="L9" s="135"/>
    </row>
    <row r="10" spans="2:29" ht="6.75" customHeight="1" thickTop="1" thickBot="1" x14ac:dyDescent="0.3">
      <c r="B10" s="5"/>
      <c r="C10" s="5"/>
      <c r="D10" s="2"/>
      <c r="E10" s="2"/>
      <c r="F10" s="2"/>
      <c r="G10" s="2"/>
      <c r="H10" s="2"/>
    </row>
    <row r="11" spans="2:29" ht="14.4" thickTop="1" thickBot="1" x14ac:dyDescent="0.3">
      <c r="B11" s="163" t="s">
        <v>13</v>
      </c>
      <c r="C11" s="164"/>
      <c r="D11" s="2"/>
      <c r="E11" s="152" t="s">
        <v>16</v>
      </c>
      <c r="F11" s="165"/>
      <c r="G11" s="165"/>
      <c r="H11" s="161"/>
      <c r="I11" s="161"/>
      <c r="J11" s="162"/>
      <c r="L11" s="152" t="s">
        <v>17</v>
      </c>
      <c r="M11" s="153"/>
      <c r="N11" s="153"/>
      <c r="O11" s="153"/>
      <c r="P11" s="153"/>
      <c r="Q11" s="154"/>
    </row>
    <row r="12" spans="2:29" ht="16.2" thickTop="1" x14ac:dyDescent="0.35">
      <c r="B12" s="6"/>
      <c r="C12" s="8" t="s">
        <v>9</v>
      </c>
      <c r="D12" s="3"/>
      <c r="E12" s="52" t="s">
        <v>80</v>
      </c>
      <c r="F12" s="53" t="s">
        <v>36</v>
      </c>
      <c r="G12" s="53" t="s">
        <v>81</v>
      </c>
      <c r="H12" s="55" t="s">
        <v>37</v>
      </c>
      <c r="I12" s="7" t="s">
        <v>0</v>
      </c>
      <c r="J12" s="8" t="s">
        <v>2</v>
      </c>
      <c r="K12" s="138"/>
      <c r="L12" s="7" t="s">
        <v>38</v>
      </c>
      <c r="M12" s="25" t="s">
        <v>82</v>
      </c>
      <c r="N12" s="25" t="s">
        <v>39</v>
      </c>
      <c r="O12" s="25" t="s">
        <v>43</v>
      </c>
      <c r="P12" s="25" t="s">
        <v>24</v>
      </c>
      <c r="Q12" s="8" t="s">
        <v>21</v>
      </c>
    </row>
    <row r="13" spans="2:29" ht="13.8" thickBot="1" x14ac:dyDescent="0.3">
      <c r="B13" s="13"/>
      <c r="C13" s="11" t="s">
        <v>10</v>
      </c>
      <c r="D13" s="3"/>
      <c r="E13" s="10" t="s">
        <v>4</v>
      </c>
      <c r="F13" s="26" t="s">
        <v>4</v>
      </c>
      <c r="G13" s="26" t="s">
        <v>1</v>
      </c>
      <c r="H13" s="63" t="s">
        <v>1</v>
      </c>
      <c r="I13" s="10" t="s">
        <v>1</v>
      </c>
      <c r="J13" s="11" t="s">
        <v>3</v>
      </c>
      <c r="K13" s="136"/>
      <c r="L13" s="10" t="s">
        <v>40</v>
      </c>
      <c r="M13" s="26" t="s">
        <v>40</v>
      </c>
      <c r="N13" s="26" t="s">
        <v>41</v>
      </c>
      <c r="O13" s="26" t="s">
        <v>41</v>
      </c>
      <c r="P13" s="26" t="s">
        <v>42</v>
      </c>
      <c r="Q13" s="11" t="s">
        <v>42</v>
      </c>
    </row>
    <row r="14" spans="2:29" ht="13.8" thickTop="1" x14ac:dyDescent="0.25">
      <c r="B14" s="7">
        <v>1</v>
      </c>
      <c r="C14" s="34">
        <v>0</v>
      </c>
      <c r="D14" s="3"/>
      <c r="E14" s="9" t="str">
        <f t="shared" ref="E14:E45" si="0">IF(L14="","",ROUND(12*C$7/(2*H$7^2+2*H$6*H$7-H$6^2)*L14*1000000,0))</f>
        <v/>
      </c>
      <c r="F14" s="54" t="str">
        <f>IF(L14="","",ABS(ROUND(12*C$7/(2*(H$7/1000)^2+2*(H$6/1000)*(H$7/1000)-(H$6/1000)^2)*(M14-M$14)*1,0)))</f>
        <v/>
      </c>
      <c r="G14" s="73" t="str">
        <f t="shared" ref="G14:G45" si="1">IF(L14="","",ROUND(1.5*((N14-O14)*1000*H$7)/(C$6*C$7^2),3))</f>
        <v/>
      </c>
      <c r="H14" s="56" t="str">
        <f t="shared" ref="H14:H45" si="2">IF(L14="","",ROUND(1.5*((N14/2-O14)*1000*H$7)/(C$6*C$7^2),3))</f>
        <v/>
      </c>
      <c r="I14" s="57" t="str">
        <f t="shared" ref="I14:I45" si="3">IF(L14="","",IF(P14&lt;=0,"foute meting",ROUND(0.000001*V$4*SQRT((1000000*Q14)^2+(1000000*P14+V$5*(2*PI()*H$5)^2)^2),0)))</f>
        <v/>
      </c>
      <c r="J14" s="58" t="str">
        <f t="shared" ref="J14:J45" si="4">IF(L14="","",ROUND(ATAN(Q14/P14)/PI()*180,1))</f>
        <v/>
      </c>
      <c r="L14" s="31" t="str">
        <f t="shared" ref="L14:L45" si="5">IF(AG16&lt;=0,"",AG16)</f>
        <v/>
      </c>
      <c r="M14" s="30" t="str">
        <f>IF(AG16="","",AG16/2-AE16)</f>
        <v/>
      </c>
      <c r="N14" s="30" t="str">
        <f t="shared" ref="N14:N45" si="6">IF(AI16="","",AI16)</f>
        <v/>
      </c>
      <c r="O14" s="30" t="str">
        <f t="shared" ref="O14:O45" si="7">IF(AH16="","",AH16)</f>
        <v/>
      </c>
      <c r="P14" s="30" t="str">
        <f t="shared" ref="P14:P45" si="8">IF(AJ16="","",AJ16)</f>
        <v/>
      </c>
      <c r="Q14" s="59" t="str">
        <f t="shared" ref="Q14:Q45" si="9">IF(AK16="","",AK16)</f>
        <v/>
      </c>
    </row>
    <row r="15" spans="2:29" x14ac:dyDescent="0.25">
      <c r="B15" s="9">
        <v>2</v>
      </c>
      <c r="C15" s="35">
        <v>10</v>
      </c>
      <c r="D15" s="3"/>
      <c r="E15" s="9" t="str">
        <f t="shared" si="0"/>
        <v/>
      </c>
      <c r="F15" s="54" t="str">
        <f t="shared" ref="F15:F45" si="10">IF(L15="","",ABS(ROUND(12*C$7/(2*(H$7/1000)^2+2*(H$6/1000)*(H$7/1000)-(H$6/1000)^2)*(M15-M$14)*1,0)))</f>
        <v/>
      </c>
      <c r="G15" s="73" t="str">
        <f t="shared" si="1"/>
        <v/>
      </c>
      <c r="H15" s="56" t="str">
        <f t="shared" si="2"/>
        <v/>
      </c>
      <c r="I15" s="57" t="str">
        <f t="shared" si="3"/>
        <v/>
      </c>
      <c r="J15" s="58" t="str">
        <f t="shared" si="4"/>
        <v/>
      </c>
      <c r="L15" s="31" t="str">
        <f t="shared" si="5"/>
        <v/>
      </c>
      <c r="M15" s="32" t="str">
        <f t="shared" ref="M15:M78" si="11">IF(AG17="","",AG17/2-AE17)</f>
        <v/>
      </c>
      <c r="N15" s="32" t="str">
        <f t="shared" si="6"/>
        <v/>
      </c>
      <c r="O15" s="32" t="str">
        <f t="shared" si="7"/>
        <v/>
      </c>
      <c r="P15" s="32" t="str">
        <f t="shared" si="8"/>
        <v/>
      </c>
      <c r="Q15" s="33" t="str">
        <f t="shared" si="9"/>
        <v/>
      </c>
    </row>
    <row r="16" spans="2:29" x14ac:dyDescent="0.25">
      <c r="B16" s="9">
        <v>3</v>
      </c>
      <c r="C16" s="35">
        <v>20</v>
      </c>
      <c r="D16" s="3"/>
      <c r="E16" s="9" t="str">
        <f t="shared" si="0"/>
        <v/>
      </c>
      <c r="F16" s="54" t="str">
        <f t="shared" si="10"/>
        <v/>
      </c>
      <c r="G16" s="73" t="str">
        <f t="shared" si="1"/>
        <v/>
      </c>
      <c r="H16" s="56" t="str">
        <f t="shared" si="2"/>
        <v/>
      </c>
      <c r="I16" s="57" t="str">
        <f t="shared" si="3"/>
        <v/>
      </c>
      <c r="J16" s="58" t="str">
        <f t="shared" si="4"/>
        <v/>
      </c>
      <c r="L16" s="31" t="str">
        <f t="shared" si="5"/>
        <v/>
      </c>
      <c r="M16" s="32" t="str">
        <f t="shared" si="11"/>
        <v/>
      </c>
      <c r="N16" s="32" t="str">
        <f t="shared" si="6"/>
        <v/>
      </c>
      <c r="O16" s="32" t="str">
        <f t="shared" si="7"/>
        <v/>
      </c>
      <c r="P16" s="32" t="str">
        <f t="shared" si="8"/>
        <v/>
      </c>
      <c r="Q16" s="33" t="str">
        <f t="shared" si="9"/>
        <v/>
      </c>
    </row>
    <row r="17" spans="2:17" x14ac:dyDescent="0.25">
      <c r="B17" s="9">
        <v>4</v>
      </c>
      <c r="C17" s="35">
        <v>30</v>
      </c>
      <c r="D17" s="3"/>
      <c r="E17" s="9" t="str">
        <f t="shared" si="0"/>
        <v/>
      </c>
      <c r="F17" s="54" t="str">
        <f t="shared" si="10"/>
        <v/>
      </c>
      <c r="G17" s="73" t="str">
        <f t="shared" si="1"/>
        <v/>
      </c>
      <c r="H17" s="56" t="str">
        <f t="shared" si="2"/>
        <v/>
      </c>
      <c r="I17" s="57" t="str">
        <f t="shared" si="3"/>
        <v/>
      </c>
      <c r="J17" s="58" t="str">
        <f t="shared" si="4"/>
        <v/>
      </c>
      <c r="L17" s="31" t="str">
        <f t="shared" si="5"/>
        <v/>
      </c>
      <c r="M17" s="32" t="str">
        <f t="shared" si="11"/>
        <v/>
      </c>
      <c r="N17" s="32" t="str">
        <f t="shared" si="6"/>
        <v/>
      </c>
      <c r="O17" s="32" t="str">
        <f t="shared" si="7"/>
        <v/>
      </c>
      <c r="P17" s="32" t="str">
        <f t="shared" si="8"/>
        <v/>
      </c>
      <c r="Q17" s="33" t="str">
        <f t="shared" si="9"/>
        <v/>
      </c>
    </row>
    <row r="18" spans="2:17" x14ac:dyDescent="0.25">
      <c r="B18" s="9">
        <v>5</v>
      </c>
      <c r="C18" s="35">
        <v>40</v>
      </c>
      <c r="D18" s="3"/>
      <c r="E18" s="9" t="str">
        <f t="shared" si="0"/>
        <v/>
      </c>
      <c r="F18" s="54" t="str">
        <f t="shared" si="10"/>
        <v/>
      </c>
      <c r="G18" s="73" t="str">
        <f t="shared" si="1"/>
        <v/>
      </c>
      <c r="H18" s="56" t="str">
        <f t="shared" si="2"/>
        <v/>
      </c>
      <c r="I18" s="57" t="str">
        <f t="shared" si="3"/>
        <v/>
      </c>
      <c r="J18" s="58" t="str">
        <f t="shared" si="4"/>
        <v/>
      </c>
      <c r="L18" s="31" t="str">
        <f t="shared" si="5"/>
        <v/>
      </c>
      <c r="M18" s="32" t="str">
        <f t="shared" si="11"/>
        <v/>
      </c>
      <c r="N18" s="32" t="str">
        <f t="shared" si="6"/>
        <v/>
      </c>
      <c r="O18" s="32" t="str">
        <f t="shared" si="7"/>
        <v/>
      </c>
      <c r="P18" s="32" t="str">
        <f t="shared" si="8"/>
        <v/>
      </c>
      <c r="Q18" s="33" t="str">
        <f t="shared" si="9"/>
        <v/>
      </c>
    </row>
    <row r="19" spans="2:17" x14ac:dyDescent="0.25">
      <c r="B19" s="9">
        <v>6</v>
      </c>
      <c r="C19" s="35">
        <v>50</v>
      </c>
      <c r="D19" s="3"/>
      <c r="E19" s="9" t="str">
        <f t="shared" si="0"/>
        <v/>
      </c>
      <c r="F19" s="54" t="str">
        <f t="shared" si="10"/>
        <v/>
      </c>
      <c r="G19" s="73" t="str">
        <f t="shared" si="1"/>
        <v/>
      </c>
      <c r="H19" s="56" t="str">
        <f t="shared" si="2"/>
        <v/>
      </c>
      <c r="I19" s="57" t="str">
        <f t="shared" si="3"/>
        <v/>
      </c>
      <c r="J19" s="58" t="str">
        <f t="shared" si="4"/>
        <v/>
      </c>
      <c r="L19" s="31" t="str">
        <f t="shared" si="5"/>
        <v/>
      </c>
      <c r="M19" s="32" t="str">
        <f t="shared" si="11"/>
        <v/>
      </c>
      <c r="N19" s="32" t="str">
        <f t="shared" si="6"/>
        <v/>
      </c>
      <c r="O19" s="32" t="str">
        <f t="shared" si="7"/>
        <v/>
      </c>
      <c r="P19" s="32" t="str">
        <f t="shared" si="8"/>
        <v/>
      </c>
      <c r="Q19" s="33" t="str">
        <f t="shared" si="9"/>
        <v/>
      </c>
    </row>
    <row r="20" spans="2:17" x14ac:dyDescent="0.25">
      <c r="B20" s="9">
        <v>7</v>
      </c>
      <c r="C20" s="35">
        <v>60</v>
      </c>
      <c r="D20" s="3"/>
      <c r="E20" s="9" t="str">
        <f t="shared" si="0"/>
        <v/>
      </c>
      <c r="F20" s="54" t="str">
        <f t="shared" si="10"/>
        <v/>
      </c>
      <c r="G20" s="73" t="str">
        <f t="shared" si="1"/>
        <v/>
      </c>
      <c r="H20" s="56" t="str">
        <f t="shared" si="2"/>
        <v/>
      </c>
      <c r="I20" s="57" t="str">
        <f t="shared" si="3"/>
        <v/>
      </c>
      <c r="J20" s="58" t="str">
        <f t="shared" si="4"/>
        <v/>
      </c>
      <c r="L20" s="31" t="str">
        <f t="shared" si="5"/>
        <v/>
      </c>
      <c r="M20" s="32" t="str">
        <f t="shared" si="11"/>
        <v/>
      </c>
      <c r="N20" s="32" t="str">
        <f t="shared" si="6"/>
        <v/>
      </c>
      <c r="O20" s="32" t="str">
        <f t="shared" si="7"/>
        <v/>
      </c>
      <c r="P20" s="32" t="str">
        <f t="shared" si="8"/>
        <v/>
      </c>
      <c r="Q20" s="33" t="str">
        <f t="shared" si="9"/>
        <v/>
      </c>
    </row>
    <row r="21" spans="2:17" x14ac:dyDescent="0.25">
      <c r="B21" s="9">
        <v>8</v>
      </c>
      <c r="C21" s="35">
        <v>70</v>
      </c>
      <c r="D21" s="3"/>
      <c r="E21" s="9" t="str">
        <f t="shared" si="0"/>
        <v/>
      </c>
      <c r="F21" s="54" t="str">
        <f t="shared" si="10"/>
        <v/>
      </c>
      <c r="G21" s="73" t="str">
        <f t="shared" si="1"/>
        <v/>
      </c>
      <c r="H21" s="56" t="str">
        <f t="shared" si="2"/>
        <v/>
      </c>
      <c r="I21" s="57" t="str">
        <f t="shared" si="3"/>
        <v/>
      </c>
      <c r="J21" s="58" t="str">
        <f t="shared" si="4"/>
        <v/>
      </c>
      <c r="L21" s="31" t="str">
        <f t="shared" si="5"/>
        <v/>
      </c>
      <c r="M21" s="32" t="str">
        <f t="shared" si="11"/>
        <v/>
      </c>
      <c r="N21" s="32" t="str">
        <f t="shared" si="6"/>
        <v/>
      </c>
      <c r="O21" s="32" t="str">
        <f t="shared" si="7"/>
        <v/>
      </c>
      <c r="P21" s="32" t="str">
        <f t="shared" si="8"/>
        <v/>
      </c>
      <c r="Q21" s="33" t="str">
        <f t="shared" si="9"/>
        <v/>
      </c>
    </row>
    <row r="22" spans="2:17" x14ac:dyDescent="0.25">
      <c r="B22" s="9">
        <v>9</v>
      </c>
      <c r="C22" s="35">
        <v>80</v>
      </c>
      <c r="D22" s="3"/>
      <c r="E22" s="9" t="str">
        <f t="shared" si="0"/>
        <v/>
      </c>
      <c r="F22" s="54" t="str">
        <f t="shared" si="10"/>
        <v/>
      </c>
      <c r="G22" s="73" t="str">
        <f t="shared" si="1"/>
        <v/>
      </c>
      <c r="H22" s="56" t="str">
        <f t="shared" si="2"/>
        <v/>
      </c>
      <c r="I22" s="57" t="str">
        <f t="shared" si="3"/>
        <v/>
      </c>
      <c r="J22" s="58" t="str">
        <f t="shared" si="4"/>
        <v/>
      </c>
      <c r="L22" s="31" t="str">
        <f t="shared" si="5"/>
        <v/>
      </c>
      <c r="M22" s="32" t="str">
        <f t="shared" si="11"/>
        <v/>
      </c>
      <c r="N22" s="32" t="str">
        <f t="shared" si="6"/>
        <v/>
      </c>
      <c r="O22" s="32" t="str">
        <f t="shared" si="7"/>
        <v/>
      </c>
      <c r="P22" s="32" t="str">
        <f t="shared" si="8"/>
        <v/>
      </c>
      <c r="Q22" s="33" t="str">
        <f t="shared" si="9"/>
        <v/>
      </c>
    </row>
    <row r="23" spans="2:17" x14ac:dyDescent="0.25">
      <c r="B23" s="9">
        <v>10</v>
      </c>
      <c r="C23" s="35">
        <v>90</v>
      </c>
      <c r="D23" s="3"/>
      <c r="E23" s="9" t="str">
        <f t="shared" si="0"/>
        <v/>
      </c>
      <c r="F23" s="54" t="str">
        <f t="shared" si="10"/>
        <v/>
      </c>
      <c r="G23" s="73" t="str">
        <f t="shared" si="1"/>
        <v/>
      </c>
      <c r="H23" s="56" t="str">
        <f t="shared" si="2"/>
        <v/>
      </c>
      <c r="I23" s="57" t="str">
        <f t="shared" si="3"/>
        <v/>
      </c>
      <c r="J23" s="58" t="str">
        <f t="shared" si="4"/>
        <v/>
      </c>
      <c r="L23" s="31" t="str">
        <f t="shared" si="5"/>
        <v/>
      </c>
      <c r="M23" s="32" t="str">
        <f t="shared" si="11"/>
        <v/>
      </c>
      <c r="N23" s="32" t="str">
        <f t="shared" si="6"/>
        <v/>
      </c>
      <c r="O23" s="32" t="str">
        <f t="shared" si="7"/>
        <v/>
      </c>
      <c r="P23" s="32" t="str">
        <f t="shared" si="8"/>
        <v/>
      </c>
      <c r="Q23" s="33" t="str">
        <f t="shared" si="9"/>
        <v/>
      </c>
    </row>
    <row r="24" spans="2:17" x14ac:dyDescent="0.25">
      <c r="B24" s="9">
        <v>11</v>
      </c>
      <c r="C24" s="35">
        <v>100</v>
      </c>
      <c r="D24" s="3"/>
      <c r="E24" s="9" t="str">
        <f t="shared" si="0"/>
        <v/>
      </c>
      <c r="F24" s="54" t="str">
        <f t="shared" si="10"/>
        <v/>
      </c>
      <c r="G24" s="73" t="str">
        <f t="shared" si="1"/>
        <v/>
      </c>
      <c r="H24" s="56" t="str">
        <f t="shared" si="2"/>
        <v/>
      </c>
      <c r="I24" s="57" t="str">
        <f t="shared" si="3"/>
        <v/>
      </c>
      <c r="J24" s="58" t="str">
        <f t="shared" si="4"/>
        <v/>
      </c>
      <c r="L24" s="31" t="str">
        <f t="shared" si="5"/>
        <v/>
      </c>
      <c r="M24" s="32" t="str">
        <f t="shared" si="11"/>
        <v/>
      </c>
      <c r="N24" s="32" t="str">
        <f t="shared" si="6"/>
        <v/>
      </c>
      <c r="O24" s="32" t="str">
        <f t="shared" si="7"/>
        <v/>
      </c>
      <c r="P24" s="32" t="str">
        <f t="shared" si="8"/>
        <v/>
      </c>
      <c r="Q24" s="33" t="str">
        <f t="shared" si="9"/>
        <v/>
      </c>
    </row>
    <row r="25" spans="2:17" x14ac:dyDescent="0.25">
      <c r="B25" s="9">
        <v>12</v>
      </c>
      <c r="C25" s="35">
        <v>125</v>
      </c>
      <c r="D25" s="3"/>
      <c r="E25" s="9" t="str">
        <f t="shared" si="0"/>
        <v/>
      </c>
      <c r="F25" s="54" t="str">
        <f t="shared" si="10"/>
        <v/>
      </c>
      <c r="G25" s="73" t="str">
        <f t="shared" si="1"/>
        <v/>
      </c>
      <c r="H25" s="56" t="str">
        <f t="shared" si="2"/>
        <v/>
      </c>
      <c r="I25" s="57" t="str">
        <f t="shared" si="3"/>
        <v/>
      </c>
      <c r="J25" s="58" t="str">
        <f t="shared" si="4"/>
        <v/>
      </c>
      <c r="L25" s="31" t="str">
        <f t="shared" si="5"/>
        <v/>
      </c>
      <c r="M25" s="32" t="str">
        <f t="shared" si="11"/>
        <v/>
      </c>
      <c r="N25" s="32" t="str">
        <f t="shared" si="6"/>
        <v/>
      </c>
      <c r="O25" s="32" t="str">
        <f t="shared" si="7"/>
        <v/>
      </c>
      <c r="P25" s="32" t="str">
        <f t="shared" si="8"/>
        <v/>
      </c>
      <c r="Q25" s="33" t="str">
        <f t="shared" si="9"/>
        <v/>
      </c>
    </row>
    <row r="26" spans="2:17" x14ac:dyDescent="0.25">
      <c r="B26" s="9">
        <v>13</v>
      </c>
      <c r="C26" s="35">
        <v>150</v>
      </c>
      <c r="D26" s="3"/>
      <c r="E26" s="9" t="str">
        <f t="shared" si="0"/>
        <v/>
      </c>
      <c r="F26" s="54" t="str">
        <f t="shared" si="10"/>
        <v/>
      </c>
      <c r="G26" s="73" t="str">
        <f t="shared" si="1"/>
        <v/>
      </c>
      <c r="H26" s="56" t="str">
        <f t="shared" si="2"/>
        <v/>
      </c>
      <c r="I26" s="57" t="str">
        <f t="shared" si="3"/>
        <v/>
      </c>
      <c r="J26" s="58" t="str">
        <f t="shared" si="4"/>
        <v/>
      </c>
      <c r="L26" s="31" t="str">
        <f t="shared" si="5"/>
        <v/>
      </c>
      <c r="M26" s="32" t="str">
        <f t="shared" si="11"/>
        <v/>
      </c>
      <c r="N26" s="32" t="str">
        <f t="shared" si="6"/>
        <v/>
      </c>
      <c r="O26" s="32" t="str">
        <f t="shared" si="7"/>
        <v/>
      </c>
      <c r="P26" s="32" t="str">
        <f t="shared" si="8"/>
        <v/>
      </c>
      <c r="Q26" s="33" t="str">
        <f t="shared" si="9"/>
        <v/>
      </c>
    </row>
    <row r="27" spans="2:17" x14ac:dyDescent="0.25">
      <c r="B27" s="9">
        <v>14</v>
      </c>
      <c r="C27" s="35">
        <v>175</v>
      </c>
      <c r="D27" s="3"/>
      <c r="E27" s="9" t="str">
        <f t="shared" si="0"/>
        <v/>
      </c>
      <c r="F27" s="54" t="str">
        <f t="shared" si="10"/>
        <v/>
      </c>
      <c r="G27" s="73" t="str">
        <f t="shared" si="1"/>
        <v/>
      </c>
      <c r="H27" s="56" t="str">
        <f t="shared" si="2"/>
        <v/>
      </c>
      <c r="I27" s="57" t="str">
        <f t="shared" si="3"/>
        <v/>
      </c>
      <c r="J27" s="58" t="str">
        <f t="shared" si="4"/>
        <v/>
      </c>
      <c r="L27" s="31" t="str">
        <f t="shared" si="5"/>
        <v/>
      </c>
      <c r="M27" s="32" t="str">
        <f t="shared" si="11"/>
        <v/>
      </c>
      <c r="N27" s="32" t="str">
        <f t="shared" si="6"/>
        <v/>
      </c>
      <c r="O27" s="32" t="str">
        <f t="shared" si="7"/>
        <v/>
      </c>
      <c r="P27" s="32" t="str">
        <f t="shared" si="8"/>
        <v/>
      </c>
      <c r="Q27" s="33" t="str">
        <f t="shared" si="9"/>
        <v/>
      </c>
    </row>
    <row r="28" spans="2:17" x14ac:dyDescent="0.25">
      <c r="B28" s="9">
        <v>15</v>
      </c>
      <c r="C28" s="35">
        <v>200</v>
      </c>
      <c r="D28" s="3"/>
      <c r="E28" s="9" t="str">
        <f t="shared" si="0"/>
        <v/>
      </c>
      <c r="F28" s="54" t="str">
        <f t="shared" si="10"/>
        <v/>
      </c>
      <c r="G28" s="73" t="str">
        <f t="shared" si="1"/>
        <v/>
      </c>
      <c r="H28" s="56" t="str">
        <f t="shared" si="2"/>
        <v/>
      </c>
      <c r="I28" s="57" t="str">
        <f t="shared" si="3"/>
        <v/>
      </c>
      <c r="J28" s="58" t="str">
        <f t="shared" si="4"/>
        <v/>
      </c>
      <c r="L28" s="31" t="str">
        <f t="shared" si="5"/>
        <v/>
      </c>
      <c r="M28" s="32" t="str">
        <f t="shared" si="11"/>
        <v/>
      </c>
      <c r="N28" s="32" t="str">
        <f t="shared" si="6"/>
        <v/>
      </c>
      <c r="O28" s="32" t="str">
        <f t="shared" si="7"/>
        <v/>
      </c>
      <c r="P28" s="32" t="str">
        <f t="shared" si="8"/>
        <v/>
      </c>
      <c r="Q28" s="33" t="str">
        <f t="shared" si="9"/>
        <v/>
      </c>
    </row>
    <row r="29" spans="2:17" x14ac:dyDescent="0.25">
      <c r="B29" s="9">
        <v>16</v>
      </c>
      <c r="C29" s="35">
        <v>225</v>
      </c>
      <c r="D29" s="3"/>
      <c r="E29" s="9" t="str">
        <f t="shared" si="0"/>
        <v/>
      </c>
      <c r="F29" s="54" t="str">
        <f t="shared" si="10"/>
        <v/>
      </c>
      <c r="G29" s="73" t="str">
        <f t="shared" si="1"/>
        <v/>
      </c>
      <c r="H29" s="56" t="str">
        <f t="shared" si="2"/>
        <v/>
      </c>
      <c r="I29" s="57" t="str">
        <f t="shared" si="3"/>
        <v/>
      </c>
      <c r="J29" s="58" t="str">
        <f t="shared" si="4"/>
        <v/>
      </c>
      <c r="L29" s="31" t="str">
        <f t="shared" si="5"/>
        <v/>
      </c>
      <c r="M29" s="32" t="str">
        <f t="shared" si="11"/>
        <v/>
      </c>
      <c r="N29" s="32" t="str">
        <f t="shared" si="6"/>
        <v/>
      </c>
      <c r="O29" s="32" t="str">
        <f t="shared" si="7"/>
        <v/>
      </c>
      <c r="P29" s="32" t="str">
        <f t="shared" si="8"/>
        <v/>
      </c>
      <c r="Q29" s="33" t="str">
        <f t="shared" si="9"/>
        <v/>
      </c>
    </row>
    <row r="30" spans="2:17" x14ac:dyDescent="0.25">
      <c r="B30" s="9">
        <v>17</v>
      </c>
      <c r="C30" s="35">
        <v>250</v>
      </c>
      <c r="D30" s="3"/>
      <c r="E30" s="9" t="str">
        <f t="shared" si="0"/>
        <v/>
      </c>
      <c r="F30" s="54" t="str">
        <f t="shared" si="10"/>
        <v/>
      </c>
      <c r="G30" s="73" t="str">
        <f t="shared" si="1"/>
        <v/>
      </c>
      <c r="H30" s="56" t="str">
        <f t="shared" si="2"/>
        <v/>
      </c>
      <c r="I30" s="57" t="str">
        <f t="shared" si="3"/>
        <v/>
      </c>
      <c r="J30" s="58" t="str">
        <f t="shared" si="4"/>
        <v/>
      </c>
      <c r="L30" s="31" t="str">
        <f t="shared" si="5"/>
        <v/>
      </c>
      <c r="M30" s="32" t="str">
        <f t="shared" si="11"/>
        <v/>
      </c>
      <c r="N30" s="32" t="str">
        <f t="shared" si="6"/>
        <v/>
      </c>
      <c r="O30" s="32" t="str">
        <f t="shared" si="7"/>
        <v/>
      </c>
      <c r="P30" s="32" t="str">
        <f t="shared" si="8"/>
        <v/>
      </c>
      <c r="Q30" s="33" t="str">
        <f t="shared" si="9"/>
        <v/>
      </c>
    </row>
    <row r="31" spans="2:17" x14ac:dyDescent="0.25">
      <c r="B31" s="9">
        <v>18</v>
      </c>
      <c r="C31" s="35">
        <v>275</v>
      </c>
      <c r="D31" s="3"/>
      <c r="E31" s="9" t="str">
        <f t="shared" si="0"/>
        <v/>
      </c>
      <c r="F31" s="54" t="str">
        <f t="shared" si="10"/>
        <v/>
      </c>
      <c r="G31" s="73" t="str">
        <f t="shared" si="1"/>
        <v/>
      </c>
      <c r="H31" s="56" t="str">
        <f t="shared" si="2"/>
        <v/>
      </c>
      <c r="I31" s="57" t="str">
        <f t="shared" si="3"/>
        <v/>
      </c>
      <c r="J31" s="58" t="str">
        <f t="shared" si="4"/>
        <v/>
      </c>
      <c r="L31" s="31" t="str">
        <f t="shared" si="5"/>
        <v/>
      </c>
      <c r="M31" s="32" t="str">
        <f t="shared" si="11"/>
        <v/>
      </c>
      <c r="N31" s="32" t="str">
        <f t="shared" si="6"/>
        <v/>
      </c>
      <c r="O31" s="32" t="str">
        <f t="shared" si="7"/>
        <v/>
      </c>
      <c r="P31" s="32" t="str">
        <f t="shared" si="8"/>
        <v/>
      </c>
      <c r="Q31" s="33" t="str">
        <f t="shared" si="9"/>
        <v/>
      </c>
    </row>
    <row r="32" spans="2:17" x14ac:dyDescent="0.25">
      <c r="B32" s="9">
        <v>19</v>
      </c>
      <c r="C32" s="35">
        <v>300</v>
      </c>
      <c r="D32" s="3"/>
      <c r="E32" s="9" t="str">
        <f t="shared" si="0"/>
        <v/>
      </c>
      <c r="F32" s="54" t="str">
        <f t="shared" si="10"/>
        <v/>
      </c>
      <c r="G32" s="73" t="str">
        <f t="shared" si="1"/>
        <v/>
      </c>
      <c r="H32" s="56" t="str">
        <f t="shared" si="2"/>
        <v/>
      </c>
      <c r="I32" s="57" t="str">
        <f t="shared" si="3"/>
        <v/>
      </c>
      <c r="J32" s="58" t="str">
        <f t="shared" si="4"/>
        <v/>
      </c>
      <c r="L32" s="31" t="str">
        <f t="shared" si="5"/>
        <v/>
      </c>
      <c r="M32" s="32" t="str">
        <f t="shared" si="11"/>
        <v/>
      </c>
      <c r="N32" s="32" t="str">
        <f t="shared" si="6"/>
        <v/>
      </c>
      <c r="O32" s="32" t="str">
        <f t="shared" si="7"/>
        <v/>
      </c>
      <c r="P32" s="32" t="str">
        <f t="shared" si="8"/>
        <v/>
      </c>
      <c r="Q32" s="33" t="str">
        <f t="shared" si="9"/>
        <v/>
      </c>
    </row>
    <row r="33" spans="2:17" x14ac:dyDescent="0.25">
      <c r="B33" s="9">
        <v>20</v>
      </c>
      <c r="C33" s="35">
        <v>325</v>
      </c>
      <c r="D33" s="3"/>
      <c r="E33" s="9" t="str">
        <f t="shared" si="0"/>
        <v/>
      </c>
      <c r="F33" s="54" t="str">
        <f t="shared" si="10"/>
        <v/>
      </c>
      <c r="G33" s="73" t="str">
        <f t="shared" si="1"/>
        <v/>
      </c>
      <c r="H33" s="56" t="str">
        <f t="shared" si="2"/>
        <v/>
      </c>
      <c r="I33" s="57" t="str">
        <f t="shared" si="3"/>
        <v/>
      </c>
      <c r="J33" s="58" t="str">
        <f t="shared" si="4"/>
        <v/>
      </c>
      <c r="L33" s="31" t="str">
        <f t="shared" si="5"/>
        <v/>
      </c>
      <c r="M33" s="32" t="str">
        <f t="shared" si="11"/>
        <v/>
      </c>
      <c r="N33" s="32" t="str">
        <f t="shared" si="6"/>
        <v/>
      </c>
      <c r="O33" s="32" t="str">
        <f t="shared" si="7"/>
        <v/>
      </c>
      <c r="P33" s="32" t="str">
        <f t="shared" si="8"/>
        <v/>
      </c>
      <c r="Q33" s="33" t="str">
        <f t="shared" si="9"/>
        <v/>
      </c>
    </row>
    <row r="34" spans="2:17" x14ac:dyDescent="0.25">
      <c r="B34" s="9">
        <v>21</v>
      </c>
      <c r="C34" s="35">
        <v>350</v>
      </c>
      <c r="D34" s="3"/>
      <c r="E34" s="9" t="str">
        <f t="shared" si="0"/>
        <v/>
      </c>
      <c r="F34" s="54" t="str">
        <f t="shared" si="10"/>
        <v/>
      </c>
      <c r="G34" s="73" t="str">
        <f t="shared" si="1"/>
        <v/>
      </c>
      <c r="H34" s="56" t="str">
        <f t="shared" si="2"/>
        <v/>
      </c>
      <c r="I34" s="57" t="str">
        <f t="shared" si="3"/>
        <v/>
      </c>
      <c r="J34" s="58" t="str">
        <f t="shared" si="4"/>
        <v/>
      </c>
      <c r="L34" s="31" t="str">
        <f t="shared" si="5"/>
        <v/>
      </c>
      <c r="M34" s="32" t="str">
        <f t="shared" si="11"/>
        <v/>
      </c>
      <c r="N34" s="32" t="str">
        <f t="shared" si="6"/>
        <v/>
      </c>
      <c r="O34" s="32" t="str">
        <f t="shared" si="7"/>
        <v/>
      </c>
      <c r="P34" s="32" t="str">
        <f t="shared" si="8"/>
        <v/>
      </c>
      <c r="Q34" s="33" t="str">
        <f t="shared" si="9"/>
        <v/>
      </c>
    </row>
    <row r="35" spans="2:17" x14ac:dyDescent="0.25">
      <c r="B35" s="9">
        <v>22</v>
      </c>
      <c r="C35" s="35">
        <v>375</v>
      </c>
      <c r="D35" s="3"/>
      <c r="E35" s="9" t="str">
        <f t="shared" si="0"/>
        <v/>
      </c>
      <c r="F35" s="54" t="str">
        <f t="shared" si="10"/>
        <v/>
      </c>
      <c r="G35" s="73" t="str">
        <f t="shared" si="1"/>
        <v/>
      </c>
      <c r="H35" s="56" t="str">
        <f t="shared" si="2"/>
        <v/>
      </c>
      <c r="I35" s="57" t="str">
        <f t="shared" si="3"/>
        <v/>
      </c>
      <c r="J35" s="58" t="str">
        <f t="shared" si="4"/>
        <v/>
      </c>
      <c r="L35" s="31" t="str">
        <f t="shared" si="5"/>
        <v/>
      </c>
      <c r="M35" s="32" t="str">
        <f t="shared" si="11"/>
        <v/>
      </c>
      <c r="N35" s="32" t="str">
        <f t="shared" si="6"/>
        <v/>
      </c>
      <c r="O35" s="32" t="str">
        <f t="shared" si="7"/>
        <v/>
      </c>
      <c r="P35" s="32" t="str">
        <f t="shared" si="8"/>
        <v/>
      </c>
      <c r="Q35" s="33" t="str">
        <f t="shared" si="9"/>
        <v/>
      </c>
    </row>
    <row r="36" spans="2:17" x14ac:dyDescent="0.25">
      <c r="B36" s="9">
        <v>23</v>
      </c>
      <c r="C36" s="35">
        <v>400</v>
      </c>
      <c r="D36" s="3"/>
      <c r="E36" s="9" t="str">
        <f t="shared" si="0"/>
        <v/>
      </c>
      <c r="F36" s="54" t="str">
        <f t="shared" si="10"/>
        <v/>
      </c>
      <c r="G36" s="73" t="str">
        <f t="shared" si="1"/>
        <v/>
      </c>
      <c r="H36" s="56" t="str">
        <f t="shared" si="2"/>
        <v/>
      </c>
      <c r="I36" s="57" t="str">
        <f t="shared" si="3"/>
        <v/>
      </c>
      <c r="J36" s="58" t="str">
        <f t="shared" si="4"/>
        <v/>
      </c>
      <c r="L36" s="31" t="str">
        <f t="shared" si="5"/>
        <v/>
      </c>
      <c r="M36" s="32" t="str">
        <f t="shared" si="11"/>
        <v/>
      </c>
      <c r="N36" s="32" t="str">
        <f t="shared" si="6"/>
        <v/>
      </c>
      <c r="O36" s="32" t="str">
        <f t="shared" si="7"/>
        <v/>
      </c>
      <c r="P36" s="32" t="str">
        <f t="shared" si="8"/>
        <v/>
      </c>
      <c r="Q36" s="33" t="str">
        <f t="shared" si="9"/>
        <v/>
      </c>
    </row>
    <row r="37" spans="2:17" x14ac:dyDescent="0.25">
      <c r="B37" s="9">
        <v>24</v>
      </c>
      <c r="C37" s="35">
        <v>425</v>
      </c>
      <c r="D37" s="3"/>
      <c r="E37" s="9" t="str">
        <f t="shared" si="0"/>
        <v/>
      </c>
      <c r="F37" s="54" t="str">
        <f t="shared" si="10"/>
        <v/>
      </c>
      <c r="G37" s="73" t="str">
        <f t="shared" si="1"/>
        <v/>
      </c>
      <c r="H37" s="56" t="str">
        <f t="shared" si="2"/>
        <v/>
      </c>
      <c r="I37" s="57" t="str">
        <f t="shared" si="3"/>
        <v/>
      </c>
      <c r="J37" s="58" t="str">
        <f t="shared" si="4"/>
        <v/>
      </c>
      <c r="L37" s="31" t="str">
        <f t="shared" si="5"/>
        <v/>
      </c>
      <c r="M37" s="32" t="str">
        <f t="shared" si="11"/>
        <v/>
      </c>
      <c r="N37" s="32" t="str">
        <f t="shared" si="6"/>
        <v/>
      </c>
      <c r="O37" s="32" t="str">
        <f t="shared" si="7"/>
        <v/>
      </c>
      <c r="P37" s="32" t="str">
        <f t="shared" si="8"/>
        <v/>
      </c>
      <c r="Q37" s="33" t="str">
        <f t="shared" si="9"/>
        <v/>
      </c>
    </row>
    <row r="38" spans="2:17" x14ac:dyDescent="0.25">
      <c r="B38" s="9">
        <v>25</v>
      </c>
      <c r="C38" s="35">
        <v>450</v>
      </c>
      <c r="D38" s="3"/>
      <c r="E38" s="9" t="str">
        <f t="shared" si="0"/>
        <v/>
      </c>
      <c r="F38" s="54" t="str">
        <f t="shared" si="10"/>
        <v/>
      </c>
      <c r="G38" s="73" t="str">
        <f t="shared" si="1"/>
        <v/>
      </c>
      <c r="H38" s="56" t="str">
        <f t="shared" si="2"/>
        <v/>
      </c>
      <c r="I38" s="57" t="str">
        <f t="shared" si="3"/>
        <v/>
      </c>
      <c r="J38" s="58" t="str">
        <f t="shared" si="4"/>
        <v/>
      </c>
      <c r="L38" s="31" t="str">
        <f t="shared" si="5"/>
        <v/>
      </c>
      <c r="M38" s="32" t="str">
        <f t="shared" si="11"/>
        <v/>
      </c>
      <c r="N38" s="32" t="str">
        <f t="shared" si="6"/>
        <v/>
      </c>
      <c r="O38" s="32" t="str">
        <f t="shared" si="7"/>
        <v/>
      </c>
      <c r="P38" s="32" t="str">
        <f t="shared" si="8"/>
        <v/>
      </c>
      <c r="Q38" s="33" t="str">
        <f t="shared" si="9"/>
        <v/>
      </c>
    </row>
    <row r="39" spans="2:17" x14ac:dyDescent="0.25">
      <c r="B39" s="9">
        <v>26</v>
      </c>
      <c r="C39" s="35">
        <v>475</v>
      </c>
      <c r="D39" s="3"/>
      <c r="E39" s="9" t="str">
        <f t="shared" si="0"/>
        <v/>
      </c>
      <c r="F39" s="54" t="str">
        <f t="shared" si="10"/>
        <v/>
      </c>
      <c r="G39" s="73" t="str">
        <f t="shared" si="1"/>
        <v/>
      </c>
      <c r="H39" s="56" t="str">
        <f t="shared" si="2"/>
        <v/>
      </c>
      <c r="I39" s="57" t="str">
        <f t="shared" si="3"/>
        <v/>
      </c>
      <c r="J39" s="58" t="str">
        <f t="shared" si="4"/>
        <v/>
      </c>
      <c r="L39" s="31" t="str">
        <f t="shared" si="5"/>
        <v/>
      </c>
      <c r="M39" s="32" t="str">
        <f t="shared" si="11"/>
        <v/>
      </c>
      <c r="N39" s="32" t="str">
        <f t="shared" si="6"/>
        <v/>
      </c>
      <c r="O39" s="32" t="str">
        <f t="shared" si="7"/>
        <v/>
      </c>
      <c r="P39" s="32" t="str">
        <f t="shared" si="8"/>
        <v/>
      </c>
      <c r="Q39" s="33" t="str">
        <f t="shared" si="9"/>
        <v/>
      </c>
    </row>
    <row r="40" spans="2:17" x14ac:dyDescent="0.25">
      <c r="B40" s="9">
        <v>27</v>
      </c>
      <c r="C40" s="35">
        <v>500</v>
      </c>
      <c r="D40" s="3"/>
      <c r="E40" s="9" t="str">
        <f t="shared" si="0"/>
        <v/>
      </c>
      <c r="F40" s="54" t="str">
        <f t="shared" si="10"/>
        <v/>
      </c>
      <c r="G40" s="73" t="str">
        <f t="shared" si="1"/>
        <v/>
      </c>
      <c r="H40" s="56" t="str">
        <f t="shared" si="2"/>
        <v/>
      </c>
      <c r="I40" s="57" t="str">
        <f t="shared" si="3"/>
        <v/>
      </c>
      <c r="J40" s="58" t="str">
        <f t="shared" si="4"/>
        <v/>
      </c>
      <c r="L40" s="31" t="str">
        <f t="shared" si="5"/>
        <v/>
      </c>
      <c r="M40" s="32" t="str">
        <f t="shared" si="11"/>
        <v/>
      </c>
      <c r="N40" s="32" t="str">
        <f t="shared" si="6"/>
        <v/>
      </c>
      <c r="O40" s="32" t="str">
        <f t="shared" si="7"/>
        <v/>
      </c>
      <c r="P40" s="32" t="str">
        <f t="shared" si="8"/>
        <v/>
      </c>
      <c r="Q40" s="33" t="str">
        <f t="shared" si="9"/>
        <v/>
      </c>
    </row>
    <row r="41" spans="2:17" x14ac:dyDescent="0.25">
      <c r="B41" s="9">
        <v>28</v>
      </c>
      <c r="C41" s="35">
        <v>600</v>
      </c>
      <c r="D41" s="3"/>
      <c r="E41" s="9" t="str">
        <f t="shared" si="0"/>
        <v/>
      </c>
      <c r="F41" s="54" t="str">
        <f t="shared" si="10"/>
        <v/>
      </c>
      <c r="G41" s="73" t="str">
        <f t="shared" si="1"/>
        <v/>
      </c>
      <c r="H41" s="56" t="str">
        <f t="shared" si="2"/>
        <v/>
      </c>
      <c r="I41" s="57" t="str">
        <f t="shared" si="3"/>
        <v/>
      </c>
      <c r="J41" s="58" t="str">
        <f t="shared" si="4"/>
        <v/>
      </c>
      <c r="L41" s="31" t="str">
        <f t="shared" si="5"/>
        <v/>
      </c>
      <c r="M41" s="32" t="str">
        <f t="shared" si="11"/>
        <v/>
      </c>
      <c r="N41" s="32" t="str">
        <f t="shared" si="6"/>
        <v/>
      </c>
      <c r="O41" s="32" t="str">
        <f t="shared" si="7"/>
        <v/>
      </c>
      <c r="P41" s="32" t="str">
        <f t="shared" si="8"/>
        <v/>
      </c>
      <c r="Q41" s="33" t="str">
        <f t="shared" si="9"/>
        <v/>
      </c>
    </row>
    <row r="42" spans="2:17" x14ac:dyDescent="0.25">
      <c r="B42" s="9">
        <v>29</v>
      </c>
      <c r="C42" s="35">
        <v>700</v>
      </c>
      <c r="D42" s="3"/>
      <c r="E42" s="9" t="str">
        <f t="shared" si="0"/>
        <v/>
      </c>
      <c r="F42" s="54" t="str">
        <f t="shared" si="10"/>
        <v/>
      </c>
      <c r="G42" s="73" t="str">
        <f t="shared" si="1"/>
        <v/>
      </c>
      <c r="H42" s="56" t="str">
        <f t="shared" si="2"/>
        <v/>
      </c>
      <c r="I42" s="57" t="str">
        <f t="shared" si="3"/>
        <v/>
      </c>
      <c r="J42" s="58" t="str">
        <f t="shared" si="4"/>
        <v/>
      </c>
      <c r="L42" s="31" t="str">
        <f t="shared" si="5"/>
        <v/>
      </c>
      <c r="M42" s="32" t="str">
        <f t="shared" si="11"/>
        <v/>
      </c>
      <c r="N42" s="32" t="str">
        <f t="shared" si="6"/>
        <v/>
      </c>
      <c r="O42" s="32" t="str">
        <f t="shared" si="7"/>
        <v/>
      </c>
      <c r="P42" s="32" t="str">
        <f t="shared" si="8"/>
        <v/>
      </c>
      <c r="Q42" s="33" t="str">
        <f t="shared" si="9"/>
        <v/>
      </c>
    </row>
    <row r="43" spans="2:17" x14ac:dyDescent="0.25">
      <c r="B43" s="9">
        <v>30</v>
      </c>
      <c r="C43" s="35">
        <v>800</v>
      </c>
      <c r="D43" s="3"/>
      <c r="E43" s="9" t="str">
        <f t="shared" si="0"/>
        <v/>
      </c>
      <c r="F43" s="54" t="str">
        <f t="shared" si="10"/>
        <v/>
      </c>
      <c r="G43" s="73" t="str">
        <f t="shared" si="1"/>
        <v/>
      </c>
      <c r="H43" s="56" t="str">
        <f t="shared" si="2"/>
        <v/>
      </c>
      <c r="I43" s="57" t="str">
        <f t="shared" si="3"/>
        <v/>
      </c>
      <c r="J43" s="58" t="str">
        <f t="shared" si="4"/>
        <v/>
      </c>
      <c r="L43" s="31" t="str">
        <f t="shared" si="5"/>
        <v/>
      </c>
      <c r="M43" s="32" t="str">
        <f t="shared" si="11"/>
        <v/>
      </c>
      <c r="N43" s="32" t="str">
        <f t="shared" si="6"/>
        <v/>
      </c>
      <c r="O43" s="32" t="str">
        <f t="shared" si="7"/>
        <v/>
      </c>
      <c r="P43" s="32" t="str">
        <f t="shared" si="8"/>
        <v/>
      </c>
      <c r="Q43" s="33" t="str">
        <f t="shared" si="9"/>
        <v/>
      </c>
    </row>
    <row r="44" spans="2:17" x14ac:dyDescent="0.25">
      <c r="B44" s="9">
        <v>31</v>
      </c>
      <c r="C44" s="35">
        <v>900</v>
      </c>
      <c r="D44" s="3"/>
      <c r="E44" s="9" t="str">
        <f t="shared" si="0"/>
        <v/>
      </c>
      <c r="F44" s="54" t="str">
        <f t="shared" si="10"/>
        <v/>
      </c>
      <c r="G44" s="73" t="str">
        <f t="shared" si="1"/>
        <v/>
      </c>
      <c r="H44" s="56" t="str">
        <f t="shared" si="2"/>
        <v/>
      </c>
      <c r="I44" s="57" t="str">
        <f t="shared" si="3"/>
        <v/>
      </c>
      <c r="J44" s="58" t="str">
        <f t="shared" si="4"/>
        <v/>
      </c>
      <c r="L44" s="31" t="str">
        <f t="shared" si="5"/>
        <v/>
      </c>
      <c r="M44" s="32" t="str">
        <f t="shared" si="11"/>
        <v/>
      </c>
      <c r="N44" s="32" t="str">
        <f t="shared" si="6"/>
        <v/>
      </c>
      <c r="O44" s="32" t="str">
        <f t="shared" si="7"/>
        <v/>
      </c>
      <c r="P44" s="32" t="str">
        <f t="shared" si="8"/>
        <v/>
      </c>
      <c r="Q44" s="33" t="str">
        <f t="shared" si="9"/>
        <v/>
      </c>
    </row>
    <row r="45" spans="2:17" x14ac:dyDescent="0.25">
      <c r="B45" s="9">
        <v>32</v>
      </c>
      <c r="C45" s="35">
        <v>1000</v>
      </c>
      <c r="D45" s="3"/>
      <c r="E45" s="9" t="str">
        <f t="shared" si="0"/>
        <v/>
      </c>
      <c r="F45" s="54" t="str">
        <f t="shared" si="10"/>
        <v/>
      </c>
      <c r="G45" s="73" t="str">
        <f t="shared" si="1"/>
        <v/>
      </c>
      <c r="H45" s="56" t="str">
        <f t="shared" si="2"/>
        <v/>
      </c>
      <c r="I45" s="57" t="str">
        <f t="shared" si="3"/>
        <v/>
      </c>
      <c r="J45" s="58" t="str">
        <f t="shared" si="4"/>
        <v/>
      </c>
      <c r="L45" s="31" t="str">
        <f t="shared" si="5"/>
        <v/>
      </c>
      <c r="M45" s="32" t="str">
        <f t="shared" si="11"/>
        <v/>
      </c>
      <c r="N45" s="32" t="str">
        <f t="shared" si="6"/>
        <v/>
      </c>
      <c r="O45" s="32" t="str">
        <f t="shared" si="7"/>
        <v/>
      </c>
      <c r="P45" s="32" t="str">
        <f t="shared" si="8"/>
        <v/>
      </c>
      <c r="Q45" s="33" t="str">
        <f t="shared" si="9"/>
        <v/>
      </c>
    </row>
    <row r="46" spans="2:17" x14ac:dyDescent="0.25">
      <c r="B46" s="9">
        <v>33</v>
      </c>
      <c r="C46" s="35">
        <v>1100</v>
      </c>
      <c r="D46" s="3"/>
      <c r="E46" s="9" t="str">
        <f t="shared" ref="E46:E77" si="12">IF(L46="","",ROUND(12*C$7/(2*H$7^2+2*H$6*H$7-H$6^2)*L46*1000000,0))</f>
        <v/>
      </c>
      <c r="F46" s="54" t="str">
        <f t="shared" ref="F46:F77" si="13">IF(L46="","",ABS(ROUND(12*C$7/(2*(H$7/1000)^2+2*(H$6/1000)*(H$7/1000)-(H$6/1000)^2)*(M46-M$14)*1,0)))</f>
        <v/>
      </c>
      <c r="G46" s="73" t="str">
        <f t="shared" ref="G46:G77" si="14">IF(L46="","",ROUND(1.5*((N46-O46)*1000*H$7)/(C$6*C$7^2),3))</f>
        <v/>
      </c>
      <c r="H46" s="56" t="str">
        <f t="shared" ref="H46:H77" si="15">IF(L46="","",ROUND(1.5*((N46/2-O46)*1000*H$7)/(C$6*C$7^2),3))</f>
        <v/>
      </c>
      <c r="I46" s="57" t="str">
        <f t="shared" ref="I46:I77" si="16">IF(L46="","",IF(P46&lt;=0,"foute meting",ROUND(0.000001*V$4*SQRT((1000000*Q46)^2+(1000000*P46+V$5*(2*PI()*H$5)^2)^2),0)))</f>
        <v/>
      </c>
      <c r="J46" s="58" t="str">
        <f t="shared" ref="J46:J77" si="17">IF(L46="","",ROUND(ATAN(Q46/P46)/PI()*180,1))</f>
        <v/>
      </c>
      <c r="L46" s="31" t="str">
        <f t="shared" ref="L46:L77" si="18">IF(AG48&lt;=0,"",AG48)</f>
        <v/>
      </c>
      <c r="M46" s="32" t="str">
        <f t="shared" si="11"/>
        <v/>
      </c>
      <c r="N46" s="32" t="str">
        <f t="shared" ref="N46:N77" si="19">IF(AI48="","",AI48)</f>
        <v/>
      </c>
      <c r="O46" s="32" t="str">
        <f t="shared" ref="O46:O77" si="20">IF(AH48="","",AH48)</f>
        <v/>
      </c>
      <c r="P46" s="32" t="str">
        <f t="shared" ref="P46:P77" si="21">IF(AJ48="","",AJ48)</f>
        <v/>
      </c>
      <c r="Q46" s="33" t="str">
        <f t="shared" ref="Q46:Q77" si="22">IF(AK48="","",AK48)</f>
        <v/>
      </c>
    </row>
    <row r="47" spans="2:17" x14ac:dyDescent="0.25">
      <c r="B47" s="9">
        <v>34</v>
      </c>
      <c r="C47" s="35">
        <v>1200</v>
      </c>
      <c r="D47" s="3"/>
      <c r="E47" s="9" t="str">
        <f t="shared" si="12"/>
        <v/>
      </c>
      <c r="F47" s="54" t="str">
        <f t="shared" si="13"/>
        <v/>
      </c>
      <c r="G47" s="73" t="str">
        <f t="shared" si="14"/>
        <v/>
      </c>
      <c r="H47" s="56" t="str">
        <f t="shared" si="15"/>
        <v/>
      </c>
      <c r="I47" s="57" t="str">
        <f t="shared" si="16"/>
        <v/>
      </c>
      <c r="J47" s="58" t="str">
        <f t="shared" si="17"/>
        <v/>
      </c>
      <c r="L47" s="31" t="str">
        <f t="shared" si="18"/>
        <v/>
      </c>
      <c r="M47" s="32" t="str">
        <f t="shared" si="11"/>
        <v/>
      </c>
      <c r="N47" s="32" t="str">
        <f t="shared" si="19"/>
        <v/>
      </c>
      <c r="O47" s="32" t="str">
        <f t="shared" si="20"/>
        <v/>
      </c>
      <c r="P47" s="32" t="str">
        <f t="shared" si="21"/>
        <v/>
      </c>
      <c r="Q47" s="33" t="str">
        <f t="shared" si="22"/>
        <v/>
      </c>
    </row>
    <row r="48" spans="2:17" x14ac:dyDescent="0.25">
      <c r="B48" s="9">
        <v>35</v>
      </c>
      <c r="C48" s="35">
        <v>1300</v>
      </c>
      <c r="D48" s="3"/>
      <c r="E48" s="9" t="str">
        <f t="shared" si="12"/>
        <v/>
      </c>
      <c r="F48" s="54" t="str">
        <f t="shared" si="13"/>
        <v/>
      </c>
      <c r="G48" s="73" t="str">
        <f t="shared" si="14"/>
        <v/>
      </c>
      <c r="H48" s="56" t="str">
        <f t="shared" si="15"/>
        <v/>
      </c>
      <c r="I48" s="57" t="str">
        <f t="shared" si="16"/>
        <v/>
      </c>
      <c r="J48" s="58" t="str">
        <f t="shared" si="17"/>
        <v/>
      </c>
      <c r="L48" s="31" t="str">
        <f t="shared" si="18"/>
        <v/>
      </c>
      <c r="M48" s="32" t="str">
        <f t="shared" si="11"/>
        <v/>
      </c>
      <c r="N48" s="32" t="str">
        <f t="shared" si="19"/>
        <v/>
      </c>
      <c r="O48" s="32" t="str">
        <f t="shared" si="20"/>
        <v/>
      </c>
      <c r="P48" s="32" t="str">
        <f t="shared" si="21"/>
        <v/>
      </c>
      <c r="Q48" s="33" t="str">
        <f t="shared" si="22"/>
        <v/>
      </c>
    </row>
    <row r="49" spans="2:17" x14ac:dyDescent="0.25">
      <c r="B49" s="9">
        <v>36</v>
      </c>
      <c r="C49" s="35">
        <v>1400</v>
      </c>
      <c r="D49" s="3"/>
      <c r="E49" s="9" t="str">
        <f t="shared" si="12"/>
        <v/>
      </c>
      <c r="F49" s="54" t="str">
        <f t="shared" si="13"/>
        <v/>
      </c>
      <c r="G49" s="73" t="str">
        <f t="shared" si="14"/>
        <v/>
      </c>
      <c r="H49" s="56" t="str">
        <f t="shared" si="15"/>
        <v/>
      </c>
      <c r="I49" s="57" t="str">
        <f t="shared" si="16"/>
        <v/>
      </c>
      <c r="J49" s="58" t="str">
        <f t="shared" si="17"/>
        <v/>
      </c>
      <c r="L49" s="31" t="str">
        <f t="shared" si="18"/>
        <v/>
      </c>
      <c r="M49" s="32" t="str">
        <f t="shared" si="11"/>
        <v/>
      </c>
      <c r="N49" s="32" t="str">
        <f t="shared" si="19"/>
        <v/>
      </c>
      <c r="O49" s="32" t="str">
        <f t="shared" si="20"/>
        <v/>
      </c>
      <c r="P49" s="32" t="str">
        <f t="shared" si="21"/>
        <v/>
      </c>
      <c r="Q49" s="33" t="str">
        <f t="shared" si="22"/>
        <v/>
      </c>
    </row>
    <row r="50" spans="2:17" x14ac:dyDescent="0.25">
      <c r="B50" s="9">
        <v>37</v>
      </c>
      <c r="C50" s="35">
        <v>1500</v>
      </c>
      <c r="D50" s="3"/>
      <c r="E50" s="9" t="str">
        <f t="shared" si="12"/>
        <v/>
      </c>
      <c r="F50" s="54" t="str">
        <f t="shared" si="13"/>
        <v/>
      </c>
      <c r="G50" s="73" t="str">
        <f t="shared" si="14"/>
        <v/>
      </c>
      <c r="H50" s="56" t="str">
        <f t="shared" si="15"/>
        <v/>
      </c>
      <c r="I50" s="57" t="str">
        <f t="shared" si="16"/>
        <v/>
      </c>
      <c r="J50" s="58" t="str">
        <f t="shared" si="17"/>
        <v/>
      </c>
      <c r="L50" s="31" t="str">
        <f t="shared" si="18"/>
        <v/>
      </c>
      <c r="M50" s="32" t="str">
        <f t="shared" si="11"/>
        <v/>
      </c>
      <c r="N50" s="32" t="str">
        <f t="shared" si="19"/>
        <v/>
      </c>
      <c r="O50" s="32" t="str">
        <f t="shared" si="20"/>
        <v/>
      </c>
      <c r="P50" s="32" t="str">
        <f t="shared" si="21"/>
        <v/>
      </c>
      <c r="Q50" s="33" t="str">
        <f t="shared" si="22"/>
        <v/>
      </c>
    </row>
    <row r="51" spans="2:17" x14ac:dyDescent="0.25">
      <c r="B51" s="9">
        <v>38</v>
      </c>
      <c r="C51" s="35">
        <v>1600</v>
      </c>
      <c r="D51" s="3"/>
      <c r="E51" s="9" t="str">
        <f t="shared" si="12"/>
        <v/>
      </c>
      <c r="F51" s="54" t="str">
        <f t="shared" si="13"/>
        <v/>
      </c>
      <c r="G51" s="73" t="str">
        <f t="shared" si="14"/>
        <v/>
      </c>
      <c r="H51" s="56" t="str">
        <f t="shared" si="15"/>
        <v/>
      </c>
      <c r="I51" s="57" t="str">
        <f t="shared" si="16"/>
        <v/>
      </c>
      <c r="J51" s="58" t="str">
        <f t="shared" si="17"/>
        <v/>
      </c>
      <c r="L51" s="31" t="str">
        <f t="shared" si="18"/>
        <v/>
      </c>
      <c r="M51" s="32" t="str">
        <f t="shared" si="11"/>
        <v/>
      </c>
      <c r="N51" s="32" t="str">
        <f t="shared" si="19"/>
        <v/>
      </c>
      <c r="O51" s="32" t="str">
        <f t="shared" si="20"/>
        <v/>
      </c>
      <c r="P51" s="32" t="str">
        <f t="shared" si="21"/>
        <v/>
      </c>
      <c r="Q51" s="33" t="str">
        <f t="shared" si="22"/>
        <v/>
      </c>
    </row>
    <row r="52" spans="2:17" x14ac:dyDescent="0.25">
      <c r="B52" s="9">
        <v>39</v>
      </c>
      <c r="C52" s="35">
        <v>1700</v>
      </c>
      <c r="D52" s="3"/>
      <c r="E52" s="9" t="str">
        <f t="shared" si="12"/>
        <v/>
      </c>
      <c r="F52" s="54" t="str">
        <f t="shared" si="13"/>
        <v/>
      </c>
      <c r="G52" s="73" t="str">
        <f t="shared" si="14"/>
        <v/>
      </c>
      <c r="H52" s="56" t="str">
        <f t="shared" si="15"/>
        <v/>
      </c>
      <c r="I52" s="57" t="str">
        <f t="shared" si="16"/>
        <v/>
      </c>
      <c r="J52" s="58" t="str">
        <f t="shared" si="17"/>
        <v/>
      </c>
      <c r="L52" s="31" t="str">
        <f t="shared" si="18"/>
        <v/>
      </c>
      <c r="M52" s="32" t="str">
        <f t="shared" si="11"/>
        <v/>
      </c>
      <c r="N52" s="32" t="str">
        <f t="shared" si="19"/>
        <v/>
      </c>
      <c r="O52" s="32" t="str">
        <f t="shared" si="20"/>
        <v/>
      </c>
      <c r="P52" s="32" t="str">
        <f t="shared" si="21"/>
        <v/>
      </c>
      <c r="Q52" s="33" t="str">
        <f t="shared" si="22"/>
        <v/>
      </c>
    </row>
    <row r="53" spans="2:17" x14ac:dyDescent="0.25">
      <c r="B53" s="9">
        <v>40</v>
      </c>
      <c r="C53" s="35">
        <v>1800</v>
      </c>
      <c r="D53" s="3"/>
      <c r="E53" s="9" t="str">
        <f t="shared" si="12"/>
        <v/>
      </c>
      <c r="F53" s="54" t="str">
        <f t="shared" si="13"/>
        <v/>
      </c>
      <c r="G53" s="73" t="str">
        <f t="shared" si="14"/>
        <v/>
      </c>
      <c r="H53" s="56" t="str">
        <f t="shared" si="15"/>
        <v/>
      </c>
      <c r="I53" s="57" t="str">
        <f t="shared" si="16"/>
        <v/>
      </c>
      <c r="J53" s="58" t="str">
        <f t="shared" si="17"/>
        <v/>
      </c>
      <c r="L53" s="31" t="str">
        <f t="shared" si="18"/>
        <v/>
      </c>
      <c r="M53" s="32" t="str">
        <f t="shared" si="11"/>
        <v/>
      </c>
      <c r="N53" s="32" t="str">
        <f t="shared" si="19"/>
        <v/>
      </c>
      <c r="O53" s="32" t="str">
        <f t="shared" si="20"/>
        <v/>
      </c>
      <c r="P53" s="32" t="str">
        <f t="shared" si="21"/>
        <v/>
      </c>
      <c r="Q53" s="33" t="str">
        <f t="shared" si="22"/>
        <v/>
      </c>
    </row>
    <row r="54" spans="2:17" x14ac:dyDescent="0.25">
      <c r="B54" s="9">
        <v>41</v>
      </c>
      <c r="C54" s="35">
        <v>1900</v>
      </c>
      <c r="D54" s="3"/>
      <c r="E54" s="9" t="str">
        <f t="shared" si="12"/>
        <v/>
      </c>
      <c r="F54" s="54" t="str">
        <f t="shared" si="13"/>
        <v/>
      </c>
      <c r="G54" s="73" t="str">
        <f t="shared" si="14"/>
        <v/>
      </c>
      <c r="H54" s="56" t="str">
        <f t="shared" si="15"/>
        <v/>
      </c>
      <c r="I54" s="57" t="str">
        <f t="shared" si="16"/>
        <v/>
      </c>
      <c r="J54" s="58" t="str">
        <f t="shared" si="17"/>
        <v/>
      </c>
      <c r="L54" s="31" t="str">
        <f t="shared" si="18"/>
        <v/>
      </c>
      <c r="M54" s="32" t="str">
        <f t="shared" si="11"/>
        <v/>
      </c>
      <c r="N54" s="32" t="str">
        <f t="shared" si="19"/>
        <v/>
      </c>
      <c r="O54" s="32" t="str">
        <f t="shared" si="20"/>
        <v/>
      </c>
      <c r="P54" s="32" t="str">
        <f t="shared" si="21"/>
        <v/>
      </c>
      <c r="Q54" s="33" t="str">
        <f t="shared" si="22"/>
        <v/>
      </c>
    </row>
    <row r="55" spans="2:17" x14ac:dyDescent="0.25">
      <c r="B55" s="9">
        <v>42</v>
      </c>
      <c r="C55" s="35">
        <v>2000</v>
      </c>
      <c r="D55" s="3"/>
      <c r="E55" s="9" t="str">
        <f t="shared" si="12"/>
        <v/>
      </c>
      <c r="F55" s="54" t="str">
        <f t="shared" si="13"/>
        <v/>
      </c>
      <c r="G55" s="73" t="str">
        <f t="shared" si="14"/>
        <v/>
      </c>
      <c r="H55" s="56" t="str">
        <f t="shared" si="15"/>
        <v/>
      </c>
      <c r="I55" s="57" t="str">
        <f t="shared" si="16"/>
        <v/>
      </c>
      <c r="J55" s="58" t="str">
        <f t="shared" si="17"/>
        <v/>
      </c>
      <c r="L55" s="31" t="str">
        <f t="shared" si="18"/>
        <v/>
      </c>
      <c r="M55" s="32" t="str">
        <f t="shared" si="11"/>
        <v/>
      </c>
      <c r="N55" s="32" t="str">
        <f t="shared" si="19"/>
        <v/>
      </c>
      <c r="O55" s="32" t="str">
        <f t="shared" si="20"/>
        <v/>
      </c>
      <c r="P55" s="32" t="str">
        <f t="shared" si="21"/>
        <v/>
      </c>
      <c r="Q55" s="33" t="str">
        <f t="shared" si="22"/>
        <v/>
      </c>
    </row>
    <row r="56" spans="2:17" x14ac:dyDescent="0.25">
      <c r="B56" s="9">
        <v>43</v>
      </c>
      <c r="C56" s="35">
        <v>2500</v>
      </c>
      <c r="D56" s="3"/>
      <c r="E56" s="9" t="str">
        <f t="shared" si="12"/>
        <v/>
      </c>
      <c r="F56" s="54" t="str">
        <f t="shared" si="13"/>
        <v/>
      </c>
      <c r="G56" s="73" t="str">
        <f t="shared" si="14"/>
        <v/>
      </c>
      <c r="H56" s="56" t="str">
        <f t="shared" si="15"/>
        <v/>
      </c>
      <c r="I56" s="57" t="str">
        <f t="shared" si="16"/>
        <v/>
      </c>
      <c r="J56" s="58" t="str">
        <f t="shared" si="17"/>
        <v/>
      </c>
      <c r="L56" s="31" t="str">
        <f t="shared" si="18"/>
        <v/>
      </c>
      <c r="M56" s="32" t="str">
        <f t="shared" si="11"/>
        <v/>
      </c>
      <c r="N56" s="32" t="str">
        <f t="shared" si="19"/>
        <v/>
      </c>
      <c r="O56" s="32" t="str">
        <f t="shared" si="20"/>
        <v/>
      </c>
      <c r="P56" s="32" t="str">
        <f t="shared" si="21"/>
        <v/>
      </c>
      <c r="Q56" s="33" t="str">
        <f t="shared" si="22"/>
        <v/>
      </c>
    </row>
    <row r="57" spans="2:17" x14ac:dyDescent="0.25">
      <c r="B57" s="9">
        <v>44</v>
      </c>
      <c r="C57" s="35">
        <v>3000</v>
      </c>
      <c r="D57" s="3"/>
      <c r="E57" s="9" t="str">
        <f t="shared" si="12"/>
        <v/>
      </c>
      <c r="F57" s="54" t="str">
        <f t="shared" si="13"/>
        <v/>
      </c>
      <c r="G57" s="73" t="str">
        <f t="shared" si="14"/>
        <v/>
      </c>
      <c r="H57" s="56" t="str">
        <f t="shared" si="15"/>
        <v/>
      </c>
      <c r="I57" s="57" t="str">
        <f t="shared" si="16"/>
        <v/>
      </c>
      <c r="J57" s="58" t="str">
        <f t="shared" si="17"/>
        <v/>
      </c>
      <c r="L57" s="31" t="str">
        <f t="shared" si="18"/>
        <v/>
      </c>
      <c r="M57" s="32" t="str">
        <f t="shared" si="11"/>
        <v/>
      </c>
      <c r="N57" s="32" t="str">
        <f t="shared" si="19"/>
        <v/>
      </c>
      <c r="O57" s="32" t="str">
        <f t="shared" si="20"/>
        <v/>
      </c>
      <c r="P57" s="32" t="str">
        <f t="shared" si="21"/>
        <v/>
      </c>
      <c r="Q57" s="33" t="str">
        <f t="shared" si="22"/>
        <v/>
      </c>
    </row>
    <row r="58" spans="2:17" x14ac:dyDescent="0.25">
      <c r="B58" s="9">
        <v>45</v>
      </c>
      <c r="C58" s="35">
        <v>3500</v>
      </c>
      <c r="D58" s="3"/>
      <c r="E58" s="9" t="str">
        <f t="shared" si="12"/>
        <v/>
      </c>
      <c r="F58" s="54" t="str">
        <f t="shared" si="13"/>
        <v/>
      </c>
      <c r="G58" s="73" t="str">
        <f t="shared" si="14"/>
        <v/>
      </c>
      <c r="H58" s="56" t="str">
        <f t="shared" si="15"/>
        <v/>
      </c>
      <c r="I58" s="57" t="str">
        <f t="shared" si="16"/>
        <v/>
      </c>
      <c r="J58" s="58" t="str">
        <f t="shared" si="17"/>
        <v/>
      </c>
      <c r="L58" s="31" t="str">
        <f t="shared" si="18"/>
        <v/>
      </c>
      <c r="M58" s="32" t="str">
        <f t="shared" si="11"/>
        <v/>
      </c>
      <c r="N58" s="32" t="str">
        <f t="shared" si="19"/>
        <v/>
      </c>
      <c r="O58" s="32" t="str">
        <f t="shared" si="20"/>
        <v/>
      </c>
      <c r="P58" s="32" t="str">
        <f t="shared" si="21"/>
        <v/>
      </c>
      <c r="Q58" s="33" t="str">
        <f t="shared" si="22"/>
        <v/>
      </c>
    </row>
    <row r="59" spans="2:17" x14ac:dyDescent="0.25">
      <c r="B59" s="9">
        <v>46</v>
      </c>
      <c r="C59" s="35">
        <v>4000</v>
      </c>
      <c r="D59" s="3"/>
      <c r="E59" s="9" t="str">
        <f t="shared" si="12"/>
        <v/>
      </c>
      <c r="F59" s="54" t="str">
        <f t="shared" si="13"/>
        <v/>
      </c>
      <c r="G59" s="73" t="str">
        <f t="shared" si="14"/>
        <v/>
      </c>
      <c r="H59" s="56" t="str">
        <f t="shared" si="15"/>
        <v/>
      </c>
      <c r="I59" s="57" t="str">
        <f t="shared" si="16"/>
        <v/>
      </c>
      <c r="J59" s="58" t="str">
        <f t="shared" si="17"/>
        <v/>
      </c>
      <c r="L59" s="31" t="str">
        <f t="shared" si="18"/>
        <v/>
      </c>
      <c r="M59" s="32" t="str">
        <f t="shared" si="11"/>
        <v/>
      </c>
      <c r="N59" s="32" t="str">
        <f t="shared" si="19"/>
        <v/>
      </c>
      <c r="O59" s="32" t="str">
        <f t="shared" si="20"/>
        <v/>
      </c>
      <c r="P59" s="32" t="str">
        <f t="shared" si="21"/>
        <v/>
      </c>
      <c r="Q59" s="33" t="str">
        <f t="shared" si="22"/>
        <v/>
      </c>
    </row>
    <row r="60" spans="2:17" x14ac:dyDescent="0.25">
      <c r="B60" s="9">
        <v>47</v>
      </c>
      <c r="C60" s="35">
        <v>4500</v>
      </c>
      <c r="D60" s="3"/>
      <c r="E60" s="9" t="str">
        <f t="shared" si="12"/>
        <v/>
      </c>
      <c r="F60" s="54" t="str">
        <f t="shared" si="13"/>
        <v/>
      </c>
      <c r="G60" s="73" t="str">
        <f t="shared" si="14"/>
        <v/>
      </c>
      <c r="H60" s="56" t="str">
        <f t="shared" si="15"/>
        <v/>
      </c>
      <c r="I60" s="57" t="str">
        <f t="shared" si="16"/>
        <v/>
      </c>
      <c r="J60" s="58" t="str">
        <f t="shared" si="17"/>
        <v/>
      </c>
      <c r="L60" s="31" t="str">
        <f t="shared" si="18"/>
        <v/>
      </c>
      <c r="M60" s="32" t="str">
        <f t="shared" si="11"/>
        <v/>
      </c>
      <c r="N60" s="32" t="str">
        <f t="shared" si="19"/>
        <v/>
      </c>
      <c r="O60" s="32" t="str">
        <f t="shared" si="20"/>
        <v/>
      </c>
      <c r="P60" s="32" t="str">
        <f t="shared" si="21"/>
        <v/>
      </c>
      <c r="Q60" s="33" t="str">
        <f t="shared" si="22"/>
        <v/>
      </c>
    </row>
    <row r="61" spans="2:17" x14ac:dyDescent="0.25">
      <c r="B61" s="9">
        <v>48</v>
      </c>
      <c r="C61" s="35">
        <v>5000</v>
      </c>
      <c r="D61" s="3"/>
      <c r="E61" s="9" t="str">
        <f t="shared" si="12"/>
        <v/>
      </c>
      <c r="F61" s="54" t="str">
        <f t="shared" si="13"/>
        <v/>
      </c>
      <c r="G61" s="73" t="str">
        <f t="shared" si="14"/>
        <v/>
      </c>
      <c r="H61" s="56" t="str">
        <f t="shared" si="15"/>
        <v/>
      </c>
      <c r="I61" s="57" t="str">
        <f t="shared" si="16"/>
        <v/>
      </c>
      <c r="J61" s="58" t="str">
        <f t="shared" si="17"/>
        <v/>
      </c>
      <c r="L61" s="31" t="str">
        <f t="shared" si="18"/>
        <v/>
      </c>
      <c r="M61" s="32" t="str">
        <f t="shared" si="11"/>
        <v/>
      </c>
      <c r="N61" s="32" t="str">
        <f t="shared" si="19"/>
        <v/>
      </c>
      <c r="O61" s="32" t="str">
        <f t="shared" si="20"/>
        <v/>
      </c>
      <c r="P61" s="32" t="str">
        <f t="shared" si="21"/>
        <v/>
      </c>
      <c r="Q61" s="33" t="str">
        <f t="shared" si="22"/>
        <v/>
      </c>
    </row>
    <row r="62" spans="2:17" x14ac:dyDescent="0.25">
      <c r="B62" s="9">
        <v>49</v>
      </c>
      <c r="C62" s="35">
        <v>5500</v>
      </c>
      <c r="D62" s="3"/>
      <c r="E62" s="9" t="str">
        <f t="shared" si="12"/>
        <v/>
      </c>
      <c r="F62" s="54" t="str">
        <f t="shared" si="13"/>
        <v/>
      </c>
      <c r="G62" s="73" t="str">
        <f t="shared" si="14"/>
        <v/>
      </c>
      <c r="H62" s="56" t="str">
        <f t="shared" si="15"/>
        <v/>
      </c>
      <c r="I62" s="57" t="str">
        <f t="shared" si="16"/>
        <v/>
      </c>
      <c r="J62" s="58" t="str">
        <f t="shared" si="17"/>
        <v/>
      </c>
      <c r="L62" s="31" t="str">
        <f t="shared" si="18"/>
        <v/>
      </c>
      <c r="M62" s="32" t="str">
        <f t="shared" si="11"/>
        <v/>
      </c>
      <c r="N62" s="32" t="str">
        <f t="shared" si="19"/>
        <v/>
      </c>
      <c r="O62" s="32" t="str">
        <f t="shared" si="20"/>
        <v/>
      </c>
      <c r="P62" s="32" t="str">
        <f t="shared" si="21"/>
        <v/>
      </c>
      <c r="Q62" s="33" t="str">
        <f t="shared" si="22"/>
        <v/>
      </c>
    </row>
    <row r="63" spans="2:17" x14ac:dyDescent="0.25">
      <c r="B63" s="9">
        <v>50</v>
      </c>
      <c r="C63" s="35">
        <v>6000</v>
      </c>
      <c r="D63" s="3"/>
      <c r="E63" s="9" t="str">
        <f t="shared" si="12"/>
        <v/>
      </c>
      <c r="F63" s="54" t="str">
        <f t="shared" si="13"/>
        <v/>
      </c>
      <c r="G63" s="73" t="str">
        <f t="shared" si="14"/>
        <v/>
      </c>
      <c r="H63" s="56" t="str">
        <f t="shared" si="15"/>
        <v/>
      </c>
      <c r="I63" s="57" t="str">
        <f t="shared" si="16"/>
        <v/>
      </c>
      <c r="J63" s="58" t="str">
        <f t="shared" si="17"/>
        <v/>
      </c>
      <c r="L63" s="31" t="str">
        <f t="shared" si="18"/>
        <v/>
      </c>
      <c r="M63" s="32" t="str">
        <f t="shared" si="11"/>
        <v/>
      </c>
      <c r="N63" s="32" t="str">
        <f t="shared" si="19"/>
        <v/>
      </c>
      <c r="O63" s="32" t="str">
        <f t="shared" si="20"/>
        <v/>
      </c>
      <c r="P63" s="32" t="str">
        <f t="shared" si="21"/>
        <v/>
      </c>
      <c r="Q63" s="33" t="str">
        <f t="shared" si="22"/>
        <v/>
      </c>
    </row>
    <row r="64" spans="2:17" x14ac:dyDescent="0.25">
      <c r="B64" s="9">
        <v>51</v>
      </c>
      <c r="C64" s="35">
        <v>6500</v>
      </c>
      <c r="D64" s="3"/>
      <c r="E64" s="9" t="str">
        <f t="shared" si="12"/>
        <v/>
      </c>
      <c r="F64" s="54" t="str">
        <f t="shared" si="13"/>
        <v/>
      </c>
      <c r="G64" s="73" t="str">
        <f t="shared" si="14"/>
        <v/>
      </c>
      <c r="H64" s="56" t="str">
        <f t="shared" si="15"/>
        <v/>
      </c>
      <c r="I64" s="57" t="str">
        <f t="shared" si="16"/>
        <v/>
      </c>
      <c r="J64" s="58" t="str">
        <f t="shared" si="17"/>
        <v/>
      </c>
      <c r="L64" s="31" t="str">
        <f t="shared" si="18"/>
        <v/>
      </c>
      <c r="M64" s="32" t="str">
        <f t="shared" si="11"/>
        <v/>
      </c>
      <c r="N64" s="32" t="str">
        <f t="shared" si="19"/>
        <v/>
      </c>
      <c r="O64" s="32" t="str">
        <f t="shared" si="20"/>
        <v/>
      </c>
      <c r="P64" s="32" t="str">
        <f t="shared" si="21"/>
        <v/>
      </c>
      <c r="Q64" s="33" t="str">
        <f t="shared" si="22"/>
        <v/>
      </c>
    </row>
    <row r="65" spans="2:17" x14ac:dyDescent="0.25">
      <c r="B65" s="9">
        <v>52</v>
      </c>
      <c r="C65" s="35">
        <v>7000</v>
      </c>
      <c r="D65" s="3"/>
      <c r="E65" s="9" t="str">
        <f t="shared" si="12"/>
        <v/>
      </c>
      <c r="F65" s="54" t="str">
        <f t="shared" si="13"/>
        <v/>
      </c>
      <c r="G65" s="73" t="str">
        <f t="shared" si="14"/>
        <v/>
      </c>
      <c r="H65" s="56" t="str">
        <f t="shared" si="15"/>
        <v/>
      </c>
      <c r="I65" s="57" t="str">
        <f t="shared" si="16"/>
        <v/>
      </c>
      <c r="J65" s="58" t="str">
        <f t="shared" si="17"/>
        <v/>
      </c>
      <c r="L65" s="31" t="str">
        <f t="shared" si="18"/>
        <v/>
      </c>
      <c r="M65" s="32" t="str">
        <f t="shared" si="11"/>
        <v/>
      </c>
      <c r="N65" s="32" t="str">
        <f t="shared" si="19"/>
        <v/>
      </c>
      <c r="O65" s="32" t="str">
        <f t="shared" si="20"/>
        <v/>
      </c>
      <c r="P65" s="32" t="str">
        <f t="shared" si="21"/>
        <v/>
      </c>
      <c r="Q65" s="33" t="str">
        <f t="shared" si="22"/>
        <v/>
      </c>
    </row>
    <row r="66" spans="2:17" x14ac:dyDescent="0.25">
      <c r="B66" s="9">
        <v>53</v>
      </c>
      <c r="C66" s="35">
        <v>7500</v>
      </c>
      <c r="D66" s="3"/>
      <c r="E66" s="9" t="str">
        <f t="shared" si="12"/>
        <v/>
      </c>
      <c r="F66" s="54" t="str">
        <f t="shared" si="13"/>
        <v/>
      </c>
      <c r="G66" s="73" t="str">
        <f t="shared" si="14"/>
        <v/>
      </c>
      <c r="H66" s="56" t="str">
        <f t="shared" si="15"/>
        <v/>
      </c>
      <c r="I66" s="57" t="str">
        <f t="shared" si="16"/>
        <v/>
      </c>
      <c r="J66" s="58" t="str">
        <f t="shared" si="17"/>
        <v/>
      </c>
      <c r="L66" s="31" t="str">
        <f t="shared" si="18"/>
        <v/>
      </c>
      <c r="M66" s="32" t="str">
        <f t="shared" si="11"/>
        <v/>
      </c>
      <c r="N66" s="32" t="str">
        <f t="shared" si="19"/>
        <v/>
      </c>
      <c r="O66" s="32" t="str">
        <f t="shared" si="20"/>
        <v/>
      </c>
      <c r="P66" s="32" t="str">
        <f t="shared" si="21"/>
        <v/>
      </c>
      <c r="Q66" s="33" t="str">
        <f t="shared" si="22"/>
        <v/>
      </c>
    </row>
    <row r="67" spans="2:17" x14ac:dyDescent="0.25">
      <c r="B67" s="9">
        <v>54</v>
      </c>
      <c r="C67" s="35">
        <v>8000</v>
      </c>
      <c r="D67" s="3"/>
      <c r="E67" s="9" t="str">
        <f t="shared" si="12"/>
        <v/>
      </c>
      <c r="F67" s="54" t="str">
        <f t="shared" si="13"/>
        <v/>
      </c>
      <c r="G67" s="73" t="str">
        <f t="shared" si="14"/>
        <v/>
      </c>
      <c r="H67" s="56" t="str">
        <f t="shared" si="15"/>
        <v/>
      </c>
      <c r="I67" s="57" t="str">
        <f t="shared" si="16"/>
        <v/>
      </c>
      <c r="J67" s="58" t="str">
        <f t="shared" si="17"/>
        <v/>
      </c>
      <c r="L67" s="31" t="str">
        <f t="shared" si="18"/>
        <v/>
      </c>
      <c r="M67" s="32" t="str">
        <f t="shared" si="11"/>
        <v/>
      </c>
      <c r="N67" s="32" t="str">
        <f t="shared" si="19"/>
        <v/>
      </c>
      <c r="O67" s="32" t="str">
        <f t="shared" si="20"/>
        <v/>
      </c>
      <c r="P67" s="32" t="str">
        <f t="shared" si="21"/>
        <v/>
      </c>
      <c r="Q67" s="33" t="str">
        <f t="shared" si="22"/>
        <v/>
      </c>
    </row>
    <row r="68" spans="2:17" x14ac:dyDescent="0.25">
      <c r="B68" s="9">
        <v>55</v>
      </c>
      <c r="C68" s="35">
        <v>8500</v>
      </c>
      <c r="D68" s="3"/>
      <c r="E68" s="9" t="str">
        <f t="shared" si="12"/>
        <v/>
      </c>
      <c r="F68" s="54" t="str">
        <f t="shared" si="13"/>
        <v/>
      </c>
      <c r="G68" s="73" t="str">
        <f t="shared" si="14"/>
        <v/>
      </c>
      <c r="H68" s="56" t="str">
        <f t="shared" si="15"/>
        <v/>
      </c>
      <c r="I68" s="57" t="str">
        <f t="shared" si="16"/>
        <v/>
      </c>
      <c r="J68" s="58" t="str">
        <f t="shared" si="17"/>
        <v/>
      </c>
      <c r="L68" s="31" t="str">
        <f t="shared" si="18"/>
        <v/>
      </c>
      <c r="M68" s="32" t="str">
        <f t="shared" si="11"/>
        <v/>
      </c>
      <c r="N68" s="32" t="str">
        <f t="shared" si="19"/>
        <v/>
      </c>
      <c r="O68" s="32" t="str">
        <f t="shared" si="20"/>
        <v/>
      </c>
      <c r="P68" s="32" t="str">
        <f t="shared" si="21"/>
        <v/>
      </c>
      <c r="Q68" s="33" t="str">
        <f t="shared" si="22"/>
        <v/>
      </c>
    </row>
    <row r="69" spans="2:17" x14ac:dyDescent="0.25">
      <c r="B69" s="9">
        <v>56</v>
      </c>
      <c r="C69" s="35">
        <v>9000</v>
      </c>
      <c r="D69" s="3"/>
      <c r="E69" s="9" t="str">
        <f t="shared" si="12"/>
        <v/>
      </c>
      <c r="F69" s="54" t="str">
        <f t="shared" si="13"/>
        <v/>
      </c>
      <c r="G69" s="73" t="str">
        <f t="shared" si="14"/>
        <v/>
      </c>
      <c r="H69" s="56" t="str">
        <f t="shared" si="15"/>
        <v/>
      </c>
      <c r="I69" s="57" t="str">
        <f t="shared" si="16"/>
        <v/>
      </c>
      <c r="J69" s="58" t="str">
        <f t="shared" si="17"/>
        <v/>
      </c>
      <c r="L69" s="31" t="str">
        <f t="shared" si="18"/>
        <v/>
      </c>
      <c r="M69" s="32" t="str">
        <f t="shared" si="11"/>
        <v/>
      </c>
      <c r="N69" s="32" t="str">
        <f t="shared" si="19"/>
        <v/>
      </c>
      <c r="O69" s="32" t="str">
        <f t="shared" si="20"/>
        <v/>
      </c>
      <c r="P69" s="32" t="str">
        <f t="shared" si="21"/>
        <v/>
      </c>
      <c r="Q69" s="33" t="str">
        <f t="shared" si="22"/>
        <v/>
      </c>
    </row>
    <row r="70" spans="2:17" x14ac:dyDescent="0.25">
      <c r="B70" s="9">
        <v>57</v>
      </c>
      <c r="C70" s="35">
        <v>9500</v>
      </c>
      <c r="D70" s="3"/>
      <c r="E70" s="9" t="str">
        <f t="shared" si="12"/>
        <v/>
      </c>
      <c r="F70" s="54" t="str">
        <f t="shared" si="13"/>
        <v/>
      </c>
      <c r="G70" s="73" t="str">
        <f t="shared" si="14"/>
        <v/>
      </c>
      <c r="H70" s="56" t="str">
        <f t="shared" si="15"/>
        <v/>
      </c>
      <c r="I70" s="57" t="str">
        <f t="shared" si="16"/>
        <v/>
      </c>
      <c r="J70" s="58" t="str">
        <f t="shared" si="17"/>
        <v/>
      </c>
      <c r="L70" s="31" t="str">
        <f t="shared" si="18"/>
        <v/>
      </c>
      <c r="M70" s="32" t="str">
        <f t="shared" si="11"/>
        <v/>
      </c>
      <c r="N70" s="32" t="str">
        <f t="shared" si="19"/>
        <v/>
      </c>
      <c r="O70" s="32" t="str">
        <f t="shared" si="20"/>
        <v/>
      </c>
      <c r="P70" s="32" t="str">
        <f t="shared" si="21"/>
        <v/>
      </c>
      <c r="Q70" s="33" t="str">
        <f t="shared" si="22"/>
        <v/>
      </c>
    </row>
    <row r="71" spans="2:17" x14ac:dyDescent="0.25">
      <c r="B71" s="9">
        <v>58</v>
      </c>
      <c r="C71" s="35">
        <v>10000</v>
      </c>
      <c r="D71" s="3"/>
      <c r="E71" s="9" t="str">
        <f t="shared" si="12"/>
        <v/>
      </c>
      <c r="F71" s="54" t="str">
        <f t="shared" si="13"/>
        <v/>
      </c>
      <c r="G71" s="73" t="str">
        <f t="shared" si="14"/>
        <v/>
      </c>
      <c r="H71" s="56" t="str">
        <f t="shared" si="15"/>
        <v/>
      </c>
      <c r="I71" s="57" t="str">
        <f t="shared" si="16"/>
        <v/>
      </c>
      <c r="J71" s="58" t="str">
        <f t="shared" si="17"/>
        <v/>
      </c>
      <c r="L71" s="31" t="str">
        <f t="shared" si="18"/>
        <v/>
      </c>
      <c r="M71" s="32" t="str">
        <f t="shared" si="11"/>
        <v/>
      </c>
      <c r="N71" s="32" t="str">
        <f t="shared" si="19"/>
        <v/>
      </c>
      <c r="O71" s="32" t="str">
        <f t="shared" si="20"/>
        <v/>
      </c>
      <c r="P71" s="32" t="str">
        <f t="shared" si="21"/>
        <v/>
      </c>
      <c r="Q71" s="33" t="str">
        <f t="shared" si="22"/>
        <v/>
      </c>
    </row>
    <row r="72" spans="2:17" x14ac:dyDescent="0.25">
      <c r="B72" s="9">
        <v>59</v>
      </c>
      <c r="C72" s="35">
        <v>10500</v>
      </c>
      <c r="D72" s="3"/>
      <c r="E72" s="9" t="str">
        <f t="shared" si="12"/>
        <v/>
      </c>
      <c r="F72" s="54" t="str">
        <f t="shared" si="13"/>
        <v/>
      </c>
      <c r="G72" s="73" t="str">
        <f t="shared" si="14"/>
        <v/>
      </c>
      <c r="H72" s="56" t="str">
        <f t="shared" si="15"/>
        <v/>
      </c>
      <c r="I72" s="57" t="str">
        <f t="shared" si="16"/>
        <v/>
      </c>
      <c r="J72" s="58" t="str">
        <f t="shared" si="17"/>
        <v/>
      </c>
      <c r="L72" s="31" t="str">
        <f t="shared" si="18"/>
        <v/>
      </c>
      <c r="M72" s="32" t="str">
        <f t="shared" si="11"/>
        <v/>
      </c>
      <c r="N72" s="32" t="str">
        <f t="shared" si="19"/>
        <v/>
      </c>
      <c r="O72" s="32" t="str">
        <f t="shared" si="20"/>
        <v/>
      </c>
      <c r="P72" s="32" t="str">
        <f t="shared" si="21"/>
        <v/>
      </c>
      <c r="Q72" s="33" t="str">
        <f t="shared" si="22"/>
        <v/>
      </c>
    </row>
    <row r="73" spans="2:17" x14ac:dyDescent="0.25">
      <c r="B73" s="9">
        <v>60</v>
      </c>
      <c r="C73" s="35">
        <v>11000</v>
      </c>
      <c r="D73" s="3"/>
      <c r="E73" s="9" t="str">
        <f t="shared" si="12"/>
        <v/>
      </c>
      <c r="F73" s="54" t="str">
        <f t="shared" si="13"/>
        <v/>
      </c>
      <c r="G73" s="73" t="str">
        <f t="shared" si="14"/>
        <v/>
      </c>
      <c r="H73" s="56" t="str">
        <f t="shared" si="15"/>
        <v/>
      </c>
      <c r="I73" s="57" t="str">
        <f t="shared" si="16"/>
        <v/>
      </c>
      <c r="J73" s="58" t="str">
        <f t="shared" si="17"/>
        <v/>
      </c>
      <c r="L73" s="31" t="str">
        <f t="shared" si="18"/>
        <v/>
      </c>
      <c r="M73" s="32" t="str">
        <f t="shared" si="11"/>
        <v/>
      </c>
      <c r="N73" s="32" t="str">
        <f t="shared" si="19"/>
        <v/>
      </c>
      <c r="O73" s="32" t="str">
        <f t="shared" si="20"/>
        <v/>
      </c>
      <c r="P73" s="32" t="str">
        <f t="shared" si="21"/>
        <v/>
      </c>
      <c r="Q73" s="33" t="str">
        <f t="shared" si="22"/>
        <v/>
      </c>
    </row>
    <row r="74" spans="2:17" x14ac:dyDescent="0.25">
      <c r="B74" s="9">
        <v>61</v>
      </c>
      <c r="C74" s="35">
        <v>11500</v>
      </c>
      <c r="D74" s="3"/>
      <c r="E74" s="9" t="str">
        <f t="shared" si="12"/>
        <v/>
      </c>
      <c r="F74" s="54" t="str">
        <f t="shared" si="13"/>
        <v/>
      </c>
      <c r="G74" s="73" t="str">
        <f t="shared" si="14"/>
        <v/>
      </c>
      <c r="H74" s="56" t="str">
        <f t="shared" si="15"/>
        <v/>
      </c>
      <c r="I74" s="57" t="str">
        <f t="shared" si="16"/>
        <v/>
      </c>
      <c r="J74" s="58" t="str">
        <f t="shared" si="17"/>
        <v/>
      </c>
      <c r="L74" s="31" t="str">
        <f t="shared" si="18"/>
        <v/>
      </c>
      <c r="M74" s="32" t="str">
        <f t="shared" si="11"/>
        <v/>
      </c>
      <c r="N74" s="32" t="str">
        <f t="shared" si="19"/>
        <v/>
      </c>
      <c r="O74" s="32" t="str">
        <f t="shared" si="20"/>
        <v/>
      </c>
      <c r="P74" s="32" t="str">
        <f t="shared" si="21"/>
        <v/>
      </c>
      <c r="Q74" s="33" t="str">
        <f t="shared" si="22"/>
        <v/>
      </c>
    </row>
    <row r="75" spans="2:17" x14ac:dyDescent="0.25">
      <c r="B75" s="9">
        <v>62</v>
      </c>
      <c r="C75" s="35">
        <v>12000</v>
      </c>
      <c r="D75" s="3"/>
      <c r="E75" s="9" t="str">
        <f t="shared" si="12"/>
        <v/>
      </c>
      <c r="F75" s="54" t="str">
        <f t="shared" si="13"/>
        <v/>
      </c>
      <c r="G75" s="73" t="str">
        <f t="shared" si="14"/>
        <v/>
      </c>
      <c r="H75" s="56" t="str">
        <f t="shared" si="15"/>
        <v/>
      </c>
      <c r="I75" s="57" t="str">
        <f t="shared" si="16"/>
        <v/>
      </c>
      <c r="J75" s="58" t="str">
        <f t="shared" si="17"/>
        <v/>
      </c>
      <c r="L75" s="31" t="str">
        <f t="shared" si="18"/>
        <v/>
      </c>
      <c r="M75" s="32" t="str">
        <f t="shared" si="11"/>
        <v/>
      </c>
      <c r="N75" s="32" t="str">
        <f t="shared" si="19"/>
        <v/>
      </c>
      <c r="O75" s="32" t="str">
        <f t="shared" si="20"/>
        <v/>
      </c>
      <c r="P75" s="32" t="str">
        <f t="shared" si="21"/>
        <v/>
      </c>
      <c r="Q75" s="33" t="str">
        <f t="shared" si="22"/>
        <v/>
      </c>
    </row>
    <row r="76" spans="2:17" x14ac:dyDescent="0.25">
      <c r="B76" s="9">
        <v>63</v>
      </c>
      <c r="C76" s="35">
        <v>12500</v>
      </c>
      <c r="D76" s="3"/>
      <c r="E76" s="9" t="str">
        <f t="shared" si="12"/>
        <v/>
      </c>
      <c r="F76" s="54" t="str">
        <f t="shared" si="13"/>
        <v/>
      </c>
      <c r="G76" s="73" t="str">
        <f t="shared" si="14"/>
        <v/>
      </c>
      <c r="H76" s="56" t="str">
        <f t="shared" si="15"/>
        <v/>
      </c>
      <c r="I76" s="57" t="str">
        <f t="shared" si="16"/>
        <v/>
      </c>
      <c r="J76" s="58" t="str">
        <f t="shared" si="17"/>
        <v/>
      </c>
      <c r="L76" s="31" t="str">
        <f t="shared" si="18"/>
        <v/>
      </c>
      <c r="M76" s="32" t="str">
        <f t="shared" si="11"/>
        <v/>
      </c>
      <c r="N76" s="32" t="str">
        <f t="shared" si="19"/>
        <v/>
      </c>
      <c r="O76" s="32" t="str">
        <f t="shared" si="20"/>
        <v/>
      </c>
      <c r="P76" s="32" t="str">
        <f t="shared" si="21"/>
        <v/>
      </c>
      <c r="Q76" s="33" t="str">
        <f t="shared" si="22"/>
        <v/>
      </c>
    </row>
    <row r="77" spans="2:17" x14ac:dyDescent="0.25">
      <c r="B77" s="9">
        <v>64</v>
      </c>
      <c r="C77" s="35">
        <v>13000</v>
      </c>
      <c r="D77" s="3"/>
      <c r="E77" s="9" t="str">
        <f t="shared" si="12"/>
        <v/>
      </c>
      <c r="F77" s="54" t="str">
        <f t="shared" si="13"/>
        <v/>
      </c>
      <c r="G77" s="73" t="str">
        <f t="shared" si="14"/>
        <v/>
      </c>
      <c r="H77" s="56" t="str">
        <f t="shared" si="15"/>
        <v/>
      </c>
      <c r="I77" s="57" t="str">
        <f t="shared" si="16"/>
        <v/>
      </c>
      <c r="J77" s="58" t="str">
        <f t="shared" si="17"/>
        <v/>
      </c>
      <c r="L77" s="31" t="str">
        <f t="shared" si="18"/>
        <v/>
      </c>
      <c r="M77" s="32" t="str">
        <f t="shared" si="11"/>
        <v/>
      </c>
      <c r="N77" s="32" t="str">
        <f t="shared" si="19"/>
        <v/>
      </c>
      <c r="O77" s="32" t="str">
        <f t="shared" si="20"/>
        <v/>
      </c>
      <c r="P77" s="32" t="str">
        <f t="shared" si="21"/>
        <v/>
      </c>
      <c r="Q77" s="33" t="str">
        <f t="shared" si="22"/>
        <v/>
      </c>
    </row>
    <row r="78" spans="2:17" x14ac:dyDescent="0.25">
      <c r="B78" s="9">
        <v>65</v>
      </c>
      <c r="C78" s="35">
        <v>13500</v>
      </c>
      <c r="D78" s="3"/>
      <c r="E78" s="9" t="str">
        <f t="shared" ref="E78:E109" si="23">IF(L78="","",ROUND(12*C$7/(2*H$7^2+2*H$6*H$7-H$6^2)*L78*1000000,0))</f>
        <v/>
      </c>
      <c r="F78" s="54" t="str">
        <f t="shared" ref="F78:F109" si="24">IF(L78="","",ABS(ROUND(12*C$7/(2*(H$7/1000)^2+2*(H$6/1000)*(H$7/1000)-(H$6/1000)^2)*(M78-M$14)*1,0)))</f>
        <v/>
      </c>
      <c r="G78" s="73" t="str">
        <f t="shared" ref="G78:G109" si="25">IF(L78="","",ROUND(1.5*((N78-O78)*1000*H$7)/(C$6*C$7^2),3))</f>
        <v/>
      </c>
      <c r="H78" s="56" t="str">
        <f t="shared" ref="H78:H109" si="26">IF(L78="","",ROUND(1.5*((N78/2-O78)*1000*H$7)/(C$6*C$7^2),3))</f>
        <v/>
      </c>
      <c r="I78" s="57" t="str">
        <f t="shared" ref="I78:I109" si="27">IF(L78="","",IF(P78&lt;=0,"foute meting",ROUND(0.000001*V$4*SQRT((1000000*Q78)^2+(1000000*P78+V$5*(2*PI()*H$5)^2)^2),0)))</f>
        <v/>
      </c>
      <c r="J78" s="58" t="str">
        <f t="shared" ref="J78:J109" si="28">IF(L78="","",ROUND(ATAN(Q78/P78)/PI()*180,1))</f>
        <v/>
      </c>
      <c r="L78" s="31" t="str">
        <f t="shared" ref="L78:L109" si="29">IF(AG80&lt;=0,"",AG80)</f>
        <v/>
      </c>
      <c r="M78" s="32" t="str">
        <f t="shared" si="11"/>
        <v/>
      </c>
      <c r="N78" s="32" t="str">
        <f t="shared" ref="N78:N109" si="30">IF(AI80="","",AI80)</f>
        <v/>
      </c>
      <c r="O78" s="32" t="str">
        <f t="shared" ref="O78:O109" si="31">IF(AH80="","",AH80)</f>
        <v/>
      </c>
      <c r="P78" s="32" t="str">
        <f t="shared" ref="P78:P109" si="32">IF(AJ80="","",AJ80)</f>
        <v/>
      </c>
      <c r="Q78" s="33" t="str">
        <f t="shared" ref="Q78:Q109" si="33">IF(AK80="","",AK80)</f>
        <v/>
      </c>
    </row>
    <row r="79" spans="2:17" x14ac:dyDescent="0.25">
      <c r="B79" s="9">
        <v>66</v>
      </c>
      <c r="C79" s="35">
        <v>14000</v>
      </c>
      <c r="D79" s="3"/>
      <c r="E79" s="9" t="str">
        <f t="shared" si="23"/>
        <v/>
      </c>
      <c r="F79" s="54" t="str">
        <f t="shared" si="24"/>
        <v/>
      </c>
      <c r="G79" s="73" t="str">
        <f t="shared" si="25"/>
        <v/>
      </c>
      <c r="H79" s="56" t="str">
        <f t="shared" si="26"/>
        <v/>
      </c>
      <c r="I79" s="57" t="str">
        <f t="shared" si="27"/>
        <v/>
      </c>
      <c r="J79" s="58" t="str">
        <f t="shared" si="28"/>
        <v/>
      </c>
      <c r="L79" s="31" t="str">
        <f t="shared" si="29"/>
        <v/>
      </c>
      <c r="M79" s="32" t="str">
        <f t="shared" ref="M79:M142" si="34">IF(AG81="","",AG81/2-AE81)</f>
        <v/>
      </c>
      <c r="N79" s="32" t="str">
        <f t="shared" si="30"/>
        <v/>
      </c>
      <c r="O79" s="32" t="str">
        <f t="shared" si="31"/>
        <v/>
      </c>
      <c r="P79" s="32" t="str">
        <f t="shared" si="32"/>
        <v/>
      </c>
      <c r="Q79" s="33" t="str">
        <f t="shared" si="33"/>
        <v/>
      </c>
    </row>
    <row r="80" spans="2:17" x14ac:dyDescent="0.25">
      <c r="B80" s="9">
        <v>67</v>
      </c>
      <c r="C80" s="35">
        <v>14500</v>
      </c>
      <c r="D80" s="3"/>
      <c r="E80" s="9" t="str">
        <f t="shared" si="23"/>
        <v/>
      </c>
      <c r="F80" s="54" t="str">
        <f t="shared" si="24"/>
        <v/>
      </c>
      <c r="G80" s="73" t="str">
        <f t="shared" si="25"/>
        <v/>
      </c>
      <c r="H80" s="56" t="str">
        <f t="shared" si="26"/>
        <v/>
      </c>
      <c r="I80" s="57" t="str">
        <f t="shared" si="27"/>
        <v/>
      </c>
      <c r="J80" s="58" t="str">
        <f t="shared" si="28"/>
        <v/>
      </c>
      <c r="L80" s="31" t="str">
        <f t="shared" si="29"/>
        <v/>
      </c>
      <c r="M80" s="32" t="str">
        <f t="shared" si="34"/>
        <v/>
      </c>
      <c r="N80" s="32" t="str">
        <f t="shared" si="30"/>
        <v/>
      </c>
      <c r="O80" s="32" t="str">
        <f t="shared" si="31"/>
        <v/>
      </c>
      <c r="P80" s="32" t="str">
        <f t="shared" si="32"/>
        <v/>
      </c>
      <c r="Q80" s="33" t="str">
        <f t="shared" si="33"/>
        <v/>
      </c>
    </row>
    <row r="81" spans="2:17" x14ac:dyDescent="0.25">
      <c r="B81" s="9">
        <v>68</v>
      </c>
      <c r="C81" s="35">
        <v>15000</v>
      </c>
      <c r="D81" s="3"/>
      <c r="E81" s="9" t="str">
        <f t="shared" si="23"/>
        <v/>
      </c>
      <c r="F81" s="54" t="str">
        <f t="shared" si="24"/>
        <v/>
      </c>
      <c r="G81" s="73" t="str">
        <f t="shared" si="25"/>
        <v/>
      </c>
      <c r="H81" s="56" t="str">
        <f t="shared" si="26"/>
        <v/>
      </c>
      <c r="I81" s="57" t="str">
        <f t="shared" si="27"/>
        <v/>
      </c>
      <c r="J81" s="58" t="str">
        <f t="shared" si="28"/>
        <v/>
      </c>
      <c r="L81" s="31" t="str">
        <f t="shared" si="29"/>
        <v/>
      </c>
      <c r="M81" s="32" t="str">
        <f t="shared" si="34"/>
        <v/>
      </c>
      <c r="N81" s="32" t="str">
        <f t="shared" si="30"/>
        <v/>
      </c>
      <c r="O81" s="32" t="str">
        <f t="shared" si="31"/>
        <v/>
      </c>
      <c r="P81" s="32" t="str">
        <f t="shared" si="32"/>
        <v/>
      </c>
      <c r="Q81" s="33" t="str">
        <f t="shared" si="33"/>
        <v/>
      </c>
    </row>
    <row r="82" spans="2:17" x14ac:dyDescent="0.25">
      <c r="B82" s="9">
        <v>69</v>
      </c>
      <c r="C82" s="35">
        <v>15500</v>
      </c>
      <c r="D82" s="3"/>
      <c r="E82" s="9" t="str">
        <f t="shared" si="23"/>
        <v/>
      </c>
      <c r="F82" s="54" t="str">
        <f t="shared" si="24"/>
        <v/>
      </c>
      <c r="G82" s="73" t="str">
        <f t="shared" si="25"/>
        <v/>
      </c>
      <c r="H82" s="56" t="str">
        <f t="shared" si="26"/>
        <v/>
      </c>
      <c r="I82" s="57" t="str">
        <f t="shared" si="27"/>
        <v/>
      </c>
      <c r="J82" s="58" t="str">
        <f t="shared" si="28"/>
        <v/>
      </c>
      <c r="L82" s="31" t="str">
        <f t="shared" si="29"/>
        <v/>
      </c>
      <c r="M82" s="32" t="str">
        <f t="shared" si="34"/>
        <v/>
      </c>
      <c r="N82" s="32" t="str">
        <f t="shared" si="30"/>
        <v/>
      </c>
      <c r="O82" s="32" t="str">
        <f t="shared" si="31"/>
        <v/>
      </c>
      <c r="P82" s="32" t="str">
        <f t="shared" si="32"/>
        <v/>
      </c>
      <c r="Q82" s="33" t="str">
        <f t="shared" si="33"/>
        <v/>
      </c>
    </row>
    <row r="83" spans="2:17" x14ac:dyDescent="0.25">
      <c r="B83" s="9">
        <v>70</v>
      </c>
      <c r="C83" s="35">
        <v>16000</v>
      </c>
      <c r="D83" s="3"/>
      <c r="E83" s="9" t="str">
        <f t="shared" si="23"/>
        <v/>
      </c>
      <c r="F83" s="54" t="str">
        <f t="shared" si="24"/>
        <v/>
      </c>
      <c r="G83" s="73" t="str">
        <f t="shared" si="25"/>
        <v/>
      </c>
      <c r="H83" s="56" t="str">
        <f t="shared" si="26"/>
        <v/>
      </c>
      <c r="I83" s="57" t="str">
        <f t="shared" si="27"/>
        <v/>
      </c>
      <c r="J83" s="58" t="str">
        <f t="shared" si="28"/>
        <v/>
      </c>
      <c r="L83" s="31" t="str">
        <f t="shared" si="29"/>
        <v/>
      </c>
      <c r="M83" s="32" t="str">
        <f t="shared" si="34"/>
        <v/>
      </c>
      <c r="N83" s="32" t="str">
        <f t="shared" si="30"/>
        <v/>
      </c>
      <c r="O83" s="32" t="str">
        <f t="shared" si="31"/>
        <v/>
      </c>
      <c r="P83" s="32" t="str">
        <f t="shared" si="32"/>
        <v/>
      </c>
      <c r="Q83" s="33" t="str">
        <f t="shared" si="33"/>
        <v/>
      </c>
    </row>
    <row r="84" spans="2:17" x14ac:dyDescent="0.25">
      <c r="B84" s="9">
        <v>71</v>
      </c>
      <c r="C84" s="35">
        <v>16500</v>
      </c>
      <c r="D84" s="3"/>
      <c r="E84" s="9" t="str">
        <f t="shared" si="23"/>
        <v/>
      </c>
      <c r="F84" s="54" t="str">
        <f t="shared" si="24"/>
        <v/>
      </c>
      <c r="G84" s="73" t="str">
        <f t="shared" si="25"/>
        <v/>
      </c>
      <c r="H84" s="56" t="str">
        <f t="shared" si="26"/>
        <v/>
      </c>
      <c r="I84" s="57" t="str">
        <f t="shared" si="27"/>
        <v/>
      </c>
      <c r="J84" s="58" t="str">
        <f t="shared" si="28"/>
        <v/>
      </c>
      <c r="L84" s="31" t="str">
        <f t="shared" si="29"/>
        <v/>
      </c>
      <c r="M84" s="32" t="str">
        <f t="shared" si="34"/>
        <v/>
      </c>
      <c r="N84" s="32" t="str">
        <f t="shared" si="30"/>
        <v/>
      </c>
      <c r="O84" s="32" t="str">
        <f t="shared" si="31"/>
        <v/>
      </c>
      <c r="P84" s="32" t="str">
        <f t="shared" si="32"/>
        <v/>
      </c>
      <c r="Q84" s="33" t="str">
        <f t="shared" si="33"/>
        <v/>
      </c>
    </row>
    <row r="85" spans="2:17" x14ac:dyDescent="0.25">
      <c r="B85" s="9">
        <v>72</v>
      </c>
      <c r="C85" s="35">
        <v>17000</v>
      </c>
      <c r="D85" s="3"/>
      <c r="E85" s="9" t="str">
        <f t="shared" si="23"/>
        <v/>
      </c>
      <c r="F85" s="54" t="str">
        <f t="shared" si="24"/>
        <v/>
      </c>
      <c r="G85" s="73" t="str">
        <f t="shared" si="25"/>
        <v/>
      </c>
      <c r="H85" s="56" t="str">
        <f t="shared" si="26"/>
        <v/>
      </c>
      <c r="I85" s="57" t="str">
        <f t="shared" si="27"/>
        <v/>
      </c>
      <c r="J85" s="58" t="str">
        <f t="shared" si="28"/>
        <v/>
      </c>
      <c r="L85" s="31" t="str">
        <f t="shared" si="29"/>
        <v/>
      </c>
      <c r="M85" s="32" t="str">
        <f t="shared" si="34"/>
        <v/>
      </c>
      <c r="N85" s="32" t="str">
        <f t="shared" si="30"/>
        <v/>
      </c>
      <c r="O85" s="32" t="str">
        <f t="shared" si="31"/>
        <v/>
      </c>
      <c r="P85" s="32" t="str">
        <f t="shared" si="32"/>
        <v/>
      </c>
      <c r="Q85" s="33" t="str">
        <f t="shared" si="33"/>
        <v/>
      </c>
    </row>
    <row r="86" spans="2:17" x14ac:dyDescent="0.25">
      <c r="B86" s="9">
        <v>73</v>
      </c>
      <c r="C86" s="35">
        <v>17500</v>
      </c>
      <c r="D86" s="3"/>
      <c r="E86" s="9" t="str">
        <f t="shared" si="23"/>
        <v/>
      </c>
      <c r="F86" s="54" t="str">
        <f t="shared" si="24"/>
        <v/>
      </c>
      <c r="G86" s="73" t="str">
        <f t="shared" si="25"/>
        <v/>
      </c>
      <c r="H86" s="56" t="str">
        <f t="shared" si="26"/>
        <v/>
      </c>
      <c r="I86" s="57" t="str">
        <f t="shared" si="27"/>
        <v/>
      </c>
      <c r="J86" s="58" t="str">
        <f t="shared" si="28"/>
        <v/>
      </c>
      <c r="L86" s="31" t="str">
        <f t="shared" si="29"/>
        <v/>
      </c>
      <c r="M86" s="32" t="str">
        <f t="shared" si="34"/>
        <v/>
      </c>
      <c r="N86" s="32" t="str">
        <f t="shared" si="30"/>
        <v/>
      </c>
      <c r="O86" s="32" t="str">
        <f t="shared" si="31"/>
        <v/>
      </c>
      <c r="P86" s="32" t="str">
        <f t="shared" si="32"/>
        <v/>
      </c>
      <c r="Q86" s="33" t="str">
        <f t="shared" si="33"/>
        <v/>
      </c>
    </row>
    <row r="87" spans="2:17" x14ac:dyDescent="0.25">
      <c r="B87" s="9">
        <v>74</v>
      </c>
      <c r="C87" s="35">
        <v>18000</v>
      </c>
      <c r="D87" s="3"/>
      <c r="E87" s="9" t="str">
        <f t="shared" si="23"/>
        <v/>
      </c>
      <c r="F87" s="54" t="str">
        <f t="shared" si="24"/>
        <v/>
      </c>
      <c r="G87" s="73" t="str">
        <f t="shared" si="25"/>
        <v/>
      </c>
      <c r="H87" s="56" t="str">
        <f t="shared" si="26"/>
        <v/>
      </c>
      <c r="I87" s="57" t="str">
        <f t="shared" si="27"/>
        <v/>
      </c>
      <c r="J87" s="58" t="str">
        <f t="shared" si="28"/>
        <v/>
      </c>
      <c r="L87" s="31" t="str">
        <f t="shared" si="29"/>
        <v/>
      </c>
      <c r="M87" s="32" t="str">
        <f t="shared" si="34"/>
        <v/>
      </c>
      <c r="N87" s="32" t="str">
        <f t="shared" si="30"/>
        <v/>
      </c>
      <c r="O87" s="32" t="str">
        <f t="shared" si="31"/>
        <v/>
      </c>
      <c r="P87" s="32" t="str">
        <f t="shared" si="32"/>
        <v/>
      </c>
      <c r="Q87" s="33" t="str">
        <f t="shared" si="33"/>
        <v/>
      </c>
    </row>
    <row r="88" spans="2:17" x14ac:dyDescent="0.25">
      <c r="B88" s="9">
        <v>75</v>
      </c>
      <c r="C88" s="35">
        <v>18500</v>
      </c>
      <c r="D88" s="3"/>
      <c r="E88" s="9" t="str">
        <f t="shared" si="23"/>
        <v/>
      </c>
      <c r="F88" s="54" t="str">
        <f t="shared" si="24"/>
        <v/>
      </c>
      <c r="G88" s="73" t="str">
        <f t="shared" si="25"/>
        <v/>
      </c>
      <c r="H88" s="56" t="str">
        <f t="shared" si="26"/>
        <v/>
      </c>
      <c r="I88" s="57" t="str">
        <f t="shared" si="27"/>
        <v/>
      </c>
      <c r="J88" s="58" t="str">
        <f t="shared" si="28"/>
        <v/>
      </c>
      <c r="L88" s="31" t="str">
        <f t="shared" si="29"/>
        <v/>
      </c>
      <c r="M88" s="32" t="str">
        <f t="shared" si="34"/>
        <v/>
      </c>
      <c r="N88" s="32" t="str">
        <f t="shared" si="30"/>
        <v/>
      </c>
      <c r="O88" s="32" t="str">
        <f t="shared" si="31"/>
        <v/>
      </c>
      <c r="P88" s="32" t="str">
        <f t="shared" si="32"/>
        <v/>
      </c>
      <c r="Q88" s="33" t="str">
        <f t="shared" si="33"/>
        <v/>
      </c>
    </row>
    <row r="89" spans="2:17" x14ac:dyDescent="0.25">
      <c r="B89" s="9">
        <v>76</v>
      </c>
      <c r="C89" s="35">
        <v>19000</v>
      </c>
      <c r="D89" s="3"/>
      <c r="E89" s="9" t="str">
        <f t="shared" si="23"/>
        <v/>
      </c>
      <c r="F89" s="54" t="str">
        <f t="shared" si="24"/>
        <v/>
      </c>
      <c r="G89" s="73" t="str">
        <f t="shared" si="25"/>
        <v/>
      </c>
      <c r="H89" s="56" t="str">
        <f t="shared" si="26"/>
        <v/>
      </c>
      <c r="I89" s="57" t="str">
        <f t="shared" si="27"/>
        <v/>
      </c>
      <c r="J89" s="58" t="str">
        <f t="shared" si="28"/>
        <v/>
      </c>
      <c r="L89" s="31" t="str">
        <f t="shared" si="29"/>
        <v/>
      </c>
      <c r="M89" s="32" t="str">
        <f t="shared" si="34"/>
        <v/>
      </c>
      <c r="N89" s="32" t="str">
        <f t="shared" si="30"/>
        <v/>
      </c>
      <c r="O89" s="32" t="str">
        <f t="shared" si="31"/>
        <v/>
      </c>
      <c r="P89" s="32" t="str">
        <f t="shared" si="32"/>
        <v/>
      </c>
      <c r="Q89" s="33" t="str">
        <f t="shared" si="33"/>
        <v/>
      </c>
    </row>
    <row r="90" spans="2:17" x14ac:dyDescent="0.25">
      <c r="B90" s="9">
        <v>77</v>
      </c>
      <c r="C90" s="35">
        <v>19500</v>
      </c>
      <c r="D90" s="3"/>
      <c r="E90" s="9" t="str">
        <f t="shared" si="23"/>
        <v/>
      </c>
      <c r="F90" s="54" t="str">
        <f t="shared" si="24"/>
        <v/>
      </c>
      <c r="G90" s="73" t="str">
        <f t="shared" si="25"/>
        <v/>
      </c>
      <c r="H90" s="56" t="str">
        <f t="shared" si="26"/>
        <v/>
      </c>
      <c r="I90" s="57" t="str">
        <f t="shared" si="27"/>
        <v/>
      </c>
      <c r="J90" s="58" t="str">
        <f t="shared" si="28"/>
        <v/>
      </c>
      <c r="L90" s="31" t="str">
        <f t="shared" si="29"/>
        <v/>
      </c>
      <c r="M90" s="32" t="str">
        <f t="shared" si="34"/>
        <v/>
      </c>
      <c r="N90" s="32" t="str">
        <f t="shared" si="30"/>
        <v/>
      </c>
      <c r="O90" s="32" t="str">
        <f t="shared" si="31"/>
        <v/>
      </c>
      <c r="P90" s="32" t="str">
        <f t="shared" si="32"/>
        <v/>
      </c>
      <c r="Q90" s="33" t="str">
        <f t="shared" si="33"/>
        <v/>
      </c>
    </row>
    <row r="91" spans="2:17" x14ac:dyDescent="0.25">
      <c r="B91" s="9">
        <v>78</v>
      </c>
      <c r="C91" s="35">
        <v>20000</v>
      </c>
      <c r="D91" s="3"/>
      <c r="E91" s="9" t="str">
        <f t="shared" si="23"/>
        <v/>
      </c>
      <c r="F91" s="54" t="str">
        <f t="shared" si="24"/>
        <v/>
      </c>
      <c r="G91" s="73" t="str">
        <f t="shared" si="25"/>
        <v/>
      </c>
      <c r="H91" s="56" t="str">
        <f t="shared" si="26"/>
        <v/>
      </c>
      <c r="I91" s="57" t="str">
        <f t="shared" si="27"/>
        <v/>
      </c>
      <c r="J91" s="58" t="str">
        <f t="shared" si="28"/>
        <v/>
      </c>
      <c r="L91" s="31" t="str">
        <f t="shared" si="29"/>
        <v/>
      </c>
      <c r="M91" s="32" t="str">
        <f t="shared" si="34"/>
        <v/>
      </c>
      <c r="N91" s="32" t="str">
        <f t="shared" si="30"/>
        <v/>
      </c>
      <c r="O91" s="32" t="str">
        <f t="shared" si="31"/>
        <v/>
      </c>
      <c r="P91" s="32" t="str">
        <f t="shared" si="32"/>
        <v/>
      </c>
      <c r="Q91" s="33" t="str">
        <f t="shared" si="33"/>
        <v/>
      </c>
    </row>
    <row r="92" spans="2:17" x14ac:dyDescent="0.25">
      <c r="B92" s="9">
        <v>79</v>
      </c>
      <c r="C92" s="35">
        <v>20500</v>
      </c>
      <c r="D92" s="3"/>
      <c r="E92" s="9" t="str">
        <f t="shared" si="23"/>
        <v/>
      </c>
      <c r="F92" s="54" t="str">
        <f t="shared" si="24"/>
        <v/>
      </c>
      <c r="G92" s="73" t="str">
        <f t="shared" si="25"/>
        <v/>
      </c>
      <c r="H92" s="56" t="str">
        <f t="shared" si="26"/>
        <v/>
      </c>
      <c r="I92" s="57" t="str">
        <f t="shared" si="27"/>
        <v/>
      </c>
      <c r="J92" s="58" t="str">
        <f t="shared" si="28"/>
        <v/>
      </c>
      <c r="L92" s="31" t="str">
        <f t="shared" si="29"/>
        <v/>
      </c>
      <c r="M92" s="32" t="str">
        <f t="shared" si="34"/>
        <v/>
      </c>
      <c r="N92" s="32" t="str">
        <f t="shared" si="30"/>
        <v/>
      </c>
      <c r="O92" s="32" t="str">
        <f t="shared" si="31"/>
        <v/>
      </c>
      <c r="P92" s="32" t="str">
        <f t="shared" si="32"/>
        <v/>
      </c>
      <c r="Q92" s="33" t="str">
        <f t="shared" si="33"/>
        <v/>
      </c>
    </row>
    <row r="93" spans="2:17" x14ac:dyDescent="0.25">
      <c r="B93" s="9">
        <v>80</v>
      </c>
      <c r="C93" s="35">
        <v>21000</v>
      </c>
      <c r="D93" s="3"/>
      <c r="E93" s="9" t="str">
        <f t="shared" si="23"/>
        <v/>
      </c>
      <c r="F93" s="54" t="str">
        <f t="shared" si="24"/>
        <v/>
      </c>
      <c r="G93" s="73" t="str">
        <f t="shared" si="25"/>
        <v/>
      </c>
      <c r="H93" s="56" t="str">
        <f t="shared" si="26"/>
        <v/>
      </c>
      <c r="I93" s="57" t="str">
        <f t="shared" si="27"/>
        <v/>
      </c>
      <c r="J93" s="58" t="str">
        <f t="shared" si="28"/>
        <v/>
      </c>
      <c r="L93" s="31" t="str">
        <f t="shared" si="29"/>
        <v/>
      </c>
      <c r="M93" s="32" t="str">
        <f t="shared" si="34"/>
        <v/>
      </c>
      <c r="N93" s="32" t="str">
        <f t="shared" si="30"/>
        <v/>
      </c>
      <c r="O93" s="32" t="str">
        <f t="shared" si="31"/>
        <v/>
      </c>
      <c r="P93" s="32" t="str">
        <f t="shared" si="32"/>
        <v/>
      </c>
      <c r="Q93" s="33" t="str">
        <f t="shared" si="33"/>
        <v/>
      </c>
    </row>
    <row r="94" spans="2:17" x14ac:dyDescent="0.25">
      <c r="B94" s="9">
        <v>81</v>
      </c>
      <c r="C94" s="35">
        <v>21500</v>
      </c>
      <c r="D94" s="3"/>
      <c r="E94" s="9" t="str">
        <f t="shared" si="23"/>
        <v/>
      </c>
      <c r="F94" s="54" t="str">
        <f t="shared" si="24"/>
        <v/>
      </c>
      <c r="G94" s="73" t="str">
        <f t="shared" si="25"/>
        <v/>
      </c>
      <c r="H94" s="56" t="str">
        <f t="shared" si="26"/>
        <v/>
      </c>
      <c r="I94" s="57" t="str">
        <f t="shared" si="27"/>
        <v/>
      </c>
      <c r="J94" s="58" t="str">
        <f t="shared" si="28"/>
        <v/>
      </c>
      <c r="L94" s="31" t="str">
        <f t="shared" si="29"/>
        <v/>
      </c>
      <c r="M94" s="32" t="str">
        <f t="shared" si="34"/>
        <v/>
      </c>
      <c r="N94" s="32" t="str">
        <f t="shared" si="30"/>
        <v/>
      </c>
      <c r="O94" s="32" t="str">
        <f t="shared" si="31"/>
        <v/>
      </c>
      <c r="P94" s="32" t="str">
        <f t="shared" si="32"/>
        <v/>
      </c>
      <c r="Q94" s="33" t="str">
        <f t="shared" si="33"/>
        <v/>
      </c>
    </row>
    <row r="95" spans="2:17" x14ac:dyDescent="0.25">
      <c r="B95" s="9">
        <v>82</v>
      </c>
      <c r="C95" s="35">
        <v>22000</v>
      </c>
      <c r="D95" s="3"/>
      <c r="E95" s="9" t="str">
        <f t="shared" si="23"/>
        <v/>
      </c>
      <c r="F95" s="54" t="str">
        <f t="shared" si="24"/>
        <v/>
      </c>
      <c r="G95" s="73" t="str">
        <f t="shared" si="25"/>
        <v/>
      </c>
      <c r="H95" s="56" t="str">
        <f t="shared" si="26"/>
        <v/>
      </c>
      <c r="I95" s="57" t="str">
        <f t="shared" si="27"/>
        <v/>
      </c>
      <c r="J95" s="58" t="str">
        <f t="shared" si="28"/>
        <v/>
      </c>
      <c r="L95" s="31" t="str">
        <f t="shared" si="29"/>
        <v/>
      </c>
      <c r="M95" s="32" t="str">
        <f t="shared" si="34"/>
        <v/>
      </c>
      <c r="N95" s="32" t="str">
        <f t="shared" si="30"/>
        <v/>
      </c>
      <c r="O95" s="32" t="str">
        <f t="shared" si="31"/>
        <v/>
      </c>
      <c r="P95" s="32" t="str">
        <f t="shared" si="32"/>
        <v/>
      </c>
      <c r="Q95" s="33" t="str">
        <f t="shared" si="33"/>
        <v/>
      </c>
    </row>
    <row r="96" spans="2:17" x14ac:dyDescent="0.25">
      <c r="B96" s="9">
        <v>83</v>
      </c>
      <c r="C96" s="35">
        <v>22500</v>
      </c>
      <c r="D96" s="3"/>
      <c r="E96" s="9" t="str">
        <f t="shared" si="23"/>
        <v/>
      </c>
      <c r="F96" s="54" t="str">
        <f t="shared" si="24"/>
        <v/>
      </c>
      <c r="G96" s="73" t="str">
        <f t="shared" si="25"/>
        <v/>
      </c>
      <c r="H96" s="56" t="str">
        <f t="shared" si="26"/>
        <v/>
      </c>
      <c r="I96" s="57" t="str">
        <f t="shared" si="27"/>
        <v/>
      </c>
      <c r="J96" s="58" t="str">
        <f t="shared" si="28"/>
        <v/>
      </c>
      <c r="L96" s="31" t="str">
        <f t="shared" si="29"/>
        <v/>
      </c>
      <c r="M96" s="32" t="str">
        <f t="shared" si="34"/>
        <v/>
      </c>
      <c r="N96" s="32" t="str">
        <f t="shared" si="30"/>
        <v/>
      </c>
      <c r="O96" s="32" t="str">
        <f t="shared" si="31"/>
        <v/>
      </c>
      <c r="P96" s="32" t="str">
        <f t="shared" si="32"/>
        <v/>
      </c>
      <c r="Q96" s="33" t="str">
        <f t="shared" si="33"/>
        <v/>
      </c>
    </row>
    <row r="97" spans="2:17" x14ac:dyDescent="0.25">
      <c r="B97" s="9">
        <v>84</v>
      </c>
      <c r="C97" s="35">
        <v>23000</v>
      </c>
      <c r="D97" s="3"/>
      <c r="E97" s="9" t="str">
        <f t="shared" si="23"/>
        <v/>
      </c>
      <c r="F97" s="54" t="str">
        <f t="shared" si="24"/>
        <v/>
      </c>
      <c r="G97" s="73" t="str">
        <f t="shared" si="25"/>
        <v/>
      </c>
      <c r="H97" s="56" t="str">
        <f t="shared" si="26"/>
        <v/>
      </c>
      <c r="I97" s="57" t="str">
        <f t="shared" si="27"/>
        <v/>
      </c>
      <c r="J97" s="58" t="str">
        <f t="shared" si="28"/>
        <v/>
      </c>
      <c r="L97" s="31" t="str">
        <f t="shared" si="29"/>
        <v/>
      </c>
      <c r="M97" s="32" t="str">
        <f t="shared" si="34"/>
        <v/>
      </c>
      <c r="N97" s="32" t="str">
        <f t="shared" si="30"/>
        <v/>
      </c>
      <c r="O97" s="32" t="str">
        <f t="shared" si="31"/>
        <v/>
      </c>
      <c r="P97" s="32" t="str">
        <f t="shared" si="32"/>
        <v/>
      </c>
      <c r="Q97" s="33" t="str">
        <f t="shared" si="33"/>
        <v/>
      </c>
    </row>
    <row r="98" spans="2:17" x14ac:dyDescent="0.25">
      <c r="B98" s="9">
        <v>85</v>
      </c>
      <c r="C98" s="35">
        <v>23500</v>
      </c>
      <c r="D98" s="3"/>
      <c r="E98" s="9" t="str">
        <f t="shared" si="23"/>
        <v/>
      </c>
      <c r="F98" s="54" t="str">
        <f t="shared" si="24"/>
        <v/>
      </c>
      <c r="G98" s="73" t="str">
        <f t="shared" si="25"/>
        <v/>
      </c>
      <c r="H98" s="56" t="str">
        <f t="shared" si="26"/>
        <v/>
      </c>
      <c r="I98" s="57" t="str">
        <f t="shared" si="27"/>
        <v/>
      </c>
      <c r="J98" s="58" t="str">
        <f t="shared" si="28"/>
        <v/>
      </c>
      <c r="L98" s="31" t="str">
        <f t="shared" si="29"/>
        <v/>
      </c>
      <c r="M98" s="32" t="str">
        <f t="shared" si="34"/>
        <v/>
      </c>
      <c r="N98" s="32" t="str">
        <f t="shared" si="30"/>
        <v/>
      </c>
      <c r="O98" s="32" t="str">
        <f t="shared" si="31"/>
        <v/>
      </c>
      <c r="P98" s="32" t="str">
        <f t="shared" si="32"/>
        <v/>
      </c>
      <c r="Q98" s="33" t="str">
        <f t="shared" si="33"/>
        <v/>
      </c>
    </row>
    <row r="99" spans="2:17" x14ac:dyDescent="0.25">
      <c r="B99" s="9">
        <v>86</v>
      </c>
      <c r="C99" s="35">
        <v>24000</v>
      </c>
      <c r="D99" s="3"/>
      <c r="E99" s="9" t="str">
        <f t="shared" si="23"/>
        <v/>
      </c>
      <c r="F99" s="54" t="str">
        <f t="shared" si="24"/>
        <v/>
      </c>
      <c r="G99" s="73" t="str">
        <f t="shared" si="25"/>
        <v/>
      </c>
      <c r="H99" s="56" t="str">
        <f t="shared" si="26"/>
        <v/>
      </c>
      <c r="I99" s="57" t="str">
        <f t="shared" si="27"/>
        <v/>
      </c>
      <c r="J99" s="58" t="str">
        <f t="shared" si="28"/>
        <v/>
      </c>
      <c r="L99" s="31" t="str">
        <f t="shared" si="29"/>
        <v/>
      </c>
      <c r="M99" s="32" t="str">
        <f t="shared" si="34"/>
        <v/>
      </c>
      <c r="N99" s="32" t="str">
        <f t="shared" si="30"/>
        <v/>
      </c>
      <c r="O99" s="32" t="str">
        <f t="shared" si="31"/>
        <v/>
      </c>
      <c r="P99" s="32" t="str">
        <f t="shared" si="32"/>
        <v/>
      </c>
      <c r="Q99" s="33" t="str">
        <f t="shared" si="33"/>
        <v/>
      </c>
    </row>
    <row r="100" spans="2:17" x14ac:dyDescent="0.25">
      <c r="B100" s="9">
        <v>87</v>
      </c>
      <c r="C100" s="35">
        <v>24500</v>
      </c>
      <c r="D100" s="3"/>
      <c r="E100" s="9" t="str">
        <f t="shared" si="23"/>
        <v/>
      </c>
      <c r="F100" s="54" t="str">
        <f t="shared" si="24"/>
        <v/>
      </c>
      <c r="G100" s="73" t="str">
        <f t="shared" si="25"/>
        <v/>
      </c>
      <c r="H100" s="56" t="str">
        <f t="shared" si="26"/>
        <v/>
      </c>
      <c r="I100" s="57" t="str">
        <f t="shared" si="27"/>
        <v/>
      </c>
      <c r="J100" s="58" t="str">
        <f t="shared" si="28"/>
        <v/>
      </c>
      <c r="L100" s="31" t="str">
        <f t="shared" si="29"/>
        <v/>
      </c>
      <c r="M100" s="32" t="str">
        <f t="shared" si="34"/>
        <v/>
      </c>
      <c r="N100" s="32" t="str">
        <f t="shared" si="30"/>
        <v/>
      </c>
      <c r="O100" s="32" t="str">
        <f t="shared" si="31"/>
        <v/>
      </c>
      <c r="P100" s="32" t="str">
        <f t="shared" si="32"/>
        <v/>
      </c>
      <c r="Q100" s="33" t="str">
        <f t="shared" si="33"/>
        <v/>
      </c>
    </row>
    <row r="101" spans="2:17" x14ac:dyDescent="0.25">
      <c r="B101" s="9">
        <v>88</v>
      </c>
      <c r="C101" s="35">
        <v>25000</v>
      </c>
      <c r="D101" s="3"/>
      <c r="E101" s="9" t="str">
        <f t="shared" si="23"/>
        <v/>
      </c>
      <c r="F101" s="54" t="str">
        <f t="shared" si="24"/>
        <v/>
      </c>
      <c r="G101" s="73" t="str">
        <f t="shared" si="25"/>
        <v/>
      </c>
      <c r="H101" s="56" t="str">
        <f t="shared" si="26"/>
        <v/>
      </c>
      <c r="I101" s="57" t="str">
        <f t="shared" si="27"/>
        <v/>
      </c>
      <c r="J101" s="58" t="str">
        <f t="shared" si="28"/>
        <v/>
      </c>
      <c r="L101" s="31" t="str">
        <f t="shared" si="29"/>
        <v/>
      </c>
      <c r="M101" s="32" t="str">
        <f t="shared" si="34"/>
        <v/>
      </c>
      <c r="N101" s="32" t="str">
        <f t="shared" si="30"/>
        <v/>
      </c>
      <c r="O101" s="32" t="str">
        <f t="shared" si="31"/>
        <v/>
      </c>
      <c r="P101" s="32" t="str">
        <f t="shared" si="32"/>
        <v/>
      </c>
      <c r="Q101" s="33" t="str">
        <f t="shared" si="33"/>
        <v/>
      </c>
    </row>
    <row r="102" spans="2:17" x14ac:dyDescent="0.25">
      <c r="B102" s="9">
        <v>89</v>
      </c>
      <c r="C102" s="35">
        <v>25500</v>
      </c>
      <c r="D102" s="3"/>
      <c r="E102" s="9" t="str">
        <f t="shared" si="23"/>
        <v/>
      </c>
      <c r="F102" s="54" t="str">
        <f t="shared" si="24"/>
        <v/>
      </c>
      <c r="G102" s="73" t="str">
        <f t="shared" si="25"/>
        <v/>
      </c>
      <c r="H102" s="56" t="str">
        <f t="shared" si="26"/>
        <v/>
      </c>
      <c r="I102" s="57" t="str">
        <f t="shared" si="27"/>
        <v/>
      </c>
      <c r="J102" s="58" t="str">
        <f t="shared" si="28"/>
        <v/>
      </c>
      <c r="L102" s="31" t="str">
        <f t="shared" si="29"/>
        <v/>
      </c>
      <c r="M102" s="32" t="str">
        <f t="shared" si="34"/>
        <v/>
      </c>
      <c r="N102" s="32" t="str">
        <f t="shared" si="30"/>
        <v/>
      </c>
      <c r="O102" s="32" t="str">
        <f t="shared" si="31"/>
        <v/>
      </c>
      <c r="P102" s="32" t="str">
        <f t="shared" si="32"/>
        <v/>
      </c>
      <c r="Q102" s="33" t="str">
        <f t="shared" si="33"/>
        <v/>
      </c>
    </row>
    <row r="103" spans="2:17" x14ac:dyDescent="0.25">
      <c r="B103" s="9">
        <v>90</v>
      </c>
      <c r="C103" s="35">
        <v>26000</v>
      </c>
      <c r="D103" s="3"/>
      <c r="E103" s="9" t="str">
        <f t="shared" si="23"/>
        <v/>
      </c>
      <c r="F103" s="54" t="str">
        <f t="shared" si="24"/>
        <v/>
      </c>
      <c r="G103" s="73" t="str">
        <f t="shared" si="25"/>
        <v/>
      </c>
      <c r="H103" s="56" t="str">
        <f t="shared" si="26"/>
        <v/>
      </c>
      <c r="I103" s="57" t="str">
        <f t="shared" si="27"/>
        <v/>
      </c>
      <c r="J103" s="58" t="str">
        <f t="shared" si="28"/>
        <v/>
      </c>
      <c r="L103" s="31" t="str">
        <f t="shared" si="29"/>
        <v/>
      </c>
      <c r="M103" s="32" t="str">
        <f t="shared" si="34"/>
        <v/>
      </c>
      <c r="N103" s="32" t="str">
        <f t="shared" si="30"/>
        <v/>
      </c>
      <c r="O103" s="32" t="str">
        <f t="shared" si="31"/>
        <v/>
      </c>
      <c r="P103" s="32" t="str">
        <f t="shared" si="32"/>
        <v/>
      </c>
      <c r="Q103" s="33" t="str">
        <f t="shared" si="33"/>
        <v/>
      </c>
    </row>
    <row r="104" spans="2:17" x14ac:dyDescent="0.25">
      <c r="B104" s="9">
        <v>91</v>
      </c>
      <c r="C104" s="35">
        <v>26500</v>
      </c>
      <c r="D104" s="3"/>
      <c r="E104" s="9" t="str">
        <f t="shared" si="23"/>
        <v/>
      </c>
      <c r="F104" s="54" t="str">
        <f t="shared" si="24"/>
        <v/>
      </c>
      <c r="G104" s="73" t="str">
        <f t="shared" si="25"/>
        <v/>
      </c>
      <c r="H104" s="56" t="str">
        <f t="shared" si="26"/>
        <v/>
      </c>
      <c r="I104" s="57" t="str">
        <f t="shared" si="27"/>
        <v/>
      </c>
      <c r="J104" s="58" t="str">
        <f t="shared" si="28"/>
        <v/>
      </c>
      <c r="L104" s="31" t="str">
        <f t="shared" si="29"/>
        <v/>
      </c>
      <c r="M104" s="32" t="str">
        <f t="shared" si="34"/>
        <v/>
      </c>
      <c r="N104" s="32" t="str">
        <f t="shared" si="30"/>
        <v/>
      </c>
      <c r="O104" s="32" t="str">
        <f t="shared" si="31"/>
        <v/>
      </c>
      <c r="P104" s="32" t="str">
        <f t="shared" si="32"/>
        <v/>
      </c>
      <c r="Q104" s="33" t="str">
        <f t="shared" si="33"/>
        <v/>
      </c>
    </row>
    <row r="105" spans="2:17" x14ac:dyDescent="0.25">
      <c r="B105" s="9">
        <v>92</v>
      </c>
      <c r="C105" s="35">
        <v>27000</v>
      </c>
      <c r="D105" s="3"/>
      <c r="E105" s="9" t="str">
        <f t="shared" si="23"/>
        <v/>
      </c>
      <c r="F105" s="54" t="str">
        <f t="shared" si="24"/>
        <v/>
      </c>
      <c r="G105" s="73" t="str">
        <f t="shared" si="25"/>
        <v/>
      </c>
      <c r="H105" s="56" t="str">
        <f t="shared" si="26"/>
        <v/>
      </c>
      <c r="I105" s="57" t="str">
        <f t="shared" si="27"/>
        <v/>
      </c>
      <c r="J105" s="58" t="str">
        <f t="shared" si="28"/>
        <v/>
      </c>
      <c r="L105" s="31" t="str">
        <f t="shared" si="29"/>
        <v/>
      </c>
      <c r="M105" s="32" t="str">
        <f t="shared" si="34"/>
        <v/>
      </c>
      <c r="N105" s="32" t="str">
        <f t="shared" si="30"/>
        <v/>
      </c>
      <c r="O105" s="32" t="str">
        <f t="shared" si="31"/>
        <v/>
      </c>
      <c r="P105" s="32" t="str">
        <f t="shared" si="32"/>
        <v/>
      </c>
      <c r="Q105" s="33" t="str">
        <f t="shared" si="33"/>
        <v/>
      </c>
    </row>
    <row r="106" spans="2:17" x14ac:dyDescent="0.25">
      <c r="B106" s="9">
        <v>93</v>
      </c>
      <c r="C106" s="35">
        <v>27500</v>
      </c>
      <c r="D106" s="3"/>
      <c r="E106" s="9" t="str">
        <f t="shared" si="23"/>
        <v/>
      </c>
      <c r="F106" s="54" t="str">
        <f t="shared" si="24"/>
        <v/>
      </c>
      <c r="G106" s="73" t="str">
        <f t="shared" si="25"/>
        <v/>
      </c>
      <c r="H106" s="56" t="str">
        <f t="shared" si="26"/>
        <v/>
      </c>
      <c r="I106" s="57" t="str">
        <f t="shared" si="27"/>
        <v/>
      </c>
      <c r="J106" s="58" t="str">
        <f t="shared" si="28"/>
        <v/>
      </c>
      <c r="L106" s="31" t="str">
        <f t="shared" si="29"/>
        <v/>
      </c>
      <c r="M106" s="32" t="str">
        <f t="shared" si="34"/>
        <v/>
      </c>
      <c r="N106" s="32" t="str">
        <f t="shared" si="30"/>
        <v/>
      </c>
      <c r="O106" s="32" t="str">
        <f t="shared" si="31"/>
        <v/>
      </c>
      <c r="P106" s="32" t="str">
        <f t="shared" si="32"/>
        <v/>
      </c>
      <c r="Q106" s="33" t="str">
        <f t="shared" si="33"/>
        <v/>
      </c>
    </row>
    <row r="107" spans="2:17" x14ac:dyDescent="0.25">
      <c r="B107" s="9">
        <v>94</v>
      </c>
      <c r="C107" s="35">
        <v>28000</v>
      </c>
      <c r="D107" s="3"/>
      <c r="E107" s="9" t="str">
        <f t="shared" si="23"/>
        <v/>
      </c>
      <c r="F107" s="54" t="str">
        <f t="shared" si="24"/>
        <v/>
      </c>
      <c r="G107" s="73" t="str">
        <f t="shared" si="25"/>
        <v/>
      </c>
      <c r="H107" s="56" t="str">
        <f t="shared" si="26"/>
        <v/>
      </c>
      <c r="I107" s="57" t="str">
        <f t="shared" si="27"/>
        <v/>
      </c>
      <c r="J107" s="58" t="str">
        <f t="shared" si="28"/>
        <v/>
      </c>
      <c r="L107" s="31" t="str">
        <f t="shared" si="29"/>
        <v/>
      </c>
      <c r="M107" s="32" t="str">
        <f t="shared" si="34"/>
        <v/>
      </c>
      <c r="N107" s="32" t="str">
        <f t="shared" si="30"/>
        <v/>
      </c>
      <c r="O107" s="32" t="str">
        <f t="shared" si="31"/>
        <v/>
      </c>
      <c r="P107" s="32" t="str">
        <f t="shared" si="32"/>
        <v/>
      </c>
      <c r="Q107" s="33" t="str">
        <f t="shared" si="33"/>
        <v/>
      </c>
    </row>
    <row r="108" spans="2:17" x14ac:dyDescent="0.25">
      <c r="B108" s="9">
        <v>95</v>
      </c>
      <c r="C108" s="35">
        <v>28500</v>
      </c>
      <c r="D108" s="3"/>
      <c r="E108" s="9" t="str">
        <f t="shared" si="23"/>
        <v/>
      </c>
      <c r="F108" s="54" t="str">
        <f t="shared" si="24"/>
        <v/>
      </c>
      <c r="G108" s="73" t="str">
        <f t="shared" si="25"/>
        <v/>
      </c>
      <c r="H108" s="56" t="str">
        <f t="shared" si="26"/>
        <v/>
      </c>
      <c r="I108" s="57" t="str">
        <f t="shared" si="27"/>
        <v/>
      </c>
      <c r="J108" s="58" t="str">
        <f t="shared" si="28"/>
        <v/>
      </c>
      <c r="L108" s="31" t="str">
        <f t="shared" si="29"/>
        <v/>
      </c>
      <c r="M108" s="32" t="str">
        <f t="shared" si="34"/>
        <v/>
      </c>
      <c r="N108" s="32" t="str">
        <f t="shared" si="30"/>
        <v/>
      </c>
      <c r="O108" s="32" t="str">
        <f t="shared" si="31"/>
        <v/>
      </c>
      <c r="P108" s="32" t="str">
        <f t="shared" si="32"/>
        <v/>
      </c>
      <c r="Q108" s="33" t="str">
        <f t="shared" si="33"/>
        <v/>
      </c>
    </row>
    <row r="109" spans="2:17" x14ac:dyDescent="0.25">
      <c r="B109" s="9">
        <v>96</v>
      </c>
      <c r="C109" s="35">
        <v>29000</v>
      </c>
      <c r="D109" s="3"/>
      <c r="E109" s="9" t="str">
        <f t="shared" si="23"/>
        <v/>
      </c>
      <c r="F109" s="54" t="str">
        <f t="shared" si="24"/>
        <v/>
      </c>
      <c r="G109" s="73" t="str">
        <f t="shared" si="25"/>
        <v/>
      </c>
      <c r="H109" s="56" t="str">
        <f t="shared" si="26"/>
        <v/>
      </c>
      <c r="I109" s="57" t="str">
        <f t="shared" si="27"/>
        <v/>
      </c>
      <c r="J109" s="58" t="str">
        <f t="shared" si="28"/>
        <v/>
      </c>
      <c r="L109" s="31" t="str">
        <f t="shared" si="29"/>
        <v/>
      </c>
      <c r="M109" s="32" t="str">
        <f t="shared" si="34"/>
        <v/>
      </c>
      <c r="N109" s="32" t="str">
        <f t="shared" si="30"/>
        <v/>
      </c>
      <c r="O109" s="32" t="str">
        <f t="shared" si="31"/>
        <v/>
      </c>
      <c r="P109" s="32" t="str">
        <f t="shared" si="32"/>
        <v/>
      </c>
      <c r="Q109" s="33" t="str">
        <f t="shared" si="33"/>
        <v/>
      </c>
    </row>
    <row r="110" spans="2:17" x14ac:dyDescent="0.25">
      <c r="B110" s="9">
        <v>97</v>
      </c>
      <c r="C110" s="35">
        <v>29500</v>
      </c>
      <c r="D110" s="3"/>
      <c r="E110" s="9" t="str">
        <f t="shared" ref="E110:E141" si="35">IF(L110="","",ROUND(12*C$7/(2*H$7^2+2*H$6*H$7-H$6^2)*L110*1000000,0))</f>
        <v/>
      </c>
      <c r="F110" s="54" t="str">
        <f t="shared" ref="F110:F141" si="36">IF(L110="","",ABS(ROUND(12*C$7/(2*(H$7/1000)^2+2*(H$6/1000)*(H$7/1000)-(H$6/1000)^2)*(M110-M$14)*1,0)))</f>
        <v/>
      </c>
      <c r="G110" s="73" t="str">
        <f t="shared" ref="G110:G141" si="37">IF(L110="","",ROUND(1.5*((N110-O110)*1000*H$7)/(C$6*C$7^2),3))</f>
        <v/>
      </c>
      <c r="H110" s="56" t="str">
        <f t="shared" ref="H110:H141" si="38">IF(L110="","",ROUND(1.5*((N110/2-O110)*1000*H$7)/(C$6*C$7^2),3))</f>
        <v/>
      </c>
      <c r="I110" s="57" t="str">
        <f t="shared" ref="I110:I141" si="39">IF(L110="","",IF(P110&lt;=0,"foute meting",ROUND(0.000001*V$4*SQRT((1000000*Q110)^2+(1000000*P110+V$5*(2*PI()*H$5)^2)^2),0)))</f>
        <v/>
      </c>
      <c r="J110" s="58" t="str">
        <f t="shared" ref="J110:J141" si="40">IF(L110="","",ROUND(ATAN(Q110/P110)/PI()*180,1))</f>
        <v/>
      </c>
      <c r="L110" s="31" t="str">
        <f t="shared" ref="L110:L141" si="41">IF(AG112&lt;=0,"",AG112)</f>
        <v/>
      </c>
      <c r="M110" s="32" t="str">
        <f t="shared" si="34"/>
        <v/>
      </c>
      <c r="N110" s="32" t="str">
        <f t="shared" ref="N110:N141" si="42">IF(AI112="","",AI112)</f>
        <v/>
      </c>
      <c r="O110" s="32" t="str">
        <f t="shared" ref="O110:O141" si="43">IF(AH112="","",AH112)</f>
        <v/>
      </c>
      <c r="P110" s="32" t="str">
        <f t="shared" ref="P110:P141" si="44">IF(AJ112="","",AJ112)</f>
        <v/>
      </c>
      <c r="Q110" s="33" t="str">
        <f t="shared" ref="Q110:Q141" si="45">IF(AK112="","",AK112)</f>
        <v/>
      </c>
    </row>
    <row r="111" spans="2:17" x14ac:dyDescent="0.25">
      <c r="B111" s="9">
        <v>98</v>
      </c>
      <c r="C111" s="35">
        <v>30000</v>
      </c>
      <c r="D111" s="3"/>
      <c r="E111" s="9" t="str">
        <f t="shared" si="35"/>
        <v/>
      </c>
      <c r="F111" s="54" t="str">
        <f t="shared" si="36"/>
        <v/>
      </c>
      <c r="G111" s="73" t="str">
        <f t="shared" si="37"/>
        <v/>
      </c>
      <c r="H111" s="56" t="str">
        <f t="shared" si="38"/>
        <v/>
      </c>
      <c r="I111" s="57" t="str">
        <f t="shared" si="39"/>
        <v/>
      </c>
      <c r="J111" s="58" t="str">
        <f t="shared" si="40"/>
        <v/>
      </c>
      <c r="L111" s="31" t="str">
        <f t="shared" si="41"/>
        <v/>
      </c>
      <c r="M111" s="32" t="str">
        <f t="shared" si="34"/>
        <v/>
      </c>
      <c r="N111" s="32" t="str">
        <f t="shared" si="42"/>
        <v/>
      </c>
      <c r="O111" s="32" t="str">
        <f t="shared" si="43"/>
        <v/>
      </c>
      <c r="P111" s="32" t="str">
        <f t="shared" si="44"/>
        <v/>
      </c>
      <c r="Q111" s="33" t="str">
        <f t="shared" si="45"/>
        <v/>
      </c>
    </row>
    <row r="112" spans="2:17" x14ac:dyDescent="0.25">
      <c r="B112" s="9">
        <v>99</v>
      </c>
      <c r="C112" s="35">
        <v>30500</v>
      </c>
      <c r="D112" s="3"/>
      <c r="E112" s="9" t="str">
        <f t="shared" si="35"/>
        <v/>
      </c>
      <c r="F112" s="54" t="str">
        <f t="shared" si="36"/>
        <v/>
      </c>
      <c r="G112" s="73" t="str">
        <f t="shared" si="37"/>
        <v/>
      </c>
      <c r="H112" s="56" t="str">
        <f t="shared" si="38"/>
        <v/>
      </c>
      <c r="I112" s="57" t="str">
        <f t="shared" si="39"/>
        <v/>
      </c>
      <c r="J112" s="58" t="str">
        <f t="shared" si="40"/>
        <v/>
      </c>
      <c r="L112" s="31" t="str">
        <f t="shared" si="41"/>
        <v/>
      </c>
      <c r="M112" s="32" t="str">
        <f t="shared" si="34"/>
        <v/>
      </c>
      <c r="N112" s="32" t="str">
        <f t="shared" si="42"/>
        <v/>
      </c>
      <c r="O112" s="32" t="str">
        <f t="shared" si="43"/>
        <v/>
      </c>
      <c r="P112" s="32" t="str">
        <f t="shared" si="44"/>
        <v/>
      </c>
      <c r="Q112" s="33" t="str">
        <f t="shared" si="45"/>
        <v/>
      </c>
    </row>
    <row r="113" spans="2:17" x14ac:dyDescent="0.25">
      <c r="B113" s="9">
        <v>100</v>
      </c>
      <c r="C113" s="35">
        <v>31000</v>
      </c>
      <c r="D113" s="3"/>
      <c r="E113" s="9" t="str">
        <f t="shared" si="35"/>
        <v/>
      </c>
      <c r="F113" s="54" t="str">
        <f t="shared" si="36"/>
        <v/>
      </c>
      <c r="G113" s="73" t="str">
        <f t="shared" si="37"/>
        <v/>
      </c>
      <c r="H113" s="56" t="str">
        <f t="shared" si="38"/>
        <v/>
      </c>
      <c r="I113" s="57" t="str">
        <f t="shared" si="39"/>
        <v/>
      </c>
      <c r="J113" s="58" t="str">
        <f t="shared" si="40"/>
        <v/>
      </c>
      <c r="L113" s="31" t="str">
        <f t="shared" si="41"/>
        <v/>
      </c>
      <c r="M113" s="32" t="str">
        <f t="shared" si="34"/>
        <v/>
      </c>
      <c r="N113" s="32" t="str">
        <f t="shared" si="42"/>
        <v/>
      </c>
      <c r="O113" s="32" t="str">
        <f t="shared" si="43"/>
        <v/>
      </c>
      <c r="P113" s="32" t="str">
        <f t="shared" si="44"/>
        <v/>
      </c>
      <c r="Q113" s="33" t="str">
        <f t="shared" si="45"/>
        <v/>
      </c>
    </row>
    <row r="114" spans="2:17" x14ac:dyDescent="0.25">
      <c r="B114" s="9">
        <v>101</v>
      </c>
      <c r="C114" s="35">
        <v>31500</v>
      </c>
      <c r="D114" s="3"/>
      <c r="E114" s="9" t="str">
        <f t="shared" si="35"/>
        <v/>
      </c>
      <c r="F114" s="54" t="str">
        <f t="shared" si="36"/>
        <v/>
      </c>
      <c r="G114" s="73" t="str">
        <f t="shared" si="37"/>
        <v/>
      </c>
      <c r="H114" s="56" t="str">
        <f t="shared" si="38"/>
        <v/>
      </c>
      <c r="I114" s="57" t="str">
        <f t="shared" si="39"/>
        <v/>
      </c>
      <c r="J114" s="58" t="str">
        <f t="shared" si="40"/>
        <v/>
      </c>
      <c r="L114" s="31" t="str">
        <f t="shared" si="41"/>
        <v/>
      </c>
      <c r="M114" s="32" t="str">
        <f t="shared" si="34"/>
        <v/>
      </c>
      <c r="N114" s="32" t="str">
        <f t="shared" si="42"/>
        <v/>
      </c>
      <c r="O114" s="32" t="str">
        <f t="shared" si="43"/>
        <v/>
      </c>
      <c r="P114" s="32" t="str">
        <f t="shared" si="44"/>
        <v/>
      </c>
      <c r="Q114" s="33" t="str">
        <f t="shared" si="45"/>
        <v/>
      </c>
    </row>
    <row r="115" spans="2:17" x14ac:dyDescent="0.25">
      <c r="B115" s="9">
        <v>102</v>
      </c>
      <c r="C115" s="35">
        <v>32000</v>
      </c>
      <c r="D115" s="3"/>
      <c r="E115" s="9" t="str">
        <f t="shared" si="35"/>
        <v/>
      </c>
      <c r="F115" s="54" t="str">
        <f t="shared" si="36"/>
        <v/>
      </c>
      <c r="G115" s="73" t="str">
        <f t="shared" si="37"/>
        <v/>
      </c>
      <c r="H115" s="56" t="str">
        <f t="shared" si="38"/>
        <v/>
      </c>
      <c r="I115" s="57" t="str">
        <f t="shared" si="39"/>
        <v/>
      </c>
      <c r="J115" s="58" t="str">
        <f t="shared" si="40"/>
        <v/>
      </c>
      <c r="L115" s="31" t="str">
        <f t="shared" si="41"/>
        <v/>
      </c>
      <c r="M115" s="32" t="str">
        <f t="shared" si="34"/>
        <v/>
      </c>
      <c r="N115" s="32" t="str">
        <f t="shared" si="42"/>
        <v/>
      </c>
      <c r="O115" s="32" t="str">
        <f t="shared" si="43"/>
        <v/>
      </c>
      <c r="P115" s="32" t="str">
        <f t="shared" si="44"/>
        <v/>
      </c>
      <c r="Q115" s="33" t="str">
        <f t="shared" si="45"/>
        <v/>
      </c>
    </row>
    <row r="116" spans="2:17" x14ac:dyDescent="0.25">
      <c r="B116" s="9">
        <v>103</v>
      </c>
      <c r="C116" s="35">
        <v>32500</v>
      </c>
      <c r="D116" s="3"/>
      <c r="E116" s="9" t="str">
        <f t="shared" si="35"/>
        <v/>
      </c>
      <c r="F116" s="54" t="str">
        <f t="shared" si="36"/>
        <v/>
      </c>
      <c r="G116" s="73" t="str">
        <f t="shared" si="37"/>
        <v/>
      </c>
      <c r="H116" s="56" t="str">
        <f t="shared" si="38"/>
        <v/>
      </c>
      <c r="I116" s="57" t="str">
        <f t="shared" si="39"/>
        <v/>
      </c>
      <c r="J116" s="58" t="str">
        <f t="shared" si="40"/>
        <v/>
      </c>
      <c r="L116" s="31" t="str">
        <f t="shared" si="41"/>
        <v/>
      </c>
      <c r="M116" s="32" t="str">
        <f t="shared" si="34"/>
        <v/>
      </c>
      <c r="N116" s="32" t="str">
        <f t="shared" si="42"/>
        <v/>
      </c>
      <c r="O116" s="32" t="str">
        <f t="shared" si="43"/>
        <v/>
      </c>
      <c r="P116" s="32" t="str">
        <f t="shared" si="44"/>
        <v/>
      </c>
      <c r="Q116" s="33" t="str">
        <f t="shared" si="45"/>
        <v/>
      </c>
    </row>
    <row r="117" spans="2:17" x14ac:dyDescent="0.25">
      <c r="B117" s="9">
        <v>104</v>
      </c>
      <c r="C117" s="35">
        <v>33000</v>
      </c>
      <c r="D117" s="3"/>
      <c r="E117" s="9" t="str">
        <f t="shared" si="35"/>
        <v/>
      </c>
      <c r="F117" s="54" t="str">
        <f t="shared" si="36"/>
        <v/>
      </c>
      <c r="G117" s="73" t="str">
        <f t="shared" si="37"/>
        <v/>
      </c>
      <c r="H117" s="56" t="str">
        <f t="shared" si="38"/>
        <v/>
      </c>
      <c r="I117" s="57" t="str">
        <f t="shared" si="39"/>
        <v/>
      </c>
      <c r="J117" s="58" t="str">
        <f t="shared" si="40"/>
        <v/>
      </c>
      <c r="L117" s="31" t="str">
        <f t="shared" si="41"/>
        <v/>
      </c>
      <c r="M117" s="32" t="str">
        <f t="shared" si="34"/>
        <v/>
      </c>
      <c r="N117" s="32" t="str">
        <f t="shared" si="42"/>
        <v/>
      </c>
      <c r="O117" s="32" t="str">
        <f t="shared" si="43"/>
        <v/>
      </c>
      <c r="P117" s="32" t="str">
        <f t="shared" si="44"/>
        <v/>
      </c>
      <c r="Q117" s="33" t="str">
        <f t="shared" si="45"/>
        <v/>
      </c>
    </row>
    <row r="118" spans="2:17" x14ac:dyDescent="0.25">
      <c r="B118" s="9">
        <v>105</v>
      </c>
      <c r="C118" s="35">
        <v>33500</v>
      </c>
      <c r="D118" s="3"/>
      <c r="E118" s="9" t="str">
        <f t="shared" si="35"/>
        <v/>
      </c>
      <c r="F118" s="54" t="str">
        <f t="shared" si="36"/>
        <v/>
      </c>
      <c r="G118" s="73" t="str">
        <f t="shared" si="37"/>
        <v/>
      </c>
      <c r="H118" s="56" t="str">
        <f t="shared" si="38"/>
        <v/>
      </c>
      <c r="I118" s="57" t="str">
        <f t="shared" si="39"/>
        <v/>
      </c>
      <c r="J118" s="58" t="str">
        <f t="shared" si="40"/>
        <v/>
      </c>
      <c r="L118" s="31" t="str">
        <f t="shared" si="41"/>
        <v/>
      </c>
      <c r="M118" s="32" t="str">
        <f t="shared" si="34"/>
        <v/>
      </c>
      <c r="N118" s="32" t="str">
        <f t="shared" si="42"/>
        <v/>
      </c>
      <c r="O118" s="32" t="str">
        <f t="shared" si="43"/>
        <v/>
      </c>
      <c r="P118" s="32" t="str">
        <f t="shared" si="44"/>
        <v/>
      </c>
      <c r="Q118" s="33" t="str">
        <f t="shared" si="45"/>
        <v/>
      </c>
    </row>
    <row r="119" spans="2:17" x14ac:dyDescent="0.25">
      <c r="B119" s="9">
        <v>106</v>
      </c>
      <c r="C119" s="35">
        <v>34000</v>
      </c>
      <c r="D119" s="3"/>
      <c r="E119" s="9" t="str">
        <f t="shared" si="35"/>
        <v/>
      </c>
      <c r="F119" s="54" t="str">
        <f t="shared" si="36"/>
        <v/>
      </c>
      <c r="G119" s="73" t="str">
        <f t="shared" si="37"/>
        <v/>
      </c>
      <c r="H119" s="56" t="str">
        <f t="shared" si="38"/>
        <v/>
      </c>
      <c r="I119" s="57" t="str">
        <f t="shared" si="39"/>
        <v/>
      </c>
      <c r="J119" s="58" t="str">
        <f t="shared" si="40"/>
        <v/>
      </c>
      <c r="L119" s="31" t="str">
        <f t="shared" si="41"/>
        <v/>
      </c>
      <c r="M119" s="32" t="str">
        <f t="shared" si="34"/>
        <v/>
      </c>
      <c r="N119" s="32" t="str">
        <f t="shared" si="42"/>
        <v/>
      </c>
      <c r="O119" s="32" t="str">
        <f t="shared" si="43"/>
        <v/>
      </c>
      <c r="P119" s="32" t="str">
        <f t="shared" si="44"/>
        <v/>
      </c>
      <c r="Q119" s="33" t="str">
        <f t="shared" si="45"/>
        <v/>
      </c>
    </row>
    <row r="120" spans="2:17" x14ac:dyDescent="0.25">
      <c r="B120" s="9">
        <v>107</v>
      </c>
      <c r="C120" s="35">
        <v>34500</v>
      </c>
      <c r="D120" s="3"/>
      <c r="E120" s="9" t="str">
        <f t="shared" si="35"/>
        <v/>
      </c>
      <c r="F120" s="54" t="str">
        <f t="shared" si="36"/>
        <v/>
      </c>
      <c r="G120" s="73" t="str">
        <f t="shared" si="37"/>
        <v/>
      </c>
      <c r="H120" s="56" t="str">
        <f t="shared" si="38"/>
        <v/>
      </c>
      <c r="I120" s="57" t="str">
        <f t="shared" si="39"/>
        <v/>
      </c>
      <c r="J120" s="58" t="str">
        <f t="shared" si="40"/>
        <v/>
      </c>
      <c r="L120" s="31" t="str">
        <f t="shared" si="41"/>
        <v/>
      </c>
      <c r="M120" s="32" t="str">
        <f t="shared" si="34"/>
        <v/>
      </c>
      <c r="N120" s="32" t="str">
        <f t="shared" si="42"/>
        <v/>
      </c>
      <c r="O120" s="32" t="str">
        <f t="shared" si="43"/>
        <v/>
      </c>
      <c r="P120" s="32" t="str">
        <f t="shared" si="44"/>
        <v/>
      </c>
      <c r="Q120" s="33" t="str">
        <f t="shared" si="45"/>
        <v/>
      </c>
    </row>
    <row r="121" spans="2:17" x14ac:dyDescent="0.25">
      <c r="B121" s="9">
        <v>108</v>
      </c>
      <c r="C121" s="35">
        <v>35000</v>
      </c>
      <c r="D121" s="3"/>
      <c r="E121" s="9" t="str">
        <f t="shared" si="35"/>
        <v/>
      </c>
      <c r="F121" s="54" t="str">
        <f t="shared" si="36"/>
        <v/>
      </c>
      <c r="G121" s="73" t="str">
        <f t="shared" si="37"/>
        <v/>
      </c>
      <c r="H121" s="56" t="str">
        <f t="shared" si="38"/>
        <v/>
      </c>
      <c r="I121" s="57" t="str">
        <f t="shared" si="39"/>
        <v/>
      </c>
      <c r="J121" s="58" t="str">
        <f t="shared" si="40"/>
        <v/>
      </c>
      <c r="L121" s="31" t="str">
        <f t="shared" si="41"/>
        <v/>
      </c>
      <c r="M121" s="32" t="str">
        <f t="shared" si="34"/>
        <v/>
      </c>
      <c r="N121" s="32" t="str">
        <f t="shared" si="42"/>
        <v/>
      </c>
      <c r="O121" s="32" t="str">
        <f t="shared" si="43"/>
        <v/>
      </c>
      <c r="P121" s="32" t="str">
        <f t="shared" si="44"/>
        <v/>
      </c>
      <c r="Q121" s="33" t="str">
        <f t="shared" si="45"/>
        <v/>
      </c>
    </row>
    <row r="122" spans="2:17" x14ac:dyDescent="0.25">
      <c r="B122" s="9">
        <v>109</v>
      </c>
      <c r="C122" s="35">
        <v>35500</v>
      </c>
      <c r="D122" s="3"/>
      <c r="E122" s="9" t="str">
        <f t="shared" si="35"/>
        <v/>
      </c>
      <c r="F122" s="54" t="str">
        <f t="shared" si="36"/>
        <v/>
      </c>
      <c r="G122" s="73" t="str">
        <f t="shared" si="37"/>
        <v/>
      </c>
      <c r="H122" s="56" t="str">
        <f t="shared" si="38"/>
        <v/>
      </c>
      <c r="I122" s="57" t="str">
        <f t="shared" si="39"/>
        <v/>
      </c>
      <c r="J122" s="58" t="str">
        <f t="shared" si="40"/>
        <v/>
      </c>
      <c r="L122" s="31" t="str">
        <f t="shared" si="41"/>
        <v/>
      </c>
      <c r="M122" s="32" t="str">
        <f t="shared" si="34"/>
        <v/>
      </c>
      <c r="N122" s="32" t="str">
        <f t="shared" si="42"/>
        <v/>
      </c>
      <c r="O122" s="32" t="str">
        <f t="shared" si="43"/>
        <v/>
      </c>
      <c r="P122" s="32" t="str">
        <f t="shared" si="44"/>
        <v/>
      </c>
      <c r="Q122" s="33" t="str">
        <f t="shared" si="45"/>
        <v/>
      </c>
    </row>
    <row r="123" spans="2:17" x14ac:dyDescent="0.25">
      <c r="B123" s="9">
        <v>110</v>
      </c>
      <c r="C123" s="35">
        <v>36000</v>
      </c>
      <c r="D123" s="3"/>
      <c r="E123" s="9" t="str">
        <f t="shared" si="35"/>
        <v/>
      </c>
      <c r="F123" s="54" t="str">
        <f t="shared" si="36"/>
        <v/>
      </c>
      <c r="G123" s="73" t="str">
        <f t="shared" si="37"/>
        <v/>
      </c>
      <c r="H123" s="56" t="str">
        <f t="shared" si="38"/>
        <v/>
      </c>
      <c r="I123" s="57" t="str">
        <f t="shared" si="39"/>
        <v/>
      </c>
      <c r="J123" s="58" t="str">
        <f t="shared" si="40"/>
        <v/>
      </c>
      <c r="L123" s="31" t="str">
        <f t="shared" si="41"/>
        <v/>
      </c>
      <c r="M123" s="32" t="str">
        <f t="shared" si="34"/>
        <v/>
      </c>
      <c r="N123" s="32" t="str">
        <f t="shared" si="42"/>
        <v/>
      </c>
      <c r="O123" s="32" t="str">
        <f t="shared" si="43"/>
        <v/>
      </c>
      <c r="P123" s="32" t="str">
        <f t="shared" si="44"/>
        <v/>
      </c>
      <c r="Q123" s="33" t="str">
        <f t="shared" si="45"/>
        <v/>
      </c>
    </row>
    <row r="124" spans="2:17" x14ac:dyDescent="0.25">
      <c r="B124" s="9">
        <v>111</v>
      </c>
      <c r="C124" s="35">
        <v>36500</v>
      </c>
      <c r="D124" s="3"/>
      <c r="E124" s="9" t="str">
        <f t="shared" si="35"/>
        <v/>
      </c>
      <c r="F124" s="54" t="str">
        <f t="shared" si="36"/>
        <v/>
      </c>
      <c r="G124" s="73" t="str">
        <f t="shared" si="37"/>
        <v/>
      </c>
      <c r="H124" s="56" t="str">
        <f t="shared" si="38"/>
        <v/>
      </c>
      <c r="I124" s="57" t="str">
        <f t="shared" si="39"/>
        <v/>
      </c>
      <c r="J124" s="58" t="str">
        <f t="shared" si="40"/>
        <v/>
      </c>
      <c r="L124" s="31" t="str">
        <f t="shared" si="41"/>
        <v/>
      </c>
      <c r="M124" s="32" t="str">
        <f t="shared" si="34"/>
        <v/>
      </c>
      <c r="N124" s="32" t="str">
        <f t="shared" si="42"/>
        <v/>
      </c>
      <c r="O124" s="32" t="str">
        <f t="shared" si="43"/>
        <v/>
      </c>
      <c r="P124" s="32" t="str">
        <f t="shared" si="44"/>
        <v/>
      </c>
      <c r="Q124" s="33" t="str">
        <f t="shared" si="45"/>
        <v/>
      </c>
    </row>
    <row r="125" spans="2:17" x14ac:dyDescent="0.25">
      <c r="B125" s="9">
        <v>112</v>
      </c>
      <c r="C125" s="35">
        <v>37000</v>
      </c>
      <c r="D125" s="3"/>
      <c r="E125" s="9" t="str">
        <f t="shared" si="35"/>
        <v/>
      </c>
      <c r="F125" s="54" t="str">
        <f t="shared" si="36"/>
        <v/>
      </c>
      <c r="G125" s="73" t="str">
        <f t="shared" si="37"/>
        <v/>
      </c>
      <c r="H125" s="56" t="str">
        <f t="shared" si="38"/>
        <v/>
      </c>
      <c r="I125" s="57" t="str">
        <f t="shared" si="39"/>
        <v/>
      </c>
      <c r="J125" s="58" t="str">
        <f t="shared" si="40"/>
        <v/>
      </c>
      <c r="L125" s="31" t="str">
        <f t="shared" si="41"/>
        <v/>
      </c>
      <c r="M125" s="32" t="str">
        <f t="shared" si="34"/>
        <v/>
      </c>
      <c r="N125" s="32" t="str">
        <f t="shared" si="42"/>
        <v/>
      </c>
      <c r="O125" s="32" t="str">
        <f t="shared" si="43"/>
        <v/>
      </c>
      <c r="P125" s="32" t="str">
        <f t="shared" si="44"/>
        <v/>
      </c>
      <c r="Q125" s="33" t="str">
        <f t="shared" si="45"/>
        <v/>
      </c>
    </row>
    <row r="126" spans="2:17" x14ac:dyDescent="0.25">
      <c r="B126" s="9">
        <v>113</v>
      </c>
      <c r="C126" s="35">
        <v>37500</v>
      </c>
      <c r="D126" s="3"/>
      <c r="E126" s="9" t="str">
        <f t="shared" si="35"/>
        <v/>
      </c>
      <c r="F126" s="54" t="str">
        <f t="shared" si="36"/>
        <v/>
      </c>
      <c r="G126" s="73" t="str">
        <f t="shared" si="37"/>
        <v/>
      </c>
      <c r="H126" s="56" t="str">
        <f t="shared" si="38"/>
        <v/>
      </c>
      <c r="I126" s="57" t="str">
        <f t="shared" si="39"/>
        <v/>
      </c>
      <c r="J126" s="58" t="str">
        <f t="shared" si="40"/>
        <v/>
      </c>
      <c r="L126" s="31" t="str">
        <f t="shared" si="41"/>
        <v/>
      </c>
      <c r="M126" s="32" t="str">
        <f t="shared" si="34"/>
        <v/>
      </c>
      <c r="N126" s="32" t="str">
        <f t="shared" si="42"/>
        <v/>
      </c>
      <c r="O126" s="32" t="str">
        <f t="shared" si="43"/>
        <v/>
      </c>
      <c r="P126" s="32" t="str">
        <f t="shared" si="44"/>
        <v/>
      </c>
      <c r="Q126" s="33" t="str">
        <f t="shared" si="45"/>
        <v/>
      </c>
    </row>
    <row r="127" spans="2:17" x14ac:dyDescent="0.25">
      <c r="B127" s="9">
        <v>114</v>
      </c>
      <c r="C127" s="35">
        <v>38000</v>
      </c>
      <c r="D127" s="3"/>
      <c r="E127" s="9" t="str">
        <f t="shared" si="35"/>
        <v/>
      </c>
      <c r="F127" s="54" t="str">
        <f t="shared" si="36"/>
        <v/>
      </c>
      <c r="G127" s="73" t="str">
        <f t="shared" si="37"/>
        <v/>
      </c>
      <c r="H127" s="56" t="str">
        <f t="shared" si="38"/>
        <v/>
      </c>
      <c r="I127" s="57" t="str">
        <f t="shared" si="39"/>
        <v/>
      </c>
      <c r="J127" s="58" t="str">
        <f t="shared" si="40"/>
        <v/>
      </c>
      <c r="L127" s="31" t="str">
        <f t="shared" si="41"/>
        <v/>
      </c>
      <c r="M127" s="32" t="str">
        <f t="shared" si="34"/>
        <v/>
      </c>
      <c r="N127" s="32" t="str">
        <f t="shared" si="42"/>
        <v/>
      </c>
      <c r="O127" s="32" t="str">
        <f t="shared" si="43"/>
        <v/>
      </c>
      <c r="P127" s="32" t="str">
        <f t="shared" si="44"/>
        <v/>
      </c>
      <c r="Q127" s="33" t="str">
        <f t="shared" si="45"/>
        <v/>
      </c>
    </row>
    <row r="128" spans="2:17" x14ac:dyDescent="0.25">
      <c r="B128" s="9">
        <v>115</v>
      </c>
      <c r="C128" s="35">
        <v>38500</v>
      </c>
      <c r="D128" s="3"/>
      <c r="E128" s="9" t="str">
        <f t="shared" si="35"/>
        <v/>
      </c>
      <c r="F128" s="54" t="str">
        <f t="shared" si="36"/>
        <v/>
      </c>
      <c r="G128" s="73" t="str">
        <f t="shared" si="37"/>
        <v/>
      </c>
      <c r="H128" s="56" t="str">
        <f t="shared" si="38"/>
        <v/>
      </c>
      <c r="I128" s="57" t="str">
        <f t="shared" si="39"/>
        <v/>
      </c>
      <c r="J128" s="58" t="str">
        <f t="shared" si="40"/>
        <v/>
      </c>
      <c r="L128" s="31" t="str">
        <f t="shared" si="41"/>
        <v/>
      </c>
      <c r="M128" s="32" t="str">
        <f t="shared" si="34"/>
        <v/>
      </c>
      <c r="N128" s="32" t="str">
        <f t="shared" si="42"/>
        <v/>
      </c>
      <c r="O128" s="32" t="str">
        <f t="shared" si="43"/>
        <v/>
      </c>
      <c r="P128" s="32" t="str">
        <f t="shared" si="44"/>
        <v/>
      </c>
      <c r="Q128" s="33" t="str">
        <f t="shared" si="45"/>
        <v/>
      </c>
    </row>
    <row r="129" spans="2:17" x14ac:dyDescent="0.25">
      <c r="B129" s="9">
        <v>116</v>
      </c>
      <c r="C129" s="35">
        <v>39000</v>
      </c>
      <c r="D129" s="3"/>
      <c r="E129" s="9" t="str">
        <f t="shared" si="35"/>
        <v/>
      </c>
      <c r="F129" s="54" t="str">
        <f t="shared" si="36"/>
        <v/>
      </c>
      <c r="G129" s="73" t="str">
        <f t="shared" si="37"/>
        <v/>
      </c>
      <c r="H129" s="56" t="str">
        <f t="shared" si="38"/>
        <v/>
      </c>
      <c r="I129" s="57" t="str">
        <f t="shared" si="39"/>
        <v/>
      </c>
      <c r="J129" s="58" t="str">
        <f t="shared" si="40"/>
        <v/>
      </c>
      <c r="L129" s="31" t="str">
        <f t="shared" si="41"/>
        <v/>
      </c>
      <c r="M129" s="32" t="str">
        <f t="shared" si="34"/>
        <v/>
      </c>
      <c r="N129" s="32" t="str">
        <f t="shared" si="42"/>
        <v/>
      </c>
      <c r="O129" s="32" t="str">
        <f t="shared" si="43"/>
        <v/>
      </c>
      <c r="P129" s="32" t="str">
        <f t="shared" si="44"/>
        <v/>
      </c>
      <c r="Q129" s="33" t="str">
        <f t="shared" si="45"/>
        <v/>
      </c>
    </row>
    <row r="130" spans="2:17" x14ac:dyDescent="0.25">
      <c r="B130" s="9">
        <v>117</v>
      </c>
      <c r="C130" s="35">
        <v>39500</v>
      </c>
      <c r="D130" s="3"/>
      <c r="E130" s="9" t="str">
        <f t="shared" si="35"/>
        <v/>
      </c>
      <c r="F130" s="54" t="str">
        <f t="shared" si="36"/>
        <v/>
      </c>
      <c r="G130" s="73" t="str">
        <f t="shared" si="37"/>
        <v/>
      </c>
      <c r="H130" s="56" t="str">
        <f t="shared" si="38"/>
        <v/>
      </c>
      <c r="I130" s="57" t="str">
        <f t="shared" si="39"/>
        <v/>
      </c>
      <c r="J130" s="58" t="str">
        <f t="shared" si="40"/>
        <v/>
      </c>
      <c r="L130" s="31" t="str">
        <f t="shared" si="41"/>
        <v/>
      </c>
      <c r="M130" s="32" t="str">
        <f t="shared" si="34"/>
        <v/>
      </c>
      <c r="N130" s="32" t="str">
        <f t="shared" si="42"/>
        <v/>
      </c>
      <c r="O130" s="32" t="str">
        <f t="shared" si="43"/>
        <v/>
      </c>
      <c r="P130" s="32" t="str">
        <f t="shared" si="44"/>
        <v/>
      </c>
      <c r="Q130" s="33" t="str">
        <f t="shared" si="45"/>
        <v/>
      </c>
    </row>
    <row r="131" spans="2:17" x14ac:dyDescent="0.25">
      <c r="B131" s="9">
        <v>118</v>
      </c>
      <c r="C131" s="35">
        <v>40000</v>
      </c>
      <c r="D131" s="3"/>
      <c r="E131" s="9" t="str">
        <f t="shared" si="35"/>
        <v/>
      </c>
      <c r="F131" s="54" t="str">
        <f t="shared" si="36"/>
        <v/>
      </c>
      <c r="G131" s="73" t="str">
        <f t="shared" si="37"/>
        <v/>
      </c>
      <c r="H131" s="56" t="str">
        <f t="shared" si="38"/>
        <v/>
      </c>
      <c r="I131" s="57" t="str">
        <f t="shared" si="39"/>
        <v/>
      </c>
      <c r="J131" s="58" t="str">
        <f t="shared" si="40"/>
        <v/>
      </c>
      <c r="L131" s="31" t="str">
        <f t="shared" si="41"/>
        <v/>
      </c>
      <c r="M131" s="32" t="str">
        <f t="shared" si="34"/>
        <v/>
      </c>
      <c r="N131" s="32" t="str">
        <f t="shared" si="42"/>
        <v/>
      </c>
      <c r="O131" s="32" t="str">
        <f t="shared" si="43"/>
        <v/>
      </c>
      <c r="P131" s="32" t="str">
        <f t="shared" si="44"/>
        <v/>
      </c>
      <c r="Q131" s="33" t="str">
        <f t="shared" si="45"/>
        <v/>
      </c>
    </row>
    <row r="132" spans="2:17" x14ac:dyDescent="0.25">
      <c r="B132" s="9">
        <v>119</v>
      </c>
      <c r="C132" s="35">
        <v>40500</v>
      </c>
      <c r="D132" s="3"/>
      <c r="E132" s="9" t="str">
        <f t="shared" si="35"/>
        <v/>
      </c>
      <c r="F132" s="54" t="str">
        <f t="shared" si="36"/>
        <v/>
      </c>
      <c r="G132" s="73" t="str">
        <f t="shared" si="37"/>
        <v/>
      </c>
      <c r="H132" s="56" t="str">
        <f t="shared" si="38"/>
        <v/>
      </c>
      <c r="I132" s="57" t="str">
        <f t="shared" si="39"/>
        <v/>
      </c>
      <c r="J132" s="58" t="str">
        <f t="shared" si="40"/>
        <v/>
      </c>
      <c r="L132" s="31" t="str">
        <f t="shared" si="41"/>
        <v/>
      </c>
      <c r="M132" s="32" t="str">
        <f t="shared" si="34"/>
        <v/>
      </c>
      <c r="N132" s="32" t="str">
        <f t="shared" si="42"/>
        <v/>
      </c>
      <c r="O132" s="32" t="str">
        <f t="shared" si="43"/>
        <v/>
      </c>
      <c r="P132" s="32" t="str">
        <f t="shared" si="44"/>
        <v/>
      </c>
      <c r="Q132" s="33" t="str">
        <f t="shared" si="45"/>
        <v/>
      </c>
    </row>
    <row r="133" spans="2:17" x14ac:dyDescent="0.25">
      <c r="B133" s="9">
        <v>120</v>
      </c>
      <c r="C133" s="35">
        <v>41000</v>
      </c>
      <c r="D133" s="3"/>
      <c r="E133" s="9" t="str">
        <f t="shared" si="35"/>
        <v/>
      </c>
      <c r="F133" s="54" t="str">
        <f t="shared" si="36"/>
        <v/>
      </c>
      <c r="G133" s="73" t="str">
        <f t="shared" si="37"/>
        <v/>
      </c>
      <c r="H133" s="56" t="str">
        <f t="shared" si="38"/>
        <v/>
      </c>
      <c r="I133" s="57" t="str">
        <f t="shared" si="39"/>
        <v/>
      </c>
      <c r="J133" s="58" t="str">
        <f t="shared" si="40"/>
        <v/>
      </c>
      <c r="L133" s="31" t="str">
        <f t="shared" si="41"/>
        <v/>
      </c>
      <c r="M133" s="32" t="str">
        <f t="shared" si="34"/>
        <v/>
      </c>
      <c r="N133" s="32" t="str">
        <f t="shared" si="42"/>
        <v/>
      </c>
      <c r="O133" s="32" t="str">
        <f t="shared" si="43"/>
        <v/>
      </c>
      <c r="P133" s="32" t="str">
        <f t="shared" si="44"/>
        <v/>
      </c>
      <c r="Q133" s="33" t="str">
        <f t="shared" si="45"/>
        <v/>
      </c>
    </row>
    <row r="134" spans="2:17" x14ac:dyDescent="0.25">
      <c r="B134" s="9">
        <v>121</v>
      </c>
      <c r="C134" s="35">
        <v>41500</v>
      </c>
      <c r="D134" s="3"/>
      <c r="E134" s="9" t="str">
        <f t="shared" si="35"/>
        <v/>
      </c>
      <c r="F134" s="54" t="str">
        <f t="shared" si="36"/>
        <v/>
      </c>
      <c r="G134" s="73" t="str">
        <f t="shared" si="37"/>
        <v/>
      </c>
      <c r="H134" s="56" t="str">
        <f t="shared" si="38"/>
        <v/>
      </c>
      <c r="I134" s="57" t="str">
        <f t="shared" si="39"/>
        <v/>
      </c>
      <c r="J134" s="58" t="str">
        <f t="shared" si="40"/>
        <v/>
      </c>
      <c r="L134" s="31" t="str">
        <f t="shared" si="41"/>
        <v/>
      </c>
      <c r="M134" s="32" t="str">
        <f t="shared" si="34"/>
        <v/>
      </c>
      <c r="N134" s="32" t="str">
        <f t="shared" si="42"/>
        <v/>
      </c>
      <c r="O134" s="32" t="str">
        <f t="shared" si="43"/>
        <v/>
      </c>
      <c r="P134" s="32" t="str">
        <f t="shared" si="44"/>
        <v/>
      </c>
      <c r="Q134" s="33" t="str">
        <f t="shared" si="45"/>
        <v/>
      </c>
    </row>
    <row r="135" spans="2:17" x14ac:dyDescent="0.25">
      <c r="B135" s="9">
        <v>122</v>
      </c>
      <c r="C135" s="35">
        <v>42000</v>
      </c>
      <c r="D135" s="3"/>
      <c r="E135" s="9" t="str">
        <f t="shared" si="35"/>
        <v/>
      </c>
      <c r="F135" s="54" t="str">
        <f t="shared" si="36"/>
        <v/>
      </c>
      <c r="G135" s="73" t="str">
        <f t="shared" si="37"/>
        <v/>
      </c>
      <c r="H135" s="56" t="str">
        <f t="shared" si="38"/>
        <v/>
      </c>
      <c r="I135" s="57" t="str">
        <f t="shared" si="39"/>
        <v/>
      </c>
      <c r="J135" s="58" t="str">
        <f t="shared" si="40"/>
        <v/>
      </c>
      <c r="L135" s="31" t="str">
        <f t="shared" si="41"/>
        <v/>
      </c>
      <c r="M135" s="32" t="str">
        <f t="shared" si="34"/>
        <v/>
      </c>
      <c r="N135" s="32" t="str">
        <f t="shared" si="42"/>
        <v/>
      </c>
      <c r="O135" s="32" t="str">
        <f t="shared" si="43"/>
        <v/>
      </c>
      <c r="P135" s="32" t="str">
        <f t="shared" si="44"/>
        <v/>
      </c>
      <c r="Q135" s="33" t="str">
        <f t="shared" si="45"/>
        <v/>
      </c>
    </row>
    <row r="136" spans="2:17" x14ac:dyDescent="0.25">
      <c r="B136" s="9">
        <v>123</v>
      </c>
      <c r="C136" s="35">
        <v>42500</v>
      </c>
      <c r="D136" s="3"/>
      <c r="E136" s="9" t="str">
        <f t="shared" si="35"/>
        <v/>
      </c>
      <c r="F136" s="54" t="str">
        <f t="shared" si="36"/>
        <v/>
      </c>
      <c r="G136" s="73" t="str">
        <f t="shared" si="37"/>
        <v/>
      </c>
      <c r="H136" s="56" t="str">
        <f t="shared" si="38"/>
        <v/>
      </c>
      <c r="I136" s="57" t="str">
        <f t="shared" si="39"/>
        <v/>
      </c>
      <c r="J136" s="58" t="str">
        <f t="shared" si="40"/>
        <v/>
      </c>
      <c r="L136" s="31" t="str">
        <f t="shared" si="41"/>
        <v/>
      </c>
      <c r="M136" s="32" t="str">
        <f t="shared" si="34"/>
        <v/>
      </c>
      <c r="N136" s="32" t="str">
        <f t="shared" si="42"/>
        <v/>
      </c>
      <c r="O136" s="32" t="str">
        <f t="shared" si="43"/>
        <v/>
      </c>
      <c r="P136" s="32" t="str">
        <f t="shared" si="44"/>
        <v/>
      </c>
      <c r="Q136" s="33" t="str">
        <f t="shared" si="45"/>
        <v/>
      </c>
    </row>
    <row r="137" spans="2:17" x14ac:dyDescent="0.25">
      <c r="B137" s="9">
        <v>124</v>
      </c>
      <c r="C137" s="35">
        <v>43000</v>
      </c>
      <c r="D137" s="3"/>
      <c r="E137" s="9" t="str">
        <f t="shared" si="35"/>
        <v/>
      </c>
      <c r="F137" s="54" t="str">
        <f t="shared" si="36"/>
        <v/>
      </c>
      <c r="G137" s="73" t="str">
        <f t="shared" si="37"/>
        <v/>
      </c>
      <c r="H137" s="56" t="str">
        <f t="shared" si="38"/>
        <v/>
      </c>
      <c r="I137" s="57" t="str">
        <f t="shared" si="39"/>
        <v/>
      </c>
      <c r="J137" s="58" t="str">
        <f t="shared" si="40"/>
        <v/>
      </c>
      <c r="L137" s="31" t="str">
        <f t="shared" si="41"/>
        <v/>
      </c>
      <c r="M137" s="32" t="str">
        <f t="shared" si="34"/>
        <v/>
      </c>
      <c r="N137" s="32" t="str">
        <f t="shared" si="42"/>
        <v/>
      </c>
      <c r="O137" s="32" t="str">
        <f t="shared" si="43"/>
        <v/>
      </c>
      <c r="P137" s="32" t="str">
        <f t="shared" si="44"/>
        <v/>
      </c>
      <c r="Q137" s="33" t="str">
        <f t="shared" si="45"/>
        <v/>
      </c>
    </row>
    <row r="138" spans="2:17" x14ac:dyDescent="0.25">
      <c r="B138" s="9">
        <v>125</v>
      </c>
      <c r="C138" s="35">
        <v>43500</v>
      </c>
      <c r="D138" s="3"/>
      <c r="E138" s="9" t="str">
        <f t="shared" si="35"/>
        <v/>
      </c>
      <c r="F138" s="54" t="str">
        <f t="shared" si="36"/>
        <v/>
      </c>
      <c r="G138" s="73" t="str">
        <f t="shared" si="37"/>
        <v/>
      </c>
      <c r="H138" s="56" t="str">
        <f t="shared" si="38"/>
        <v/>
      </c>
      <c r="I138" s="57" t="str">
        <f t="shared" si="39"/>
        <v/>
      </c>
      <c r="J138" s="58" t="str">
        <f t="shared" si="40"/>
        <v/>
      </c>
      <c r="L138" s="31" t="str">
        <f t="shared" si="41"/>
        <v/>
      </c>
      <c r="M138" s="32" t="str">
        <f t="shared" si="34"/>
        <v/>
      </c>
      <c r="N138" s="32" t="str">
        <f t="shared" si="42"/>
        <v/>
      </c>
      <c r="O138" s="32" t="str">
        <f t="shared" si="43"/>
        <v/>
      </c>
      <c r="P138" s="32" t="str">
        <f t="shared" si="44"/>
        <v/>
      </c>
      <c r="Q138" s="33" t="str">
        <f t="shared" si="45"/>
        <v/>
      </c>
    </row>
    <row r="139" spans="2:17" x14ac:dyDescent="0.25">
      <c r="B139" s="9">
        <v>126</v>
      </c>
      <c r="C139" s="35">
        <v>44000</v>
      </c>
      <c r="D139" s="3"/>
      <c r="E139" s="9" t="str">
        <f t="shared" si="35"/>
        <v/>
      </c>
      <c r="F139" s="54" t="str">
        <f t="shared" si="36"/>
        <v/>
      </c>
      <c r="G139" s="73" t="str">
        <f t="shared" si="37"/>
        <v/>
      </c>
      <c r="H139" s="56" t="str">
        <f t="shared" si="38"/>
        <v/>
      </c>
      <c r="I139" s="57" t="str">
        <f t="shared" si="39"/>
        <v/>
      </c>
      <c r="J139" s="58" t="str">
        <f t="shared" si="40"/>
        <v/>
      </c>
      <c r="L139" s="31" t="str">
        <f t="shared" si="41"/>
        <v/>
      </c>
      <c r="M139" s="32" t="str">
        <f t="shared" si="34"/>
        <v/>
      </c>
      <c r="N139" s="32" t="str">
        <f t="shared" si="42"/>
        <v/>
      </c>
      <c r="O139" s="32" t="str">
        <f t="shared" si="43"/>
        <v/>
      </c>
      <c r="P139" s="32" t="str">
        <f t="shared" si="44"/>
        <v/>
      </c>
      <c r="Q139" s="33" t="str">
        <f t="shared" si="45"/>
        <v/>
      </c>
    </row>
    <row r="140" spans="2:17" x14ac:dyDescent="0.25">
      <c r="B140" s="9">
        <v>127</v>
      </c>
      <c r="C140" s="35">
        <v>44500</v>
      </c>
      <c r="D140" s="3"/>
      <c r="E140" s="9" t="str">
        <f t="shared" si="35"/>
        <v/>
      </c>
      <c r="F140" s="54" t="str">
        <f t="shared" si="36"/>
        <v/>
      </c>
      <c r="G140" s="73" t="str">
        <f t="shared" si="37"/>
        <v/>
      </c>
      <c r="H140" s="56" t="str">
        <f t="shared" si="38"/>
        <v/>
      </c>
      <c r="I140" s="57" t="str">
        <f t="shared" si="39"/>
        <v/>
      </c>
      <c r="J140" s="58" t="str">
        <f t="shared" si="40"/>
        <v/>
      </c>
      <c r="L140" s="31" t="str">
        <f t="shared" si="41"/>
        <v/>
      </c>
      <c r="M140" s="32" t="str">
        <f t="shared" si="34"/>
        <v/>
      </c>
      <c r="N140" s="32" t="str">
        <f t="shared" si="42"/>
        <v/>
      </c>
      <c r="O140" s="32" t="str">
        <f t="shared" si="43"/>
        <v/>
      </c>
      <c r="P140" s="32" t="str">
        <f t="shared" si="44"/>
        <v/>
      </c>
      <c r="Q140" s="33" t="str">
        <f t="shared" si="45"/>
        <v/>
      </c>
    </row>
    <row r="141" spans="2:17" x14ac:dyDescent="0.25">
      <c r="B141" s="9">
        <v>128</v>
      </c>
      <c r="C141" s="35">
        <v>45000</v>
      </c>
      <c r="D141" s="3"/>
      <c r="E141" s="9" t="str">
        <f t="shared" si="35"/>
        <v/>
      </c>
      <c r="F141" s="54" t="str">
        <f t="shared" si="36"/>
        <v/>
      </c>
      <c r="G141" s="73" t="str">
        <f t="shared" si="37"/>
        <v/>
      </c>
      <c r="H141" s="56" t="str">
        <f t="shared" si="38"/>
        <v/>
      </c>
      <c r="I141" s="57" t="str">
        <f t="shared" si="39"/>
        <v/>
      </c>
      <c r="J141" s="58" t="str">
        <f t="shared" si="40"/>
        <v/>
      </c>
      <c r="L141" s="31" t="str">
        <f t="shared" si="41"/>
        <v/>
      </c>
      <c r="M141" s="32" t="str">
        <f t="shared" si="34"/>
        <v/>
      </c>
      <c r="N141" s="32" t="str">
        <f t="shared" si="42"/>
        <v/>
      </c>
      <c r="O141" s="32" t="str">
        <f t="shared" si="43"/>
        <v/>
      </c>
      <c r="P141" s="32" t="str">
        <f t="shared" si="44"/>
        <v/>
      </c>
      <c r="Q141" s="33" t="str">
        <f t="shared" si="45"/>
        <v/>
      </c>
    </row>
    <row r="142" spans="2:17" x14ac:dyDescent="0.25">
      <c r="B142" s="9">
        <v>129</v>
      </c>
      <c r="C142" s="35">
        <v>45500</v>
      </c>
      <c r="D142" s="3"/>
      <c r="E142" s="9" t="str">
        <f t="shared" ref="E142:E173" si="46">IF(L142="","",ROUND(12*C$7/(2*H$7^2+2*H$6*H$7-H$6^2)*L142*1000000,0))</f>
        <v/>
      </c>
      <c r="F142" s="54" t="str">
        <f t="shared" ref="F142:F173" si="47">IF(L142="","",ABS(ROUND(12*C$7/(2*(H$7/1000)^2+2*(H$6/1000)*(H$7/1000)-(H$6/1000)^2)*(M142-M$14)*1,0)))</f>
        <v/>
      </c>
      <c r="G142" s="73" t="str">
        <f t="shared" ref="G142:G173" si="48">IF(L142="","",ROUND(1.5*((N142-O142)*1000*H$7)/(C$6*C$7^2),3))</f>
        <v/>
      </c>
      <c r="H142" s="56" t="str">
        <f t="shared" ref="H142:H173" si="49">IF(L142="","",ROUND(1.5*((N142/2-O142)*1000*H$7)/(C$6*C$7^2),3))</f>
        <v/>
      </c>
      <c r="I142" s="57" t="str">
        <f t="shared" ref="I142:I173" si="50">IF(L142="","",IF(P142&lt;=0,"foute meting",ROUND(0.000001*V$4*SQRT((1000000*Q142)^2+(1000000*P142+V$5*(2*PI()*H$5)^2)^2),0)))</f>
        <v/>
      </c>
      <c r="J142" s="58" t="str">
        <f t="shared" ref="J142:J173" si="51">IF(L142="","",ROUND(ATAN(Q142/P142)/PI()*180,1))</f>
        <v/>
      </c>
      <c r="L142" s="31" t="str">
        <f t="shared" ref="L142:L173" si="52">IF(AG144&lt;=0,"",AG144)</f>
        <v/>
      </c>
      <c r="M142" s="32" t="str">
        <f t="shared" si="34"/>
        <v/>
      </c>
      <c r="N142" s="32" t="str">
        <f t="shared" ref="N142:N173" si="53">IF(AI144="","",AI144)</f>
        <v/>
      </c>
      <c r="O142" s="32" t="str">
        <f t="shared" ref="O142:O173" si="54">IF(AH144="","",AH144)</f>
        <v/>
      </c>
      <c r="P142" s="32" t="str">
        <f t="shared" ref="P142:P173" si="55">IF(AJ144="","",AJ144)</f>
        <v/>
      </c>
      <c r="Q142" s="33" t="str">
        <f t="shared" ref="Q142:Q173" si="56">IF(AK144="","",AK144)</f>
        <v/>
      </c>
    </row>
    <row r="143" spans="2:17" x14ac:dyDescent="0.25">
      <c r="B143" s="9">
        <v>130</v>
      </c>
      <c r="C143" s="35">
        <v>46000</v>
      </c>
      <c r="D143" s="3"/>
      <c r="E143" s="9" t="str">
        <f t="shared" si="46"/>
        <v/>
      </c>
      <c r="F143" s="54" t="str">
        <f t="shared" si="47"/>
        <v/>
      </c>
      <c r="G143" s="73" t="str">
        <f t="shared" si="48"/>
        <v/>
      </c>
      <c r="H143" s="56" t="str">
        <f t="shared" si="49"/>
        <v/>
      </c>
      <c r="I143" s="57" t="str">
        <f t="shared" si="50"/>
        <v/>
      </c>
      <c r="J143" s="58" t="str">
        <f t="shared" si="51"/>
        <v/>
      </c>
      <c r="L143" s="31" t="str">
        <f t="shared" si="52"/>
        <v/>
      </c>
      <c r="M143" s="32" t="str">
        <f t="shared" ref="M143:M203" si="57">IF(AG145="","",AG145/2-AE145)</f>
        <v/>
      </c>
      <c r="N143" s="32" t="str">
        <f t="shared" si="53"/>
        <v/>
      </c>
      <c r="O143" s="32" t="str">
        <f t="shared" si="54"/>
        <v/>
      </c>
      <c r="P143" s="32" t="str">
        <f t="shared" si="55"/>
        <v/>
      </c>
      <c r="Q143" s="33" t="str">
        <f t="shared" si="56"/>
        <v/>
      </c>
    </row>
    <row r="144" spans="2:17" x14ac:dyDescent="0.25">
      <c r="B144" s="9">
        <v>131</v>
      </c>
      <c r="C144" s="35">
        <v>46500</v>
      </c>
      <c r="D144" s="3"/>
      <c r="E144" s="9" t="str">
        <f t="shared" si="46"/>
        <v/>
      </c>
      <c r="F144" s="54" t="str">
        <f t="shared" si="47"/>
        <v/>
      </c>
      <c r="G144" s="73" t="str">
        <f t="shared" si="48"/>
        <v/>
      </c>
      <c r="H144" s="56" t="str">
        <f t="shared" si="49"/>
        <v/>
      </c>
      <c r="I144" s="57" t="str">
        <f t="shared" si="50"/>
        <v/>
      </c>
      <c r="J144" s="58" t="str">
        <f t="shared" si="51"/>
        <v/>
      </c>
      <c r="L144" s="31" t="str">
        <f t="shared" si="52"/>
        <v/>
      </c>
      <c r="M144" s="32" t="str">
        <f t="shared" si="57"/>
        <v/>
      </c>
      <c r="N144" s="32" t="str">
        <f t="shared" si="53"/>
        <v/>
      </c>
      <c r="O144" s="32" t="str">
        <f t="shared" si="54"/>
        <v/>
      </c>
      <c r="P144" s="32" t="str">
        <f t="shared" si="55"/>
        <v/>
      </c>
      <c r="Q144" s="33" t="str">
        <f t="shared" si="56"/>
        <v/>
      </c>
    </row>
    <row r="145" spans="2:17" x14ac:dyDescent="0.25">
      <c r="B145" s="9">
        <v>132</v>
      </c>
      <c r="C145" s="35">
        <v>47000</v>
      </c>
      <c r="D145" s="3"/>
      <c r="E145" s="9" t="str">
        <f t="shared" si="46"/>
        <v/>
      </c>
      <c r="F145" s="54" t="str">
        <f t="shared" si="47"/>
        <v/>
      </c>
      <c r="G145" s="73" t="str">
        <f t="shared" si="48"/>
        <v/>
      </c>
      <c r="H145" s="56" t="str">
        <f t="shared" si="49"/>
        <v/>
      </c>
      <c r="I145" s="57" t="str">
        <f t="shared" si="50"/>
        <v/>
      </c>
      <c r="J145" s="58" t="str">
        <f t="shared" si="51"/>
        <v/>
      </c>
      <c r="L145" s="31" t="str">
        <f t="shared" si="52"/>
        <v/>
      </c>
      <c r="M145" s="32" t="str">
        <f t="shared" si="57"/>
        <v/>
      </c>
      <c r="N145" s="32" t="str">
        <f t="shared" si="53"/>
        <v/>
      </c>
      <c r="O145" s="32" t="str">
        <f t="shared" si="54"/>
        <v/>
      </c>
      <c r="P145" s="32" t="str">
        <f t="shared" si="55"/>
        <v/>
      </c>
      <c r="Q145" s="33" t="str">
        <f t="shared" si="56"/>
        <v/>
      </c>
    </row>
    <row r="146" spans="2:17" x14ac:dyDescent="0.25">
      <c r="B146" s="9">
        <v>133</v>
      </c>
      <c r="C146" s="35">
        <v>47500</v>
      </c>
      <c r="D146" s="3"/>
      <c r="E146" s="9" t="str">
        <f t="shared" si="46"/>
        <v/>
      </c>
      <c r="F146" s="54" t="str">
        <f t="shared" si="47"/>
        <v/>
      </c>
      <c r="G146" s="73" t="str">
        <f t="shared" si="48"/>
        <v/>
      </c>
      <c r="H146" s="56" t="str">
        <f t="shared" si="49"/>
        <v/>
      </c>
      <c r="I146" s="57" t="str">
        <f t="shared" si="50"/>
        <v/>
      </c>
      <c r="J146" s="58" t="str">
        <f t="shared" si="51"/>
        <v/>
      </c>
      <c r="L146" s="31" t="str">
        <f t="shared" si="52"/>
        <v/>
      </c>
      <c r="M146" s="32" t="str">
        <f t="shared" si="57"/>
        <v/>
      </c>
      <c r="N146" s="32" t="str">
        <f t="shared" si="53"/>
        <v/>
      </c>
      <c r="O146" s="32" t="str">
        <f t="shared" si="54"/>
        <v/>
      </c>
      <c r="P146" s="32" t="str">
        <f t="shared" si="55"/>
        <v/>
      </c>
      <c r="Q146" s="33" t="str">
        <f t="shared" si="56"/>
        <v/>
      </c>
    </row>
    <row r="147" spans="2:17" x14ac:dyDescent="0.25">
      <c r="B147" s="9">
        <v>134</v>
      </c>
      <c r="C147" s="35">
        <v>48000</v>
      </c>
      <c r="D147" s="3"/>
      <c r="E147" s="9" t="str">
        <f t="shared" si="46"/>
        <v/>
      </c>
      <c r="F147" s="54" t="str">
        <f t="shared" si="47"/>
        <v/>
      </c>
      <c r="G147" s="73" t="str">
        <f t="shared" si="48"/>
        <v/>
      </c>
      <c r="H147" s="56" t="str">
        <f t="shared" si="49"/>
        <v/>
      </c>
      <c r="I147" s="57" t="str">
        <f t="shared" si="50"/>
        <v/>
      </c>
      <c r="J147" s="58" t="str">
        <f t="shared" si="51"/>
        <v/>
      </c>
      <c r="L147" s="31" t="str">
        <f t="shared" si="52"/>
        <v/>
      </c>
      <c r="M147" s="32" t="str">
        <f t="shared" si="57"/>
        <v/>
      </c>
      <c r="N147" s="32" t="str">
        <f t="shared" si="53"/>
        <v/>
      </c>
      <c r="O147" s="32" t="str">
        <f t="shared" si="54"/>
        <v/>
      </c>
      <c r="P147" s="32" t="str">
        <f t="shared" si="55"/>
        <v/>
      </c>
      <c r="Q147" s="33" t="str">
        <f t="shared" si="56"/>
        <v/>
      </c>
    </row>
    <row r="148" spans="2:17" x14ac:dyDescent="0.25">
      <c r="B148" s="9">
        <v>135</v>
      </c>
      <c r="C148" s="35">
        <v>48500</v>
      </c>
      <c r="D148" s="3"/>
      <c r="E148" s="9" t="str">
        <f t="shared" si="46"/>
        <v/>
      </c>
      <c r="F148" s="54" t="str">
        <f t="shared" si="47"/>
        <v/>
      </c>
      <c r="G148" s="73" t="str">
        <f t="shared" si="48"/>
        <v/>
      </c>
      <c r="H148" s="56" t="str">
        <f t="shared" si="49"/>
        <v/>
      </c>
      <c r="I148" s="57" t="str">
        <f t="shared" si="50"/>
        <v/>
      </c>
      <c r="J148" s="58" t="str">
        <f t="shared" si="51"/>
        <v/>
      </c>
      <c r="L148" s="31" t="str">
        <f t="shared" si="52"/>
        <v/>
      </c>
      <c r="M148" s="32" t="str">
        <f t="shared" si="57"/>
        <v/>
      </c>
      <c r="N148" s="32" t="str">
        <f t="shared" si="53"/>
        <v/>
      </c>
      <c r="O148" s="32" t="str">
        <f t="shared" si="54"/>
        <v/>
      </c>
      <c r="P148" s="32" t="str">
        <f t="shared" si="55"/>
        <v/>
      </c>
      <c r="Q148" s="33" t="str">
        <f t="shared" si="56"/>
        <v/>
      </c>
    </row>
    <row r="149" spans="2:17" x14ac:dyDescent="0.25">
      <c r="B149" s="9">
        <v>136</v>
      </c>
      <c r="C149" s="35">
        <v>49000</v>
      </c>
      <c r="D149" s="3"/>
      <c r="E149" s="9" t="str">
        <f t="shared" si="46"/>
        <v/>
      </c>
      <c r="F149" s="54" t="str">
        <f t="shared" si="47"/>
        <v/>
      </c>
      <c r="G149" s="73" t="str">
        <f t="shared" si="48"/>
        <v/>
      </c>
      <c r="H149" s="56" t="str">
        <f t="shared" si="49"/>
        <v/>
      </c>
      <c r="I149" s="57" t="str">
        <f t="shared" si="50"/>
        <v/>
      </c>
      <c r="J149" s="58" t="str">
        <f t="shared" si="51"/>
        <v/>
      </c>
      <c r="L149" s="31" t="str">
        <f t="shared" si="52"/>
        <v/>
      </c>
      <c r="M149" s="32" t="str">
        <f t="shared" si="57"/>
        <v/>
      </c>
      <c r="N149" s="32" t="str">
        <f t="shared" si="53"/>
        <v/>
      </c>
      <c r="O149" s="32" t="str">
        <f t="shared" si="54"/>
        <v/>
      </c>
      <c r="P149" s="32" t="str">
        <f t="shared" si="55"/>
        <v/>
      </c>
      <c r="Q149" s="33" t="str">
        <f t="shared" si="56"/>
        <v/>
      </c>
    </row>
    <row r="150" spans="2:17" x14ac:dyDescent="0.25">
      <c r="B150" s="9">
        <v>137</v>
      </c>
      <c r="C150" s="35">
        <v>49500</v>
      </c>
      <c r="D150" s="3"/>
      <c r="E150" s="9" t="str">
        <f t="shared" si="46"/>
        <v/>
      </c>
      <c r="F150" s="54" t="str">
        <f t="shared" si="47"/>
        <v/>
      </c>
      <c r="G150" s="73" t="str">
        <f t="shared" si="48"/>
        <v/>
      </c>
      <c r="H150" s="56" t="str">
        <f t="shared" si="49"/>
        <v/>
      </c>
      <c r="I150" s="57" t="str">
        <f t="shared" si="50"/>
        <v/>
      </c>
      <c r="J150" s="58" t="str">
        <f t="shared" si="51"/>
        <v/>
      </c>
      <c r="L150" s="31" t="str">
        <f t="shared" si="52"/>
        <v/>
      </c>
      <c r="M150" s="32" t="str">
        <f t="shared" si="57"/>
        <v/>
      </c>
      <c r="N150" s="32" t="str">
        <f t="shared" si="53"/>
        <v/>
      </c>
      <c r="O150" s="32" t="str">
        <f t="shared" si="54"/>
        <v/>
      </c>
      <c r="P150" s="32" t="str">
        <f t="shared" si="55"/>
        <v/>
      </c>
      <c r="Q150" s="33" t="str">
        <f t="shared" si="56"/>
        <v/>
      </c>
    </row>
    <row r="151" spans="2:17" x14ac:dyDescent="0.25">
      <c r="B151" s="9">
        <v>138</v>
      </c>
      <c r="C151" s="35">
        <v>50000</v>
      </c>
      <c r="D151" s="3"/>
      <c r="E151" s="9" t="str">
        <f t="shared" si="46"/>
        <v/>
      </c>
      <c r="F151" s="54" t="str">
        <f t="shared" si="47"/>
        <v/>
      </c>
      <c r="G151" s="73" t="str">
        <f t="shared" si="48"/>
        <v/>
      </c>
      <c r="H151" s="56" t="str">
        <f t="shared" si="49"/>
        <v/>
      </c>
      <c r="I151" s="57" t="str">
        <f t="shared" si="50"/>
        <v/>
      </c>
      <c r="J151" s="58" t="str">
        <f t="shared" si="51"/>
        <v/>
      </c>
      <c r="L151" s="31" t="str">
        <f t="shared" si="52"/>
        <v/>
      </c>
      <c r="M151" s="32" t="str">
        <f t="shared" si="57"/>
        <v/>
      </c>
      <c r="N151" s="32" t="str">
        <f t="shared" si="53"/>
        <v/>
      </c>
      <c r="O151" s="32" t="str">
        <f t="shared" si="54"/>
        <v/>
      </c>
      <c r="P151" s="32" t="str">
        <f t="shared" si="55"/>
        <v/>
      </c>
      <c r="Q151" s="33" t="str">
        <f t="shared" si="56"/>
        <v/>
      </c>
    </row>
    <row r="152" spans="2:17" x14ac:dyDescent="0.25">
      <c r="B152" s="9">
        <v>139</v>
      </c>
      <c r="C152" s="35">
        <v>51000</v>
      </c>
      <c r="D152" s="3"/>
      <c r="E152" s="9" t="str">
        <f t="shared" si="46"/>
        <v/>
      </c>
      <c r="F152" s="54" t="str">
        <f t="shared" si="47"/>
        <v/>
      </c>
      <c r="G152" s="73" t="str">
        <f t="shared" si="48"/>
        <v/>
      </c>
      <c r="H152" s="56" t="str">
        <f t="shared" si="49"/>
        <v/>
      </c>
      <c r="I152" s="57" t="str">
        <f t="shared" si="50"/>
        <v/>
      </c>
      <c r="J152" s="58" t="str">
        <f t="shared" si="51"/>
        <v/>
      </c>
      <c r="L152" s="31" t="str">
        <f t="shared" si="52"/>
        <v/>
      </c>
      <c r="M152" s="32" t="str">
        <f t="shared" si="57"/>
        <v/>
      </c>
      <c r="N152" s="32" t="str">
        <f t="shared" si="53"/>
        <v/>
      </c>
      <c r="O152" s="32" t="str">
        <f t="shared" si="54"/>
        <v/>
      </c>
      <c r="P152" s="32" t="str">
        <f t="shared" si="55"/>
        <v/>
      </c>
      <c r="Q152" s="33" t="str">
        <f t="shared" si="56"/>
        <v/>
      </c>
    </row>
    <row r="153" spans="2:17" x14ac:dyDescent="0.25">
      <c r="B153" s="9">
        <v>140</v>
      </c>
      <c r="C153" s="35">
        <v>52000</v>
      </c>
      <c r="D153" s="3"/>
      <c r="E153" s="9" t="str">
        <f t="shared" si="46"/>
        <v/>
      </c>
      <c r="F153" s="54" t="str">
        <f t="shared" si="47"/>
        <v/>
      </c>
      <c r="G153" s="73" t="str">
        <f t="shared" si="48"/>
        <v/>
      </c>
      <c r="H153" s="56" t="str">
        <f t="shared" si="49"/>
        <v/>
      </c>
      <c r="I153" s="57" t="str">
        <f t="shared" si="50"/>
        <v/>
      </c>
      <c r="J153" s="58" t="str">
        <f t="shared" si="51"/>
        <v/>
      </c>
      <c r="L153" s="31" t="str">
        <f t="shared" si="52"/>
        <v/>
      </c>
      <c r="M153" s="32" t="str">
        <f t="shared" si="57"/>
        <v/>
      </c>
      <c r="N153" s="32" t="str">
        <f t="shared" si="53"/>
        <v/>
      </c>
      <c r="O153" s="32" t="str">
        <f t="shared" si="54"/>
        <v/>
      </c>
      <c r="P153" s="32" t="str">
        <f t="shared" si="55"/>
        <v/>
      </c>
      <c r="Q153" s="33" t="str">
        <f t="shared" si="56"/>
        <v/>
      </c>
    </row>
    <row r="154" spans="2:17" x14ac:dyDescent="0.25">
      <c r="B154" s="9">
        <v>141</v>
      </c>
      <c r="C154" s="35">
        <v>53000</v>
      </c>
      <c r="D154" s="3"/>
      <c r="E154" s="9" t="str">
        <f t="shared" si="46"/>
        <v/>
      </c>
      <c r="F154" s="54" t="str">
        <f t="shared" si="47"/>
        <v/>
      </c>
      <c r="G154" s="73" t="str">
        <f t="shared" si="48"/>
        <v/>
      </c>
      <c r="H154" s="56" t="str">
        <f t="shared" si="49"/>
        <v/>
      </c>
      <c r="I154" s="57" t="str">
        <f t="shared" si="50"/>
        <v/>
      </c>
      <c r="J154" s="58" t="str">
        <f t="shared" si="51"/>
        <v/>
      </c>
      <c r="L154" s="31" t="str">
        <f t="shared" si="52"/>
        <v/>
      </c>
      <c r="M154" s="32" t="str">
        <f t="shared" si="57"/>
        <v/>
      </c>
      <c r="N154" s="32" t="str">
        <f t="shared" si="53"/>
        <v/>
      </c>
      <c r="O154" s="32" t="str">
        <f t="shared" si="54"/>
        <v/>
      </c>
      <c r="P154" s="32" t="str">
        <f t="shared" si="55"/>
        <v/>
      </c>
      <c r="Q154" s="33" t="str">
        <f t="shared" si="56"/>
        <v/>
      </c>
    </row>
    <row r="155" spans="2:17" x14ac:dyDescent="0.25">
      <c r="B155" s="9">
        <v>142</v>
      </c>
      <c r="C155" s="35">
        <v>54000</v>
      </c>
      <c r="D155" s="3"/>
      <c r="E155" s="9" t="str">
        <f t="shared" si="46"/>
        <v/>
      </c>
      <c r="F155" s="54" t="str">
        <f t="shared" si="47"/>
        <v/>
      </c>
      <c r="G155" s="73" t="str">
        <f t="shared" si="48"/>
        <v/>
      </c>
      <c r="H155" s="56" t="str">
        <f t="shared" si="49"/>
        <v/>
      </c>
      <c r="I155" s="57" t="str">
        <f t="shared" si="50"/>
        <v/>
      </c>
      <c r="J155" s="58" t="str">
        <f t="shared" si="51"/>
        <v/>
      </c>
      <c r="L155" s="31" t="str">
        <f t="shared" si="52"/>
        <v/>
      </c>
      <c r="M155" s="32" t="str">
        <f t="shared" si="57"/>
        <v/>
      </c>
      <c r="N155" s="32" t="str">
        <f t="shared" si="53"/>
        <v/>
      </c>
      <c r="O155" s="32" t="str">
        <f t="shared" si="54"/>
        <v/>
      </c>
      <c r="P155" s="32" t="str">
        <f t="shared" si="55"/>
        <v/>
      </c>
      <c r="Q155" s="33" t="str">
        <f t="shared" si="56"/>
        <v/>
      </c>
    </row>
    <row r="156" spans="2:17" x14ac:dyDescent="0.25">
      <c r="B156" s="9">
        <v>143</v>
      </c>
      <c r="C156" s="35">
        <v>55000</v>
      </c>
      <c r="D156" s="3"/>
      <c r="E156" s="9" t="str">
        <f t="shared" si="46"/>
        <v/>
      </c>
      <c r="F156" s="54" t="str">
        <f t="shared" si="47"/>
        <v/>
      </c>
      <c r="G156" s="73" t="str">
        <f t="shared" si="48"/>
        <v/>
      </c>
      <c r="H156" s="56" t="str">
        <f t="shared" si="49"/>
        <v/>
      </c>
      <c r="I156" s="57" t="str">
        <f t="shared" si="50"/>
        <v/>
      </c>
      <c r="J156" s="58" t="str">
        <f t="shared" si="51"/>
        <v/>
      </c>
      <c r="L156" s="31" t="str">
        <f t="shared" si="52"/>
        <v/>
      </c>
      <c r="M156" s="32" t="str">
        <f t="shared" si="57"/>
        <v/>
      </c>
      <c r="N156" s="32" t="str">
        <f t="shared" si="53"/>
        <v/>
      </c>
      <c r="O156" s="32" t="str">
        <f t="shared" si="54"/>
        <v/>
      </c>
      <c r="P156" s="32" t="str">
        <f t="shared" si="55"/>
        <v/>
      </c>
      <c r="Q156" s="33" t="str">
        <f t="shared" si="56"/>
        <v/>
      </c>
    </row>
    <row r="157" spans="2:17" x14ac:dyDescent="0.25">
      <c r="B157" s="9">
        <v>144</v>
      </c>
      <c r="C157" s="35">
        <v>56000</v>
      </c>
      <c r="D157" s="3"/>
      <c r="E157" s="9" t="str">
        <f t="shared" si="46"/>
        <v/>
      </c>
      <c r="F157" s="54" t="str">
        <f t="shared" si="47"/>
        <v/>
      </c>
      <c r="G157" s="73" t="str">
        <f t="shared" si="48"/>
        <v/>
      </c>
      <c r="H157" s="56" t="str">
        <f t="shared" si="49"/>
        <v/>
      </c>
      <c r="I157" s="57" t="str">
        <f t="shared" si="50"/>
        <v/>
      </c>
      <c r="J157" s="58" t="str">
        <f t="shared" si="51"/>
        <v/>
      </c>
      <c r="L157" s="31" t="str">
        <f t="shared" si="52"/>
        <v/>
      </c>
      <c r="M157" s="32" t="str">
        <f t="shared" si="57"/>
        <v/>
      </c>
      <c r="N157" s="32" t="str">
        <f t="shared" si="53"/>
        <v/>
      </c>
      <c r="O157" s="32" t="str">
        <f t="shared" si="54"/>
        <v/>
      </c>
      <c r="P157" s="32" t="str">
        <f t="shared" si="55"/>
        <v/>
      </c>
      <c r="Q157" s="33" t="str">
        <f t="shared" si="56"/>
        <v/>
      </c>
    </row>
    <row r="158" spans="2:17" x14ac:dyDescent="0.25">
      <c r="B158" s="9">
        <v>145</v>
      </c>
      <c r="C158" s="35">
        <v>57000</v>
      </c>
      <c r="D158" s="3"/>
      <c r="E158" s="9" t="str">
        <f t="shared" si="46"/>
        <v/>
      </c>
      <c r="F158" s="54" t="str">
        <f t="shared" si="47"/>
        <v/>
      </c>
      <c r="G158" s="73" t="str">
        <f t="shared" si="48"/>
        <v/>
      </c>
      <c r="H158" s="56" t="str">
        <f t="shared" si="49"/>
        <v/>
      </c>
      <c r="I158" s="57" t="str">
        <f t="shared" si="50"/>
        <v/>
      </c>
      <c r="J158" s="58" t="str">
        <f t="shared" si="51"/>
        <v/>
      </c>
      <c r="L158" s="31" t="str">
        <f t="shared" si="52"/>
        <v/>
      </c>
      <c r="M158" s="32" t="str">
        <f t="shared" si="57"/>
        <v/>
      </c>
      <c r="N158" s="32" t="str">
        <f t="shared" si="53"/>
        <v/>
      </c>
      <c r="O158" s="32" t="str">
        <f t="shared" si="54"/>
        <v/>
      </c>
      <c r="P158" s="32" t="str">
        <f t="shared" si="55"/>
        <v/>
      </c>
      <c r="Q158" s="33" t="str">
        <f t="shared" si="56"/>
        <v/>
      </c>
    </row>
    <row r="159" spans="2:17" x14ac:dyDescent="0.25">
      <c r="B159" s="9">
        <v>146</v>
      </c>
      <c r="C159" s="35">
        <v>58000</v>
      </c>
      <c r="D159" s="3"/>
      <c r="E159" s="9" t="str">
        <f t="shared" si="46"/>
        <v/>
      </c>
      <c r="F159" s="54" t="str">
        <f t="shared" si="47"/>
        <v/>
      </c>
      <c r="G159" s="73" t="str">
        <f t="shared" si="48"/>
        <v/>
      </c>
      <c r="H159" s="56" t="str">
        <f t="shared" si="49"/>
        <v/>
      </c>
      <c r="I159" s="57" t="str">
        <f t="shared" si="50"/>
        <v/>
      </c>
      <c r="J159" s="58" t="str">
        <f t="shared" si="51"/>
        <v/>
      </c>
      <c r="L159" s="31" t="str">
        <f t="shared" si="52"/>
        <v/>
      </c>
      <c r="M159" s="32" t="str">
        <f t="shared" si="57"/>
        <v/>
      </c>
      <c r="N159" s="32" t="str">
        <f t="shared" si="53"/>
        <v/>
      </c>
      <c r="O159" s="32" t="str">
        <f t="shared" si="54"/>
        <v/>
      </c>
      <c r="P159" s="32" t="str">
        <f t="shared" si="55"/>
        <v/>
      </c>
      <c r="Q159" s="33" t="str">
        <f t="shared" si="56"/>
        <v/>
      </c>
    </row>
    <row r="160" spans="2:17" x14ac:dyDescent="0.25">
      <c r="B160" s="9">
        <v>147</v>
      </c>
      <c r="C160" s="35">
        <v>59000</v>
      </c>
      <c r="D160" s="3"/>
      <c r="E160" s="9" t="str">
        <f t="shared" si="46"/>
        <v/>
      </c>
      <c r="F160" s="54" t="str">
        <f t="shared" si="47"/>
        <v/>
      </c>
      <c r="G160" s="73" t="str">
        <f t="shared" si="48"/>
        <v/>
      </c>
      <c r="H160" s="56" t="str">
        <f t="shared" si="49"/>
        <v/>
      </c>
      <c r="I160" s="57" t="str">
        <f t="shared" si="50"/>
        <v/>
      </c>
      <c r="J160" s="58" t="str">
        <f t="shared" si="51"/>
        <v/>
      </c>
      <c r="L160" s="31" t="str">
        <f t="shared" si="52"/>
        <v/>
      </c>
      <c r="M160" s="32" t="str">
        <f t="shared" si="57"/>
        <v/>
      </c>
      <c r="N160" s="32" t="str">
        <f t="shared" si="53"/>
        <v/>
      </c>
      <c r="O160" s="32" t="str">
        <f t="shared" si="54"/>
        <v/>
      </c>
      <c r="P160" s="32" t="str">
        <f t="shared" si="55"/>
        <v/>
      </c>
      <c r="Q160" s="33" t="str">
        <f t="shared" si="56"/>
        <v/>
      </c>
    </row>
    <row r="161" spans="2:17" x14ac:dyDescent="0.25">
      <c r="B161" s="9">
        <v>148</v>
      </c>
      <c r="C161" s="35">
        <v>60000</v>
      </c>
      <c r="D161" s="3"/>
      <c r="E161" s="9" t="str">
        <f t="shared" si="46"/>
        <v/>
      </c>
      <c r="F161" s="54" t="str">
        <f t="shared" si="47"/>
        <v/>
      </c>
      <c r="G161" s="73" t="str">
        <f t="shared" si="48"/>
        <v/>
      </c>
      <c r="H161" s="56" t="str">
        <f t="shared" si="49"/>
        <v/>
      </c>
      <c r="I161" s="57" t="str">
        <f t="shared" si="50"/>
        <v/>
      </c>
      <c r="J161" s="58" t="str">
        <f t="shared" si="51"/>
        <v/>
      </c>
      <c r="L161" s="31" t="str">
        <f t="shared" si="52"/>
        <v/>
      </c>
      <c r="M161" s="32" t="str">
        <f t="shared" si="57"/>
        <v/>
      </c>
      <c r="N161" s="32" t="str">
        <f t="shared" si="53"/>
        <v/>
      </c>
      <c r="O161" s="32" t="str">
        <f t="shared" si="54"/>
        <v/>
      </c>
      <c r="P161" s="32" t="str">
        <f t="shared" si="55"/>
        <v/>
      </c>
      <c r="Q161" s="33" t="str">
        <f t="shared" si="56"/>
        <v/>
      </c>
    </row>
    <row r="162" spans="2:17" x14ac:dyDescent="0.25">
      <c r="B162" s="9">
        <v>149</v>
      </c>
      <c r="C162" s="35">
        <v>62000</v>
      </c>
      <c r="D162" s="3"/>
      <c r="E162" s="9" t="str">
        <f t="shared" si="46"/>
        <v/>
      </c>
      <c r="F162" s="54" t="str">
        <f t="shared" si="47"/>
        <v/>
      </c>
      <c r="G162" s="73" t="str">
        <f t="shared" si="48"/>
        <v/>
      </c>
      <c r="H162" s="56" t="str">
        <f t="shared" si="49"/>
        <v/>
      </c>
      <c r="I162" s="57" t="str">
        <f t="shared" si="50"/>
        <v/>
      </c>
      <c r="J162" s="58" t="str">
        <f t="shared" si="51"/>
        <v/>
      </c>
      <c r="L162" s="31" t="str">
        <f t="shared" si="52"/>
        <v/>
      </c>
      <c r="M162" s="32" t="str">
        <f t="shared" si="57"/>
        <v/>
      </c>
      <c r="N162" s="32" t="str">
        <f t="shared" si="53"/>
        <v/>
      </c>
      <c r="O162" s="32" t="str">
        <f t="shared" si="54"/>
        <v/>
      </c>
      <c r="P162" s="32" t="str">
        <f t="shared" si="55"/>
        <v/>
      </c>
      <c r="Q162" s="33" t="str">
        <f t="shared" si="56"/>
        <v/>
      </c>
    </row>
    <row r="163" spans="2:17" x14ac:dyDescent="0.25">
      <c r="B163" s="9">
        <v>150</v>
      </c>
      <c r="C163" s="35">
        <v>64000</v>
      </c>
      <c r="D163" s="2"/>
      <c r="E163" s="9" t="str">
        <f t="shared" si="46"/>
        <v/>
      </c>
      <c r="F163" s="54" t="str">
        <f t="shared" si="47"/>
        <v/>
      </c>
      <c r="G163" s="73" t="str">
        <f t="shared" si="48"/>
        <v/>
      </c>
      <c r="H163" s="56" t="str">
        <f t="shared" si="49"/>
        <v/>
      </c>
      <c r="I163" s="57" t="str">
        <f t="shared" si="50"/>
        <v/>
      </c>
      <c r="J163" s="58" t="str">
        <f t="shared" si="51"/>
        <v/>
      </c>
      <c r="L163" s="31" t="str">
        <f t="shared" si="52"/>
        <v/>
      </c>
      <c r="M163" s="32" t="str">
        <f t="shared" si="57"/>
        <v/>
      </c>
      <c r="N163" s="32" t="str">
        <f t="shared" si="53"/>
        <v/>
      </c>
      <c r="O163" s="32" t="str">
        <f t="shared" si="54"/>
        <v/>
      </c>
      <c r="P163" s="32" t="str">
        <f t="shared" si="55"/>
        <v/>
      </c>
      <c r="Q163" s="33" t="str">
        <f t="shared" si="56"/>
        <v/>
      </c>
    </row>
    <row r="164" spans="2:17" x14ac:dyDescent="0.25">
      <c r="B164" s="9">
        <v>151</v>
      </c>
      <c r="C164" s="35">
        <v>68000</v>
      </c>
      <c r="D164" s="2"/>
      <c r="E164" s="9" t="str">
        <f t="shared" si="46"/>
        <v/>
      </c>
      <c r="F164" s="54" t="str">
        <f t="shared" si="47"/>
        <v/>
      </c>
      <c r="G164" s="73" t="str">
        <f t="shared" si="48"/>
        <v/>
      </c>
      <c r="H164" s="56" t="str">
        <f t="shared" si="49"/>
        <v/>
      </c>
      <c r="I164" s="57" t="str">
        <f t="shared" si="50"/>
        <v/>
      </c>
      <c r="J164" s="58" t="str">
        <f t="shared" si="51"/>
        <v/>
      </c>
      <c r="L164" s="31" t="str">
        <f t="shared" si="52"/>
        <v/>
      </c>
      <c r="M164" s="32" t="str">
        <f t="shared" si="57"/>
        <v/>
      </c>
      <c r="N164" s="32" t="str">
        <f t="shared" si="53"/>
        <v/>
      </c>
      <c r="O164" s="32" t="str">
        <f t="shared" si="54"/>
        <v/>
      </c>
      <c r="P164" s="32" t="str">
        <f t="shared" si="55"/>
        <v/>
      </c>
      <c r="Q164" s="33" t="str">
        <f t="shared" si="56"/>
        <v/>
      </c>
    </row>
    <row r="165" spans="2:17" x14ac:dyDescent="0.25">
      <c r="B165" s="9">
        <v>152</v>
      </c>
      <c r="C165" s="35">
        <v>68000</v>
      </c>
      <c r="D165" s="2"/>
      <c r="E165" s="9" t="str">
        <f t="shared" si="46"/>
        <v/>
      </c>
      <c r="F165" s="54" t="str">
        <f t="shared" si="47"/>
        <v/>
      </c>
      <c r="G165" s="73" t="str">
        <f t="shared" si="48"/>
        <v/>
      </c>
      <c r="H165" s="56" t="str">
        <f t="shared" si="49"/>
        <v/>
      </c>
      <c r="I165" s="57" t="str">
        <f t="shared" si="50"/>
        <v/>
      </c>
      <c r="J165" s="58" t="str">
        <f t="shared" si="51"/>
        <v/>
      </c>
      <c r="L165" s="31" t="str">
        <f t="shared" si="52"/>
        <v/>
      </c>
      <c r="M165" s="32" t="str">
        <f t="shared" si="57"/>
        <v/>
      </c>
      <c r="N165" s="32" t="str">
        <f t="shared" si="53"/>
        <v/>
      </c>
      <c r="O165" s="32" t="str">
        <f t="shared" si="54"/>
        <v/>
      </c>
      <c r="P165" s="32" t="str">
        <f t="shared" si="55"/>
        <v/>
      </c>
      <c r="Q165" s="33" t="str">
        <f t="shared" si="56"/>
        <v/>
      </c>
    </row>
    <row r="166" spans="2:17" x14ac:dyDescent="0.25">
      <c r="B166" s="9">
        <v>153</v>
      </c>
      <c r="C166" s="35">
        <v>70000</v>
      </c>
      <c r="D166" s="2"/>
      <c r="E166" s="9" t="str">
        <f t="shared" si="46"/>
        <v/>
      </c>
      <c r="F166" s="54" t="str">
        <f t="shared" si="47"/>
        <v/>
      </c>
      <c r="G166" s="73" t="str">
        <f t="shared" si="48"/>
        <v/>
      </c>
      <c r="H166" s="56" t="str">
        <f t="shared" si="49"/>
        <v/>
      </c>
      <c r="I166" s="57" t="str">
        <f t="shared" si="50"/>
        <v/>
      </c>
      <c r="J166" s="58" t="str">
        <f t="shared" si="51"/>
        <v/>
      </c>
      <c r="L166" s="31" t="str">
        <f t="shared" si="52"/>
        <v/>
      </c>
      <c r="M166" s="32" t="str">
        <f t="shared" si="57"/>
        <v/>
      </c>
      <c r="N166" s="32" t="str">
        <f t="shared" si="53"/>
        <v/>
      </c>
      <c r="O166" s="32" t="str">
        <f t="shared" si="54"/>
        <v/>
      </c>
      <c r="P166" s="32" t="str">
        <f t="shared" si="55"/>
        <v/>
      </c>
      <c r="Q166" s="33" t="str">
        <f t="shared" si="56"/>
        <v/>
      </c>
    </row>
    <row r="167" spans="2:17" x14ac:dyDescent="0.25">
      <c r="B167" s="9">
        <v>154</v>
      </c>
      <c r="C167" s="35">
        <v>72000</v>
      </c>
      <c r="D167" s="2"/>
      <c r="E167" s="9" t="str">
        <f t="shared" si="46"/>
        <v/>
      </c>
      <c r="F167" s="54" t="str">
        <f t="shared" si="47"/>
        <v/>
      </c>
      <c r="G167" s="73" t="str">
        <f t="shared" si="48"/>
        <v/>
      </c>
      <c r="H167" s="56" t="str">
        <f t="shared" si="49"/>
        <v/>
      </c>
      <c r="I167" s="57" t="str">
        <f t="shared" si="50"/>
        <v/>
      </c>
      <c r="J167" s="58" t="str">
        <f t="shared" si="51"/>
        <v/>
      </c>
      <c r="L167" s="31" t="str">
        <f t="shared" si="52"/>
        <v/>
      </c>
      <c r="M167" s="32" t="str">
        <f t="shared" si="57"/>
        <v/>
      </c>
      <c r="N167" s="32" t="str">
        <f t="shared" si="53"/>
        <v/>
      </c>
      <c r="O167" s="32" t="str">
        <f t="shared" si="54"/>
        <v/>
      </c>
      <c r="P167" s="32" t="str">
        <f t="shared" si="55"/>
        <v/>
      </c>
      <c r="Q167" s="33" t="str">
        <f t="shared" si="56"/>
        <v/>
      </c>
    </row>
    <row r="168" spans="2:17" x14ac:dyDescent="0.25">
      <c r="B168" s="9">
        <v>155</v>
      </c>
      <c r="C168" s="35">
        <v>74000</v>
      </c>
      <c r="D168" s="2"/>
      <c r="E168" s="9" t="str">
        <f t="shared" si="46"/>
        <v/>
      </c>
      <c r="F168" s="54" t="str">
        <f t="shared" si="47"/>
        <v/>
      </c>
      <c r="G168" s="73" t="str">
        <f t="shared" si="48"/>
        <v/>
      </c>
      <c r="H168" s="56" t="str">
        <f t="shared" si="49"/>
        <v/>
      </c>
      <c r="I168" s="57" t="str">
        <f t="shared" si="50"/>
        <v/>
      </c>
      <c r="J168" s="58" t="str">
        <f t="shared" si="51"/>
        <v/>
      </c>
      <c r="L168" s="31" t="str">
        <f t="shared" si="52"/>
        <v/>
      </c>
      <c r="M168" s="32" t="str">
        <f t="shared" si="57"/>
        <v/>
      </c>
      <c r="N168" s="32" t="str">
        <f t="shared" si="53"/>
        <v/>
      </c>
      <c r="O168" s="32" t="str">
        <f t="shared" si="54"/>
        <v/>
      </c>
      <c r="P168" s="32" t="str">
        <f t="shared" si="55"/>
        <v/>
      </c>
      <c r="Q168" s="33" t="str">
        <f t="shared" si="56"/>
        <v/>
      </c>
    </row>
    <row r="169" spans="2:17" x14ac:dyDescent="0.25">
      <c r="B169" s="9">
        <v>156</v>
      </c>
      <c r="C169" s="35">
        <v>76000</v>
      </c>
      <c r="D169" s="2"/>
      <c r="E169" s="9" t="str">
        <f t="shared" si="46"/>
        <v/>
      </c>
      <c r="F169" s="54" t="str">
        <f t="shared" si="47"/>
        <v/>
      </c>
      <c r="G169" s="73" t="str">
        <f t="shared" si="48"/>
        <v/>
      </c>
      <c r="H169" s="56" t="str">
        <f t="shared" si="49"/>
        <v/>
      </c>
      <c r="I169" s="57" t="str">
        <f t="shared" si="50"/>
        <v/>
      </c>
      <c r="J169" s="58" t="str">
        <f t="shared" si="51"/>
        <v/>
      </c>
      <c r="L169" s="31" t="str">
        <f t="shared" si="52"/>
        <v/>
      </c>
      <c r="M169" s="32" t="str">
        <f t="shared" si="57"/>
        <v/>
      </c>
      <c r="N169" s="32" t="str">
        <f t="shared" si="53"/>
        <v/>
      </c>
      <c r="O169" s="32" t="str">
        <f t="shared" si="54"/>
        <v/>
      </c>
      <c r="P169" s="32" t="str">
        <f t="shared" si="55"/>
        <v/>
      </c>
      <c r="Q169" s="33" t="str">
        <f t="shared" si="56"/>
        <v/>
      </c>
    </row>
    <row r="170" spans="2:17" x14ac:dyDescent="0.25">
      <c r="B170" s="9">
        <v>157</v>
      </c>
      <c r="C170" s="35">
        <v>78000</v>
      </c>
      <c r="D170" s="2"/>
      <c r="E170" s="9" t="str">
        <f t="shared" si="46"/>
        <v/>
      </c>
      <c r="F170" s="54" t="str">
        <f t="shared" si="47"/>
        <v/>
      </c>
      <c r="G170" s="73" t="str">
        <f t="shared" si="48"/>
        <v/>
      </c>
      <c r="H170" s="56" t="str">
        <f t="shared" si="49"/>
        <v/>
      </c>
      <c r="I170" s="57" t="str">
        <f t="shared" si="50"/>
        <v/>
      </c>
      <c r="J170" s="58" t="str">
        <f t="shared" si="51"/>
        <v/>
      </c>
      <c r="L170" s="31" t="str">
        <f t="shared" si="52"/>
        <v/>
      </c>
      <c r="M170" s="32" t="str">
        <f t="shared" si="57"/>
        <v/>
      </c>
      <c r="N170" s="32" t="str">
        <f t="shared" si="53"/>
        <v/>
      </c>
      <c r="O170" s="32" t="str">
        <f t="shared" si="54"/>
        <v/>
      </c>
      <c r="P170" s="32" t="str">
        <f t="shared" si="55"/>
        <v/>
      </c>
      <c r="Q170" s="33" t="str">
        <f t="shared" si="56"/>
        <v/>
      </c>
    </row>
    <row r="171" spans="2:17" x14ac:dyDescent="0.25">
      <c r="B171" s="9">
        <v>158</v>
      </c>
      <c r="C171" s="35">
        <v>80000</v>
      </c>
      <c r="D171" s="2"/>
      <c r="E171" s="9" t="str">
        <f t="shared" si="46"/>
        <v/>
      </c>
      <c r="F171" s="54" t="str">
        <f t="shared" si="47"/>
        <v/>
      </c>
      <c r="G171" s="73" t="str">
        <f t="shared" si="48"/>
        <v/>
      </c>
      <c r="H171" s="56" t="str">
        <f t="shared" si="49"/>
        <v/>
      </c>
      <c r="I171" s="57" t="str">
        <f t="shared" si="50"/>
        <v/>
      </c>
      <c r="J171" s="58" t="str">
        <f t="shared" si="51"/>
        <v/>
      </c>
      <c r="L171" s="31" t="str">
        <f t="shared" si="52"/>
        <v/>
      </c>
      <c r="M171" s="32" t="str">
        <f t="shared" si="57"/>
        <v/>
      </c>
      <c r="N171" s="32" t="str">
        <f t="shared" si="53"/>
        <v/>
      </c>
      <c r="O171" s="32" t="str">
        <f t="shared" si="54"/>
        <v/>
      </c>
      <c r="P171" s="32" t="str">
        <f t="shared" si="55"/>
        <v/>
      </c>
      <c r="Q171" s="33" t="str">
        <f t="shared" si="56"/>
        <v/>
      </c>
    </row>
    <row r="172" spans="2:17" x14ac:dyDescent="0.25">
      <c r="B172" s="9">
        <v>159</v>
      </c>
      <c r="C172" s="35">
        <v>82000</v>
      </c>
      <c r="D172" s="2"/>
      <c r="E172" s="9" t="str">
        <f t="shared" si="46"/>
        <v/>
      </c>
      <c r="F172" s="54" t="str">
        <f t="shared" si="47"/>
        <v/>
      </c>
      <c r="G172" s="73" t="str">
        <f t="shared" si="48"/>
        <v/>
      </c>
      <c r="H172" s="56" t="str">
        <f t="shared" si="49"/>
        <v/>
      </c>
      <c r="I172" s="57" t="str">
        <f t="shared" si="50"/>
        <v/>
      </c>
      <c r="J172" s="58" t="str">
        <f t="shared" si="51"/>
        <v/>
      </c>
      <c r="L172" s="31" t="str">
        <f t="shared" si="52"/>
        <v/>
      </c>
      <c r="M172" s="32" t="str">
        <f t="shared" si="57"/>
        <v/>
      </c>
      <c r="N172" s="32" t="str">
        <f t="shared" si="53"/>
        <v/>
      </c>
      <c r="O172" s="32" t="str">
        <f t="shared" si="54"/>
        <v/>
      </c>
      <c r="P172" s="32" t="str">
        <f t="shared" si="55"/>
        <v/>
      </c>
      <c r="Q172" s="33" t="str">
        <f t="shared" si="56"/>
        <v/>
      </c>
    </row>
    <row r="173" spans="2:17" x14ac:dyDescent="0.25">
      <c r="B173" s="9">
        <v>160</v>
      </c>
      <c r="C173" s="35">
        <v>84000</v>
      </c>
      <c r="D173" s="2"/>
      <c r="E173" s="9" t="str">
        <f t="shared" si="46"/>
        <v/>
      </c>
      <c r="F173" s="54" t="str">
        <f t="shared" si="47"/>
        <v/>
      </c>
      <c r="G173" s="73" t="str">
        <f t="shared" si="48"/>
        <v/>
      </c>
      <c r="H173" s="56" t="str">
        <f t="shared" si="49"/>
        <v/>
      </c>
      <c r="I173" s="57" t="str">
        <f t="shared" si="50"/>
        <v/>
      </c>
      <c r="J173" s="58" t="str">
        <f t="shared" si="51"/>
        <v/>
      </c>
      <c r="L173" s="31" t="str">
        <f t="shared" si="52"/>
        <v/>
      </c>
      <c r="M173" s="32" t="str">
        <f t="shared" si="57"/>
        <v/>
      </c>
      <c r="N173" s="32" t="str">
        <f t="shared" si="53"/>
        <v/>
      </c>
      <c r="O173" s="32" t="str">
        <f t="shared" si="54"/>
        <v/>
      </c>
      <c r="P173" s="32" t="str">
        <f t="shared" si="55"/>
        <v/>
      </c>
      <c r="Q173" s="33" t="str">
        <f t="shared" si="56"/>
        <v/>
      </c>
    </row>
    <row r="174" spans="2:17" x14ac:dyDescent="0.25">
      <c r="B174" s="9">
        <v>161</v>
      </c>
      <c r="C174" s="35">
        <v>86000</v>
      </c>
      <c r="D174" s="2"/>
      <c r="E174" s="9" t="str">
        <f t="shared" ref="E174:E203" si="58">IF(L174="","",ROUND(12*C$7/(2*H$7^2+2*H$6*H$7-H$6^2)*L174*1000000,0))</f>
        <v/>
      </c>
      <c r="F174" s="54" t="str">
        <f t="shared" ref="F174:F203" si="59">IF(L174="","",ABS(ROUND(12*C$7/(2*(H$7/1000)^2+2*(H$6/1000)*(H$7/1000)-(H$6/1000)^2)*(M174-M$14)*1,0)))</f>
        <v/>
      </c>
      <c r="G174" s="73" t="str">
        <f t="shared" ref="G174:G203" si="60">IF(L174="","",ROUND(1.5*((N174-O174)*1000*H$7)/(C$6*C$7^2),3))</f>
        <v/>
      </c>
      <c r="H174" s="56" t="str">
        <f t="shared" ref="H174:H203" si="61">IF(L174="","",ROUND(1.5*((N174/2-O174)*1000*H$7)/(C$6*C$7^2),3))</f>
        <v/>
      </c>
      <c r="I174" s="57" t="str">
        <f t="shared" ref="I174:I203" si="62">IF(L174="","",IF(P174&lt;=0,"foute meting",ROUND(0.000001*V$4*SQRT((1000000*Q174)^2+(1000000*P174+V$5*(2*PI()*H$5)^2)^2),0)))</f>
        <v/>
      </c>
      <c r="J174" s="58" t="str">
        <f t="shared" ref="J174:J203" si="63">IF(L174="","",ROUND(ATAN(Q174/P174)/PI()*180,1))</f>
        <v/>
      </c>
      <c r="L174" s="31" t="str">
        <f t="shared" ref="L174:L203" si="64">IF(AG176&lt;=0,"",AG176)</f>
        <v/>
      </c>
      <c r="M174" s="32" t="str">
        <f t="shared" si="57"/>
        <v/>
      </c>
      <c r="N174" s="32" t="str">
        <f t="shared" ref="N174:N203" si="65">IF(AI176="","",AI176)</f>
        <v/>
      </c>
      <c r="O174" s="32" t="str">
        <f t="shared" ref="O174:O203" si="66">IF(AH176="","",AH176)</f>
        <v/>
      </c>
      <c r="P174" s="32" t="str">
        <f t="shared" ref="P174:P203" si="67">IF(AJ176="","",AJ176)</f>
        <v/>
      </c>
      <c r="Q174" s="33" t="str">
        <f t="shared" ref="Q174:Q203" si="68">IF(AK176="","",AK176)</f>
        <v/>
      </c>
    </row>
    <row r="175" spans="2:17" x14ac:dyDescent="0.25">
      <c r="B175" s="9">
        <v>162</v>
      </c>
      <c r="C175" s="35">
        <v>88000</v>
      </c>
      <c r="D175" s="2"/>
      <c r="E175" s="9" t="str">
        <f t="shared" si="58"/>
        <v/>
      </c>
      <c r="F175" s="54" t="str">
        <f t="shared" si="59"/>
        <v/>
      </c>
      <c r="G175" s="73" t="str">
        <f t="shared" si="60"/>
        <v/>
      </c>
      <c r="H175" s="56" t="str">
        <f t="shared" si="61"/>
        <v/>
      </c>
      <c r="I175" s="57" t="str">
        <f t="shared" si="62"/>
        <v/>
      </c>
      <c r="J175" s="58" t="str">
        <f t="shared" si="63"/>
        <v/>
      </c>
      <c r="L175" s="31" t="str">
        <f t="shared" si="64"/>
        <v/>
      </c>
      <c r="M175" s="32" t="str">
        <f t="shared" si="57"/>
        <v/>
      </c>
      <c r="N175" s="32" t="str">
        <f t="shared" si="65"/>
        <v/>
      </c>
      <c r="O175" s="32" t="str">
        <f t="shared" si="66"/>
        <v/>
      </c>
      <c r="P175" s="32" t="str">
        <f t="shared" si="67"/>
        <v/>
      </c>
      <c r="Q175" s="33" t="str">
        <f t="shared" si="68"/>
        <v/>
      </c>
    </row>
    <row r="176" spans="2:17" x14ac:dyDescent="0.25">
      <c r="B176" s="9">
        <v>163</v>
      </c>
      <c r="C176" s="35">
        <v>90000</v>
      </c>
      <c r="D176" s="2"/>
      <c r="E176" s="9" t="str">
        <f t="shared" si="58"/>
        <v/>
      </c>
      <c r="F176" s="54" t="str">
        <f t="shared" si="59"/>
        <v/>
      </c>
      <c r="G176" s="73" t="str">
        <f t="shared" si="60"/>
        <v/>
      </c>
      <c r="H176" s="56" t="str">
        <f t="shared" si="61"/>
        <v/>
      </c>
      <c r="I176" s="57" t="str">
        <f t="shared" si="62"/>
        <v/>
      </c>
      <c r="J176" s="58" t="str">
        <f t="shared" si="63"/>
        <v/>
      </c>
      <c r="L176" s="31" t="str">
        <f t="shared" si="64"/>
        <v/>
      </c>
      <c r="M176" s="32" t="str">
        <f t="shared" si="57"/>
        <v/>
      </c>
      <c r="N176" s="32" t="str">
        <f t="shared" si="65"/>
        <v/>
      </c>
      <c r="O176" s="32" t="str">
        <f t="shared" si="66"/>
        <v/>
      </c>
      <c r="P176" s="32" t="str">
        <f t="shared" si="67"/>
        <v/>
      </c>
      <c r="Q176" s="33" t="str">
        <f t="shared" si="68"/>
        <v/>
      </c>
    </row>
    <row r="177" spans="2:17" x14ac:dyDescent="0.25">
      <c r="B177" s="9">
        <v>164</v>
      </c>
      <c r="C177" s="35">
        <v>92000</v>
      </c>
      <c r="D177" s="2"/>
      <c r="E177" s="9" t="str">
        <f t="shared" si="58"/>
        <v/>
      </c>
      <c r="F177" s="54" t="str">
        <f t="shared" si="59"/>
        <v/>
      </c>
      <c r="G177" s="73" t="str">
        <f t="shared" si="60"/>
        <v/>
      </c>
      <c r="H177" s="56" t="str">
        <f t="shared" si="61"/>
        <v/>
      </c>
      <c r="I177" s="57" t="str">
        <f t="shared" si="62"/>
        <v/>
      </c>
      <c r="J177" s="58" t="str">
        <f t="shared" si="63"/>
        <v/>
      </c>
      <c r="L177" s="31" t="str">
        <f t="shared" si="64"/>
        <v/>
      </c>
      <c r="M177" s="32" t="str">
        <f t="shared" si="57"/>
        <v/>
      </c>
      <c r="N177" s="32" t="str">
        <f t="shared" si="65"/>
        <v/>
      </c>
      <c r="O177" s="32" t="str">
        <f t="shared" si="66"/>
        <v/>
      </c>
      <c r="P177" s="32" t="str">
        <f t="shared" si="67"/>
        <v/>
      </c>
      <c r="Q177" s="33" t="str">
        <f t="shared" si="68"/>
        <v/>
      </c>
    </row>
    <row r="178" spans="2:17" x14ac:dyDescent="0.25">
      <c r="B178" s="9">
        <v>165</v>
      </c>
      <c r="C178" s="35">
        <v>94000</v>
      </c>
      <c r="D178" s="2"/>
      <c r="E178" s="9" t="str">
        <f t="shared" si="58"/>
        <v/>
      </c>
      <c r="F178" s="54" t="str">
        <f t="shared" si="59"/>
        <v/>
      </c>
      <c r="G178" s="73" t="str">
        <f t="shared" si="60"/>
        <v/>
      </c>
      <c r="H178" s="56" t="str">
        <f t="shared" si="61"/>
        <v/>
      </c>
      <c r="I178" s="57" t="str">
        <f t="shared" si="62"/>
        <v/>
      </c>
      <c r="J178" s="58" t="str">
        <f t="shared" si="63"/>
        <v/>
      </c>
      <c r="L178" s="31" t="str">
        <f t="shared" si="64"/>
        <v/>
      </c>
      <c r="M178" s="32" t="str">
        <f t="shared" si="57"/>
        <v/>
      </c>
      <c r="N178" s="32" t="str">
        <f t="shared" si="65"/>
        <v/>
      </c>
      <c r="O178" s="32" t="str">
        <f t="shared" si="66"/>
        <v/>
      </c>
      <c r="P178" s="32" t="str">
        <f t="shared" si="67"/>
        <v/>
      </c>
      <c r="Q178" s="33" t="str">
        <f t="shared" si="68"/>
        <v/>
      </c>
    </row>
    <row r="179" spans="2:17" x14ac:dyDescent="0.25">
      <c r="B179" s="9">
        <v>166</v>
      </c>
      <c r="C179" s="35">
        <v>96000</v>
      </c>
      <c r="D179" s="2"/>
      <c r="E179" s="9" t="str">
        <f t="shared" si="58"/>
        <v/>
      </c>
      <c r="F179" s="54" t="str">
        <f t="shared" si="59"/>
        <v/>
      </c>
      <c r="G179" s="73" t="str">
        <f t="shared" si="60"/>
        <v/>
      </c>
      <c r="H179" s="56" t="str">
        <f t="shared" si="61"/>
        <v/>
      </c>
      <c r="I179" s="57" t="str">
        <f t="shared" si="62"/>
        <v/>
      </c>
      <c r="J179" s="58" t="str">
        <f t="shared" si="63"/>
        <v/>
      </c>
      <c r="L179" s="31" t="str">
        <f t="shared" si="64"/>
        <v/>
      </c>
      <c r="M179" s="32" t="str">
        <f t="shared" si="57"/>
        <v/>
      </c>
      <c r="N179" s="32" t="str">
        <f t="shared" si="65"/>
        <v/>
      </c>
      <c r="O179" s="32" t="str">
        <f t="shared" si="66"/>
        <v/>
      </c>
      <c r="P179" s="32" t="str">
        <f t="shared" si="67"/>
        <v/>
      </c>
      <c r="Q179" s="33" t="str">
        <f t="shared" si="68"/>
        <v/>
      </c>
    </row>
    <row r="180" spans="2:17" x14ac:dyDescent="0.25">
      <c r="B180" s="9">
        <v>167</v>
      </c>
      <c r="C180" s="35">
        <v>98000</v>
      </c>
      <c r="D180" s="2"/>
      <c r="E180" s="9" t="str">
        <f t="shared" si="58"/>
        <v/>
      </c>
      <c r="F180" s="54" t="str">
        <f t="shared" si="59"/>
        <v/>
      </c>
      <c r="G180" s="73" t="str">
        <f t="shared" si="60"/>
        <v/>
      </c>
      <c r="H180" s="56" t="str">
        <f t="shared" si="61"/>
        <v/>
      </c>
      <c r="I180" s="57" t="str">
        <f t="shared" si="62"/>
        <v/>
      </c>
      <c r="J180" s="58" t="str">
        <f t="shared" si="63"/>
        <v/>
      </c>
      <c r="L180" s="31" t="str">
        <f t="shared" si="64"/>
        <v/>
      </c>
      <c r="M180" s="32" t="str">
        <f t="shared" si="57"/>
        <v/>
      </c>
      <c r="N180" s="32" t="str">
        <f t="shared" si="65"/>
        <v/>
      </c>
      <c r="O180" s="32" t="str">
        <f t="shared" si="66"/>
        <v/>
      </c>
      <c r="P180" s="32" t="str">
        <f t="shared" si="67"/>
        <v/>
      </c>
      <c r="Q180" s="33" t="str">
        <f t="shared" si="68"/>
        <v/>
      </c>
    </row>
    <row r="181" spans="2:17" x14ac:dyDescent="0.25">
      <c r="B181" s="9">
        <v>168</v>
      </c>
      <c r="C181" s="35">
        <v>100000</v>
      </c>
      <c r="D181" s="2"/>
      <c r="E181" s="9" t="str">
        <f t="shared" si="58"/>
        <v/>
      </c>
      <c r="F181" s="54" t="str">
        <f t="shared" si="59"/>
        <v/>
      </c>
      <c r="G181" s="73" t="str">
        <f t="shared" si="60"/>
        <v/>
      </c>
      <c r="H181" s="56" t="str">
        <f t="shared" si="61"/>
        <v/>
      </c>
      <c r="I181" s="57" t="str">
        <f t="shared" si="62"/>
        <v/>
      </c>
      <c r="J181" s="58" t="str">
        <f t="shared" si="63"/>
        <v/>
      </c>
      <c r="L181" s="31" t="str">
        <f t="shared" si="64"/>
        <v/>
      </c>
      <c r="M181" s="32" t="str">
        <f t="shared" si="57"/>
        <v/>
      </c>
      <c r="N181" s="32" t="str">
        <f t="shared" si="65"/>
        <v/>
      </c>
      <c r="O181" s="32" t="str">
        <f t="shared" si="66"/>
        <v/>
      </c>
      <c r="P181" s="32" t="str">
        <f t="shared" si="67"/>
        <v/>
      </c>
      <c r="Q181" s="33" t="str">
        <f t="shared" si="68"/>
        <v/>
      </c>
    </row>
    <row r="182" spans="2:17" x14ac:dyDescent="0.25">
      <c r="B182" s="9">
        <v>169</v>
      </c>
      <c r="C182" s="35"/>
      <c r="D182" s="2"/>
      <c r="E182" s="9" t="str">
        <f t="shared" si="58"/>
        <v/>
      </c>
      <c r="F182" s="54" t="str">
        <f t="shared" si="59"/>
        <v/>
      </c>
      <c r="G182" s="73" t="str">
        <f t="shared" si="60"/>
        <v/>
      </c>
      <c r="H182" s="56" t="str">
        <f t="shared" si="61"/>
        <v/>
      </c>
      <c r="I182" s="57" t="str">
        <f t="shared" si="62"/>
        <v/>
      </c>
      <c r="J182" s="58" t="str">
        <f t="shared" si="63"/>
        <v/>
      </c>
      <c r="L182" s="31" t="str">
        <f t="shared" si="64"/>
        <v/>
      </c>
      <c r="M182" s="32" t="str">
        <f t="shared" si="57"/>
        <v/>
      </c>
      <c r="N182" s="32" t="str">
        <f t="shared" si="65"/>
        <v/>
      </c>
      <c r="O182" s="32" t="str">
        <f t="shared" si="66"/>
        <v/>
      </c>
      <c r="P182" s="32" t="str">
        <f t="shared" si="67"/>
        <v/>
      </c>
      <c r="Q182" s="33" t="str">
        <f t="shared" si="68"/>
        <v/>
      </c>
    </row>
    <row r="183" spans="2:17" x14ac:dyDescent="0.25">
      <c r="B183" s="9">
        <v>170</v>
      </c>
      <c r="C183" s="35"/>
      <c r="D183" s="2"/>
      <c r="E183" s="9" t="str">
        <f t="shared" si="58"/>
        <v/>
      </c>
      <c r="F183" s="54" t="str">
        <f t="shared" si="59"/>
        <v/>
      </c>
      <c r="G183" s="73" t="str">
        <f t="shared" si="60"/>
        <v/>
      </c>
      <c r="H183" s="56" t="str">
        <f t="shared" si="61"/>
        <v/>
      </c>
      <c r="I183" s="57" t="str">
        <f t="shared" si="62"/>
        <v/>
      </c>
      <c r="J183" s="58" t="str">
        <f t="shared" si="63"/>
        <v/>
      </c>
      <c r="L183" s="31" t="str">
        <f t="shared" si="64"/>
        <v/>
      </c>
      <c r="M183" s="32" t="str">
        <f t="shared" si="57"/>
        <v/>
      </c>
      <c r="N183" s="32" t="str">
        <f t="shared" si="65"/>
        <v/>
      </c>
      <c r="O183" s="32" t="str">
        <f t="shared" si="66"/>
        <v/>
      </c>
      <c r="P183" s="32" t="str">
        <f t="shared" si="67"/>
        <v/>
      </c>
      <c r="Q183" s="33" t="str">
        <f t="shared" si="68"/>
        <v/>
      </c>
    </row>
    <row r="184" spans="2:17" x14ac:dyDescent="0.25">
      <c r="B184" s="9">
        <v>171</v>
      </c>
      <c r="C184" s="35"/>
      <c r="D184" s="2"/>
      <c r="E184" s="9" t="str">
        <f t="shared" si="58"/>
        <v/>
      </c>
      <c r="F184" s="54" t="str">
        <f t="shared" si="59"/>
        <v/>
      </c>
      <c r="G184" s="73" t="str">
        <f t="shared" si="60"/>
        <v/>
      </c>
      <c r="H184" s="56" t="str">
        <f t="shared" si="61"/>
        <v/>
      </c>
      <c r="I184" s="57" t="str">
        <f t="shared" si="62"/>
        <v/>
      </c>
      <c r="J184" s="58" t="str">
        <f t="shared" si="63"/>
        <v/>
      </c>
      <c r="L184" s="31" t="str">
        <f t="shared" si="64"/>
        <v/>
      </c>
      <c r="M184" s="32" t="str">
        <f t="shared" si="57"/>
        <v/>
      </c>
      <c r="N184" s="32" t="str">
        <f t="shared" si="65"/>
        <v/>
      </c>
      <c r="O184" s="32" t="str">
        <f t="shared" si="66"/>
        <v/>
      </c>
      <c r="P184" s="32" t="str">
        <f t="shared" si="67"/>
        <v/>
      </c>
      <c r="Q184" s="33" t="str">
        <f t="shared" si="68"/>
        <v/>
      </c>
    </row>
    <row r="185" spans="2:17" x14ac:dyDescent="0.25">
      <c r="B185" s="9">
        <v>172</v>
      </c>
      <c r="C185" s="35"/>
      <c r="D185" s="2"/>
      <c r="E185" s="9" t="str">
        <f t="shared" si="58"/>
        <v/>
      </c>
      <c r="F185" s="54" t="str">
        <f t="shared" si="59"/>
        <v/>
      </c>
      <c r="G185" s="73" t="str">
        <f t="shared" si="60"/>
        <v/>
      </c>
      <c r="H185" s="56" t="str">
        <f t="shared" si="61"/>
        <v/>
      </c>
      <c r="I185" s="57" t="str">
        <f t="shared" si="62"/>
        <v/>
      </c>
      <c r="J185" s="58" t="str">
        <f t="shared" si="63"/>
        <v/>
      </c>
      <c r="L185" s="31" t="str">
        <f t="shared" si="64"/>
        <v/>
      </c>
      <c r="M185" s="32" t="str">
        <f t="shared" si="57"/>
        <v/>
      </c>
      <c r="N185" s="32" t="str">
        <f t="shared" si="65"/>
        <v/>
      </c>
      <c r="O185" s="32" t="str">
        <f t="shared" si="66"/>
        <v/>
      </c>
      <c r="P185" s="32" t="str">
        <f t="shared" si="67"/>
        <v/>
      </c>
      <c r="Q185" s="33" t="str">
        <f t="shared" si="68"/>
        <v/>
      </c>
    </row>
    <row r="186" spans="2:17" x14ac:dyDescent="0.25">
      <c r="B186" s="9">
        <v>173</v>
      </c>
      <c r="C186" s="35"/>
      <c r="D186" s="2"/>
      <c r="E186" s="9" t="str">
        <f t="shared" si="58"/>
        <v/>
      </c>
      <c r="F186" s="54" t="str">
        <f t="shared" si="59"/>
        <v/>
      </c>
      <c r="G186" s="73" t="str">
        <f t="shared" si="60"/>
        <v/>
      </c>
      <c r="H186" s="56" t="str">
        <f t="shared" si="61"/>
        <v/>
      </c>
      <c r="I186" s="57" t="str">
        <f t="shared" si="62"/>
        <v/>
      </c>
      <c r="J186" s="58" t="str">
        <f t="shared" si="63"/>
        <v/>
      </c>
      <c r="L186" s="31" t="str">
        <f t="shared" si="64"/>
        <v/>
      </c>
      <c r="M186" s="32" t="str">
        <f t="shared" si="57"/>
        <v/>
      </c>
      <c r="N186" s="32" t="str">
        <f t="shared" si="65"/>
        <v/>
      </c>
      <c r="O186" s="32" t="str">
        <f t="shared" si="66"/>
        <v/>
      </c>
      <c r="P186" s="32" t="str">
        <f t="shared" si="67"/>
        <v/>
      </c>
      <c r="Q186" s="33" t="str">
        <f t="shared" si="68"/>
        <v/>
      </c>
    </row>
    <row r="187" spans="2:17" x14ac:dyDescent="0.25">
      <c r="B187" s="9">
        <v>174</v>
      </c>
      <c r="C187" s="35"/>
      <c r="D187" s="2"/>
      <c r="E187" s="9" t="str">
        <f t="shared" si="58"/>
        <v/>
      </c>
      <c r="F187" s="54" t="str">
        <f t="shared" si="59"/>
        <v/>
      </c>
      <c r="G187" s="73" t="str">
        <f t="shared" si="60"/>
        <v/>
      </c>
      <c r="H187" s="56" t="str">
        <f t="shared" si="61"/>
        <v/>
      </c>
      <c r="I187" s="57" t="str">
        <f t="shared" si="62"/>
        <v/>
      </c>
      <c r="J187" s="58" t="str">
        <f t="shared" si="63"/>
        <v/>
      </c>
      <c r="L187" s="31" t="str">
        <f t="shared" si="64"/>
        <v/>
      </c>
      <c r="M187" s="32" t="str">
        <f t="shared" si="57"/>
        <v/>
      </c>
      <c r="N187" s="32" t="str">
        <f t="shared" si="65"/>
        <v/>
      </c>
      <c r="O187" s="32" t="str">
        <f t="shared" si="66"/>
        <v/>
      </c>
      <c r="P187" s="32" t="str">
        <f t="shared" si="67"/>
        <v/>
      </c>
      <c r="Q187" s="33" t="str">
        <f t="shared" si="68"/>
        <v/>
      </c>
    </row>
    <row r="188" spans="2:17" x14ac:dyDescent="0.25">
      <c r="B188" s="9">
        <v>175</v>
      </c>
      <c r="C188" s="35"/>
      <c r="D188" s="2"/>
      <c r="E188" s="9" t="str">
        <f t="shared" si="58"/>
        <v/>
      </c>
      <c r="F188" s="54" t="str">
        <f t="shared" si="59"/>
        <v/>
      </c>
      <c r="G188" s="73" t="str">
        <f t="shared" si="60"/>
        <v/>
      </c>
      <c r="H188" s="56" t="str">
        <f t="shared" si="61"/>
        <v/>
      </c>
      <c r="I188" s="57" t="str">
        <f t="shared" si="62"/>
        <v/>
      </c>
      <c r="J188" s="58" t="str">
        <f t="shared" si="63"/>
        <v/>
      </c>
      <c r="L188" s="31" t="str">
        <f t="shared" si="64"/>
        <v/>
      </c>
      <c r="M188" s="32" t="str">
        <f t="shared" si="57"/>
        <v/>
      </c>
      <c r="N188" s="32" t="str">
        <f t="shared" si="65"/>
        <v/>
      </c>
      <c r="O188" s="32" t="str">
        <f t="shared" si="66"/>
        <v/>
      </c>
      <c r="P188" s="32" t="str">
        <f t="shared" si="67"/>
        <v/>
      </c>
      <c r="Q188" s="33" t="str">
        <f t="shared" si="68"/>
        <v/>
      </c>
    </row>
    <row r="189" spans="2:17" x14ac:dyDescent="0.25">
      <c r="B189" s="9">
        <v>176</v>
      </c>
      <c r="C189" s="35"/>
      <c r="D189" s="2"/>
      <c r="E189" s="9" t="str">
        <f t="shared" si="58"/>
        <v/>
      </c>
      <c r="F189" s="54" t="str">
        <f t="shared" si="59"/>
        <v/>
      </c>
      <c r="G189" s="73" t="str">
        <f t="shared" si="60"/>
        <v/>
      </c>
      <c r="H189" s="56" t="str">
        <f t="shared" si="61"/>
        <v/>
      </c>
      <c r="I189" s="57" t="str">
        <f t="shared" si="62"/>
        <v/>
      </c>
      <c r="J189" s="58" t="str">
        <f t="shared" si="63"/>
        <v/>
      </c>
      <c r="L189" s="31" t="str">
        <f t="shared" si="64"/>
        <v/>
      </c>
      <c r="M189" s="32" t="str">
        <f t="shared" si="57"/>
        <v/>
      </c>
      <c r="N189" s="32" t="str">
        <f t="shared" si="65"/>
        <v/>
      </c>
      <c r="O189" s="32" t="str">
        <f t="shared" si="66"/>
        <v/>
      </c>
      <c r="P189" s="32" t="str">
        <f t="shared" si="67"/>
        <v/>
      </c>
      <c r="Q189" s="33" t="str">
        <f t="shared" si="68"/>
        <v/>
      </c>
    </row>
    <row r="190" spans="2:17" x14ac:dyDescent="0.25">
      <c r="B190" s="9">
        <v>177</v>
      </c>
      <c r="C190" s="35"/>
      <c r="D190" s="2"/>
      <c r="E190" s="9" t="str">
        <f t="shared" si="58"/>
        <v/>
      </c>
      <c r="F190" s="54" t="str">
        <f t="shared" si="59"/>
        <v/>
      </c>
      <c r="G190" s="73" t="str">
        <f t="shared" si="60"/>
        <v/>
      </c>
      <c r="H190" s="56" t="str">
        <f t="shared" si="61"/>
        <v/>
      </c>
      <c r="I190" s="57" t="str">
        <f t="shared" si="62"/>
        <v/>
      </c>
      <c r="J190" s="58" t="str">
        <f t="shared" si="63"/>
        <v/>
      </c>
      <c r="L190" s="31" t="str">
        <f t="shared" si="64"/>
        <v/>
      </c>
      <c r="M190" s="32" t="str">
        <f t="shared" si="57"/>
        <v/>
      </c>
      <c r="N190" s="32" t="str">
        <f t="shared" si="65"/>
        <v/>
      </c>
      <c r="O190" s="32" t="str">
        <f t="shared" si="66"/>
        <v/>
      </c>
      <c r="P190" s="32" t="str">
        <f t="shared" si="67"/>
        <v/>
      </c>
      <c r="Q190" s="33" t="str">
        <f t="shared" si="68"/>
        <v/>
      </c>
    </row>
    <row r="191" spans="2:17" x14ac:dyDescent="0.25">
      <c r="B191" s="9">
        <v>178</v>
      </c>
      <c r="C191" s="35"/>
      <c r="D191" s="2"/>
      <c r="E191" s="9" t="str">
        <f t="shared" si="58"/>
        <v/>
      </c>
      <c r="F191" s="54" t="str">
        <f t="shared" si="59"/>
        <v/>
      </c>
      <c r="G191" s="73" t="str">
        <f t="shared" si="60"/>
        <v/>
      </c>
      <c r="H191" s="56" t="str">
        <f t="shared" si="61"/>
        <v/>
      </c>
      <c r="I191" s="57" t="str">
        <f t="shared" si="62"/>
        <v/>
      </c>
      <c r="J191" s="58" t="str">
        <f t="shared" si="63"/>
        <v/>
      </c>
      <c r="L191" s="31" t="str">
        <f t="shared" si="64"/>
        <v/>
      </c>
      <c r="M191" s="32" t="str">
        <f t="shared" si="57"/>
        <v/>
      </c>
      <c r="N191" s="32" t="str">
        <f t="shared" si="65"/>
        <v/>
      </c>
      <c r="O191" s="32" t="str">
        <f t="shared" si="66"/>
        <v/>
      </c>
      <c r="P191" s="32" t="str">
        <f t="shared" si="67"/>
        <v/>
      </c>
      <c r="Q191" s="33" t="str">
        <f t="shared" si="68"/>
        <v/>
      </c>
    </row>
    <row r="192" spans="2:17" x14ac:dyDescent="0.25">
      <c r="B192" s="9">
        <v>179</v>
      </c>
      <c r="C192" s="35"/>
      <c r="D192" s="2"/>
      <c r="E192" s="9" t="str">
        <f t="shared" si="58"/>
        <v/>
      </c>
      <c r="F192" s="54" t="str">
        <f t="shared" si="59"/>
        <v/>
      </c>
      <c r="G192" s="73" t="str">
        <f t="shared" si="60"/>
        <v/>
      </c>
      <c r="H192" s="56" t="str">
        <f t="shared" si="61"/>
        <v/>
      </c>
      <c r="I192" s="57" t="str">
        <f t="shared" si="62"/>
        <v/>
      </c>
      <c r="J192" s="58" t="str">
        <f t="shared" si="63"/>
        <v/>
      </c>
      <c r="L192" s="31" t="str">
        <f t="shared" si="64"/>
        <v/>
      </c>
      <c r="M192" s="32" t="str">
        <f t="shared" si="57"/>
        <v/>
      </c>
      <c r="N192" s="32" t="str">
        <f t="shared" si="65"/>
        <v/>
      </c>
      <c r="O192" s="32" t="str">
        <f t="shared" si="66"/>
        <v/>
      </c>
      <c r="P192" s="32" t="str">
        <f t="shared" si="67"/>
        <v/>
      </c>
      <c r="Q192" s="33" t="str">
        <f t="shared" si="68"/>
        <v/>
      </c>
    </row>
    <row r="193" spans="2:17" x14ac:dyDescent="0.25">
      <c r="B193" s="9">
        <v>180</v>
      </c>
      <c r="C193" s="35"/>
      <c r="D193" s="2"/>
      <c r="E193" s="9" t="str">
        <f t="shared" si="58"/>
        <v/>
      </c>
      <c r="F193" s="54" t="str">
        <f t="shared" si="59"/>
        <v/>
      </c>
      <c r="G193" s="73" t="str">
        <f t="shared" si="60"/>
        <v/>
      </c>
      <c r="H193" s="56" t="str">
        <f t="shared" si="61"/>
        <v/>
      </c>
      <c r="I193" s="57" t="str">
        <f t="shared" si="62"/>
        <v/>
      </c>
      <c r="J193" s="58" t="str">
        <f t="shared" si="63"/>
        <v/>
      </c>
      <c r="L193" s="31" t="str">
        <f t="shared" si="64"/>
        <v/>
      </c>
      <c r="M193" s="32" t="str">
        <f t="shared" si="57"/>
        <v/>
      </c>
      <c r="N193" s="32" t="str">
        <f t="shared" si="65"/>
        <v/>
      </c>
      <c r="O193" s="32" t="str">
        <f t="shared" si="66"/>
        <v/>
      </c>
      <c r="P193" s="32" t="str">
        <f t="shared" si="67"/>
        <v/>
      </c>
      <c r="Q193" s="33" t="str">
        <f t="shared" si="68"/>
        <v/>
      </c>
    </row>
    <row r="194" spans="2:17" x14ac:dyDescent="0.25">
      <c r="B194" s="9">
        <v>181</v>
      </c>
      <c r="C194" s="35"/>
      <c r="D194" s="2"/>
      <c r="E194" s="9" t="str">
        <f t="shared" si="58"/>
        <v/>
      </c>
      <c r="F194" s="54" t="str">
        <f t="shared" si="59"/>
        <v/>
      </c>
      <c r="G194" s="73" t="str">
        <f t="shared" si="60"/>
        <v/>
      </c>
      <c r="H194" s="56" t="str">
        <f t="shared" si="61"/>
        <v/>
      </c>
      <c r="I194" s="57" t="str">
        <f t="shared" si="62"/>
        <v/>
      </c>
      <c r="J194" s="58" t="str">
        <f t="shared" si="63"/>
        <v/>
      </c>
      <c r="L194" s="31" t="str">
        <f t="shared" si="64"/>
        <v/>
      </c>
      <c r="M194" s="32" t="str">
        <f t="shared" si="57"/>
        <v/>
      </c>
      <c r="N194" s="32" t="str">
        <f t="shared" si="65"/>
        <v/>
      </c>
      <c r="O194" s="32" t="str">
        <f t="shared" si="66"/>
        <v/>
      </c>
      <c r="P194" s="32" t="str">
        <f t="shared" si="67"/>
        <v/>
      </c>
      <c r="Q194" s="33" t="str">
        <f t="shared" si="68"/>
        <v/>
      </c>
    </row>
    <row r="195" spans="2:17" x14ac:dyDescent="0.25">
      <c r="B195" s="9">
        <v>182</v>
      </c>
      <c r="C195" s="35"/>
      <c r="D195" s="2"/>
      <c r="E195" s="9" t="str">
        <f t="shared" si="58"/>
        <v/>
      </c>
      <c r="F195" s="54" t="str">
        <f t="shared" si="59"/>
        <v/>
      </c>
      <c r="G195" s="73" t="str">
        <f t="shared" si="60"/>
        <v/>
      </c>
      <c r="H195" s="56" t="str">
        <f t="shared" si="61"/>
        <v/>
      </c>
      <c r="I195" s="57" t="str">
        <f t="shared" si="62"/>
        <v/>
      </c>
      <c r="J195" s="58" t="str">
        <f t="shared" si="63"/>
        <v/>
      </c>
      <c r="L195" s="31" t="str">
        <f t="shared" si="64"/>
        <v/>
      </c>
      <c r="M195" s="32" t="str">
        <f t="shared" si="57"/>
        <v/>
      </c>
      <c r="N195" s="32" t="str">
        <f t="shared" si="65"/>
        <v/>
      </c>
      <c r="O195" s="32" t="str">
        <f t="shared" si="66"/>
        <v/>
      </c>
      <c r="P195" s="32" t="str">
        <f t="shared" si="67"/>
        <v/>
      </c>
      <c r="Q195" s="33" t="str">
        <f t="shared" si="68"/>
        <v/>
      </c>
    </row>
    <row r="196" spans="2:17" x14ac:dyDescent="0.25">
      <c r="B196" s="9">
        <v>183</v>
      </c>
      <c r="C196" s="35"/>
      <c r="D196" s="2"/>
      <c r="E196" s="9" t="str">
        <f t="shared" si="58"/>
        <v/>
      </c>
      <c r="F196" s="54" t="str">
        <f t="shared" si="59"/>
        <v/>
      </c>
      <c r="G196" s="73" t="str">
        <f t="shared" si="60"/>
        <v/>
      </c>
      <c r="H196" s="56" t="str">
        <f t="shared" si="61"/>
        <v/>
      </c>
      <c r="I196" s="57" t="str">
        <f t="shared" si="62"/>
        <v/>
      </c>
      <c r="J196" s="58" t="str">
        <f t="shared" si="63"/>
        <v/>
      </c>
      <c r="L196" s="31" t="str">
        <f t="shared" si="64"/>
        <v/>
      </c>
      <c r="M196" s="32" t="str">
        <f t="shared" si="57"/>
        <v/>
      </c>
      <c r="N196" s="32" t="str">
        <f t="shared" si="65"/>
        <v/>
      </c>
      <c r="O196" s="32" t="str">
        <f t="shared" si="66"/>
        <v/>
      </c>
      <c r="P196" s="32" t="str">
        <f t="shared" si="67"/>
        <v/>
      </c>
      <c r="Q196" s="33" t="str">
        <f t="shared" si="68"/>
        <v/>
      </c>
    </row>
    <row r="197" spans="2:17" x14ac:dyDescent="0.25">
      <c r="B197" s="9">
        <v>184</v>
      </c>
      <c r="C197" s="35"/>
      <c r="D197" s="2"/>
      <c r="E197" s="9" t="str">
        <f t="shared" si="58"/>
        <v/>
      </c>
      <c r="F197" s="54" t="str">
        <f t="shared" si="59"/>
        <v/>
      </c>
      <c r="G197" s="73" t="str">
        <f t="shared" si="60"/>
        <v/>
      </c>
      <c r="H197" s="56" t="str">
        <f t="shared" si="61"/>
        <v/>
      </c>
      <c r="I197" s="57" t="str">
        <f t="shared" si="62"/>
        <v/>
      </c>
      <c r="J197" s="58" t="str">
        <f t="shared" si="63"/>
        <v/>
      </c>
      <c r="L197" s="31" t="str">
        <f t="shared" si="64"/>
        <v/>
      </c>
      <c r="M197" s="32" t="str">
        <f t="shared" si="57"/>
        <v/>
      </c>
      <c r="N197" s="32" t="str">
        <f t="shared" si="65"/>
        <v/>
      </c>
      <c r="O197" s="32" t="str">
        <f t="shared" si="66"/>
        <v/>
      </c>
      <c r="P197" s="32" t="str">
        <f t="shared" si="67"/>
        <v/>
      </c>
      <c r="Q197" s="33" t="str">
        <f t="shared" si="68"/>
        <v/>
      </c>
    </row>
    <row r="198" spans="2:17" x14ac:dyDescent="0.25">
      <c r="B198" s="9">
        <v>185</v>
      </c>
      <c r="C198" s="35"/>
      <c r="D198" s="2"/>
      <c r="E198" s="9" t="str">
        <f t="shared" si="58"/>
        <v/>
      </c>
      <c r="F198" s="54" t="str">
        <f t="shared" si="59"/>
        <v/>
      </c>
      <c r="G198" s="73" t="str">
        <f t="shared" si="60"/>
        <v/>
      </c>
      <c r="H198" s="56" t="str">
        <f t="shared" si="61"/>
        <v/>
      </c>
      <c r="I198" s="57" t="str">
        <f t="shared" si="62"/>
        <v/>
      </c>
      <c r="J198" s="58" t="str">
        <f t="shared" si="63"/>
        <v/>
      </c>
      <c r="L198" s="31" t="str">
        <f t="shared" si="64"/>
        <v/>
      </c>
      <c r="M198" s="32" t="str">
        <f t="shared" si="57"/>
        <v/>
      </c>
      <c r="N198" s="32" t="str">
        <f t="shared" si="65"/>
        <v/>
      </c>
      <c r="O198" s="32" t="str">
        <f t="shared" si="66"/>
        <v/>
      </c>
      <c r="P198" s="32" t="str">
        <f t="shared" si="67"/>
        <v/>
      </c>
      <c r="Q198" s="33" t="str">
        <f t="shared" si="68"/>
        <v/>
      </c>
    </row>
    <row r="199" spans="2:17" x14ac:dyDescent="0.25">
      <c r="B199" s="9">
        <v>186</v>
      </c>
      <c r="C199" s="35"/>
      <c r="D199" s="2"/>
      <c r="E199" s="9" t="str">
        <f t="shared" si="58"/>
        <v/>
      </c>
      <c r="F199" s="54" t="str">
        <f t="shared" si="59"/>
        <v/>
      </c>
      <c r="G199" s="73" t="str">
        <f t="shared" si="60"/>
        <v/>
      </c>
      <c r="H199" s="56" t="str">
        <f t="shared" si="61"/>
        <v/>
      </c>
      <c r="I199" s="57" t="str">
        <f t="shared" si="62"/>
        <v/>
      </c>
      <c r="J199" s="58" t="str">
        <f t="shared" si="63"/>
        <v/>
      </c>
      <c r="L199" s="31" t="str">
        <f t="shared" si="64"/>
        <v/>
      </c>
      <c r="M199" s="32" t="str">
        <f t="shared" si="57"/>
        <v/>
      </c>
      <c r="N199" s="32" t="str">
        <f t="shared" si="65"/>
        <v/>
      </c>
      <c r="O199" s="32" t="str">
        <f t="shared" si="66"/>
        <v/>
      </c>
      <c r="P199" s="32" t="str">
        <f t="shared" si="67"/>
        <v/>
      </c>
      <c r="Q199" s="33" t="str">
        <f t="shared" si="68"/>
        <v/>
      </c>
    </row>
    <row r="200" spans="2:17" x14ac:dyDescent="0.25">
      <c r="B200" s="9">
        <v>187</v>
      </c>
      <c r="C200" s="35"/>
      <c r="D200" s="2"/>
      <c r="E200" s="9" t="str">
        <f t="shared" si="58"/>
        <v/>
      </c>
      <c r="F200" s="54" t="str">
        <f t="shared" si="59"/>
        <v/>
      </c>
      <c r="G200" s="73" t="str">
        <f t="shared" si="60"/>
        <v/>
      </c>
      <c r="H200" s="56" t="str">
        <f t="shared" si="61"/>
        <v/>
      </c>
      <c r="I200" s="57" t="str">
        <f t="shared" si="62"/>
        <v/>
      </c>
      <c r="J200" s="58" t="str">
        <f t="shared" si="63"/>
        <v/>
      </c>
      <c r="L200" s="31" t="str">
        <f t="shared" si="64"/>
        <v/>
      </c>
      <c r="M200" s="32" t="str">
        <f t="shared" si="57"/>
        <v/>
      </c>
      <c r="N200" s="32" t="str">
        <f t="shared" si="65"/>
        <v/>
      </c>
      <c r="O200" s="32" t="str">
        <f t="shared" si="66"/>
        <v/>
      </c>
      <c r="P200" s="32" t="str">
        <f t="shared" si="67"/>
        <v/>
      </c>
      <c r="Q200" s="33" t="str">
        <f t="shared" si="68"/>
        <v/>
      </c>
    </row>
    <row r="201" spans="2:17" x14ac:dyDescent="0.25">
      <c r="B201" s="9">
        <v>188</v>
      </c>
      <c r="C201" s="35"/>
      <c r="D201" s="2"/>
      <c r="E201" s="9" t="str">
        <f t="shared" si="58"/>
        <v/>
      </c>
      <c r="F201" s="54" t="str">
        <f t="shared" si="59"/>
        <v/>
      </c>
      <c r="G201" s="73" t="str">
        <f t="shared" si="60"/>
        <v/>
      </c>
      <c r="H201" s="56" t="str">
        <f t="shared" si="61"/>
        <v/>
      </c>
      <c r="I201" s="57" t="str">
        <f t="shared" si="62"/>
        <v/>
      </c>
      <c r="J201" s="58" t="str">
        <f t="shared" si="63"/>
        <v/>
      </c>
      <c r="L201" s="31" t="str">
        <f t="shared" si="64"/>
        <v/>
      </c>
      <c r="M201" s="32" t="str">
        <f t="shared" si="57"/>
        <v/>
      </c>
      <c r="N201" s="32" t="str">
        <f t="shared" si="65"/>
        <v/>
      </c>
      <c r="O201" s="32" t="str">
        <f t="shared" si="66"/>
        <v/>
      </c>
      <c r="P201" s="32" t="str">
        <f t="shared" si="67"/>
        <v/>
      </c>
      <c r="Q201" s="33" t="str">
        <f t="shared" si="68"/>
        <v/>
      </c>
    </row>
    <row r="202" spans="2:17" x14ac:dyDescent="0.25">
      <c r="B202" s="9">
        <v>189</v>
      </c>
      <c r="C202" s="35"/>
      <c r="D202" s="2"/>
      <c r="E202" s="9" t="str">
        <f t="shared" si="58"/>
        <v/>
      </c>
      <c r="F202" s="54" t="str">
        <f t="shared" si="59"/>
        <v/>
      </c>
      <c r="G202" s="73" t="str">
        <f t="shared" si="60"/>
        <v/>
      </c>
      <c r="H202" s="56" t="str">
        <f t="shared" si="61"/>
        <v/>
      </c>
      <c r="I202" s="57" t="str">
        <f t="shared" si="62"/>
        <v/>
      </c>
      <c r="J202" s="58" t="str">
        <f t="shared" si="63"/>
        <v/>
      </c>
      <c r="L202" s="31" t="str">
        <f t="shared" si="64"/>
        <v/>
      </c>
      <c r="M202" s="32" t="str">
        <f t="shared" si="57"/>
        <v/>
      </c>
      <c r="N202" s="32" t="str">
        <f t="shared" si="65"/>
        <v/>
      </c>
      <c r="O202" s="32" t="str">
        <f t="shared" si="66"/>
        <v/>
      </c>
      <c r="P202" s="32" t="str">
        <f t="shared" si="67"/>
        <v/>
      </c>
      <c r="Q202" s="33" t="str">
        <f t="shared" si="68"/>
        <v/>
      </c>
    </row>
    <row r="203" spans="2:17" ht="13.8" thickBot="1" x14ac:dyDescent="0.3">
      <c r="B203" s="10">
        <v>190</v>
      </c>
      <c r="C203" s="36"/>
      <c r="D203" s="2"/>
      <c r="E203" s="10" t="str">
        <f t="shared" si="58"/>
        <v/>
      </c>
      <c r="F203" s="26" t="str">
        <f t="shared" si="59"/>
        <v/>
      </c>
      <c r="G203" s="74" t="str">
        <f t="shared" si="60"/>
        <v/>
      </c>
      <c r="H203" s="60" t="str">
        <f t="shared" si="61"/>
        <v/>
      </c>
      <c r="I203" s="61" t="str">
        <f t="shared" si="62"/>
        <v/>
      </c>
      <c r="J203" s="62" t="str">
        <f t="shared" si="63"/>
        <v/>
      </c>
      <c r="L203" s="65" t="str">
        <f t="shared" si="64"/>
        <v/>
      </c>
      <c r="M203" s="66" t="str">
        <f t="shared" si="57"/>
        <v/>
      </c>
      <c r="N203" s="66" t="str">
        <f t="shared" si="65"/>
        <v/>
      </c>
      <c r="O203" s="66" t="str">
        <f t="shared" si="66"/>
        <v/>
      </c>
      <c r="P203" s="66" t="str">
        <f t="shared" si="67"/>
        <v/>
      </c>
      <c r="Q203" s="67" t="str">
        <f t="shared" si="68"/>
        <v/>
      </c>
    </row>
    <row r="204" spans="2:17" ht="13.8" thickTop="1" x14ac:dyDescent="0.25">
      <c r="B204" s="2"/>
      <c r="C204" s="2"/>
      <c r="D204" s="2"/>
      <c r="E204" s="2"/>
      <c r="F204" s="2"/>
      <c r="G204" s="43"/>
      <c r="H204" s="2"/>
    </row>
    <row r="205" spans="2:17" x14ac:dyDescent="0.25">
      <c r="B205" s="2"/>
      <c r="C205" s="2"/>
      <c r="D205" s="2"/>
      <c r="E205" s="2"/>
      <c r="F205" s="2"/>
      <c r="G205" s="43"/>
      <c r="H205" s="2"/>
    </row>
    <row r="206" spans="2:17" x14ac:dyDescent="0.25">
      <c r="B206" s="2"/>
      <c r="C206" s="2"/>
      <c r="D206" s="2"/>
      <c r="E206" s="2"/>
      <c r="F206" s="2"/>
      <c r="G206" s="43"/>
      <c r="H206" s="2"/>
    </row>
    <row r="207" spans="2:17" x14ac:dyDescent="0.25">
      <c r="B207" s="2"/>
      <c r="C207" s="2"/>
      <c r="D207" s="2"/>
      <c r="E207" s="2"/>
      <c r="F207" s="2"/>
      <c r="G207" s="43"/>
      <c r="H207" s="2"/>
    </row>
  </sheetData>
  <mergeCells count="14">
    <mergeCell ref="L11:Q11"/>
    <mergeCell ref="E7:G7"/>
    <mergeCell ref="E8:G8"/>
    <mergeCell ref="E9:G9"/>
    <mergeCell ref="B11:C11"/>
    <mergeCell ref="E11:J11"/>
    <mergeCell ref="U3:V3"/>
    <mergeCell ref="E4:G4"/>
    <mergeCell ref="E5:G5"/>
    <mergeCell ref="E6:G6"/>
    <mergeCell ref="B3:C3"/>
    <mergeCell ref="E3:H3"/>
    <mergeCell ref="J3:K3"/>
    <mergeCell ref="M3:R3"/>
  </mergeCells>
  <phoneticPr fontId="4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6A8DB-FED0-4D5F-9F78-13B67818B574}">
  <sheetPr codeName="Blad16"/>
  <dimension ref="B1:AU207"/>
  <sheetViews>
    <sheetView topLeftCell="A13" workbookViewId="0">
      <selection activeCell="B1" sqref="B1"/>
    </sheetView>
  </sheetViews>
  <sheetFormatPr defaultRowHeight="13.2" x14ac:dyDescent="0.25"/>
  <cols>
    <col min="1" max="1" width="2" customWidth="1"/>
    <col min="4" max="4" width="4.5546875" customWidth="1"/>
    <col min="6" max="6" width="10.6640625" bestFit="1" customWidth="1"/>
    <col min="11" max="11" width="8.33203125" customWidth="1"/>
  </cols>
  <sheetData>
    <row r="1" spans="2:47" ht="12" customHeight="1" x14ac:dyDescent="0.25">
      <c r="B1" s="4"/>
      <c r="E1" s="2"/>
      <c r="F1" s="1"/>
      <c r="G1" s="2"/>
      <c r="H1" s="2"/>
      <c r="S1" t="str">
        <f>Invoer!L1</f>
        <v>versie 1.2 juli 2009</v>
      </c>
    </row>
    <row r="2" spans="2:47" ht="5.25" customHeight="1" thickBot="1" x14ac:dyDescent="0.3">
      <c r="B2" s="51"/>
      <c r="H2" s="2"/>
    </row>
    <row r="3" spans="2:47" ht="14.4" thickTop="1" thickBot="1" x14ac:dyDescent="0.3">
      <c r="B3" s="152" t="s">
        <v>22</v>
      </c>
      <c r="C3" s="154"/>
      <c r="E3" s="152" t="s">
        <v>15</v>
      </c>
      <c r="F3" s="153"/>
      <c r="G3" s="153"/>
      <c r="H3" s="154"/>
      <c r="J3" s="152" t="s">
        <v>20</v>
      </c>
      <c r="K3" s="160"/>
      <c r="M3" s="152" t="s">
        <v>31</v>
      </c>
      <c r="N3" s="153"/>
      <c r="O3" s="153"/>
      <c r="P3" s="153"/>
      <c r="Q3" s="161"/>
      <c r="R3" s="162"/>
      <c r="U3" s="152" t="s">
        <v>23</v>
      </c>
      <c r="V3" s="160"/>
    </row>
    <row r="4" spans="2:47" ht="16.2" thickTop="1" x14ac:dyDescent="0.35">
      <c r="B4" s="18" t="s">
        <v>12</v>
      </c>
      <c r="C4" s="83" t="s">
        <v>116</v>
      </c>
      <c r="E4" s="155" t="s">
        <v>35</v>
      </c>
      <c r="F4" s="146"/>
      <c r="G4" s="147"/>
      <c r="H4" s="38">
        <v>5</v>
      </c>
      <c r="J4" s="16" t="s">
        <v>11</v>
      </c>
      <c r="K4" s="20">
        <f>COUNT(G14:G203)</f>
        <v>80</v>
      </c>
      <c r="M4" s="6" t="s">
        <v>12</v>
      </c>
      <c r="N4" s="88" t="s">
        <v>54</v>
      </c>
      <c r="O4" s="15" t="s">
        <v>53</v>
      </c>
      <c r="P4" s="15" t="s">
        <v>29</v>
      </c>
      <c r="Q4" s="68" t="s">
        <v>45</v>
      </c>
      <c r="R4" s="20" t="s">
        <v>30</v>
      </c>
      <c r="U4" s="69" t="s">
        <v>7</v>
      </c>
      <c r="V4" s="21">
        <f>IF(C6="","",((H7/1000)^3-1.5*(H6/1000)^2*(H7/1000)+0.5*(H6/1000)^3)/(4*(C6/1000)*(C7/1000)^3))</f>
        <v>312.43383197709767</v>
      </c>
    </row>
    <row r="5" spans="2:47" ht="16.2" thickBot="1" x14ac:dyDescent="0.4">
      <c r="B5" s="19" t="s">
        <v>27</v>
      </c>
      <c r="C5" s="27">
        <v>1331.3</v>
      </c>
      <c r="D5" s="2"/>
      <c r="E5" s="145" t="s">
        <v>14</v>
      </c>
      <c r="F5" s="148"/>
      <c r="G5" s="147"/>
      <c r="H5" s="28">
        <v>1</v>
      </c>
      <c r="J5" s="17" t="s">
        <v>18</v>
      </c>
      <c r="K5" s="21">
        <f>IF(I15="","",ROUND(AVERAGE(I15:I16),0))</f>
        <v>2865</v>
      </c>
      <c r="M5" s="13"/>
      <c r="N5" s="12" t="s">
        <v>48</v>
      </c>
      <c r="O5" s="14" t="s">
        <v>1</v>
      </c>
      <c r="P5" s="14" t="s">
        <v>1</v>
      </c>
      <c r="Q5" s="68" t="s">
        <v>46</v>
      </c>
      <c r="R5" s="22" t="s">
        <v>10</v>
      </c>
      <c r="U5" s="69" t="s">
        <v>8</v>
      </c>
      <c r="V5" s="87">
        <f>0.573*C5/1000+0.872*H8/1000</f>
        <v>2.2452349000000003</v>
      </c>
    </row>
    <row r="6" spans="2:47" ht="14.4" thickTop="1" thickBot="1" x14ac:dyDescent="0.3">
      <c r="B6" s="19" t="s">
        <v>5</v>
      </c>
      <c r="C6" s="27">
        <v>50.3</v>
      </c>
      <c r="D6" s="2"/>
      <c r="E6" s="145" t="s">
        <v>26</v>
      </c>
      <c r="F6" s="146"/>
      <c r="G6" s="147"/>
      <c r="H6" s="28">
        <v>0</v>
      </c>
      <c r="J6" s="17" t="s">
        <v>44</v>
      </c>
      <c r="K6" s="21">
        <f>IF(J15="","",ROUND(AVERAGE(J15:J16),0))</f>
        <v>7</v>
      </c>
      <c r="M6" s="16"/>
      <c r="N6" s="45"/>
      <c r="O6" s="45"/>
      <c r="P6" s="45"/>
      <c r="Q6" s="15"/>
      <c r="R6" s="39"/>
      <c r="U6" s="13" t="s">
        <v>57</v>
      </c>
      <c r="V6" s="98">
        <f ca="1">IF(K5="","",(OFFSET(H14,K4-1,1)+OFFSET(H14,K4-1,1))/2)</f>
        <v>70</v>
      </c>
      <c r="AB6" t="s">
        <v>84</v>
      </c>
    </row>
    <row r="7" spans="2:47" ht="16.8" thickTop="1" thickBot="1" x14ac:dyDescent="0.4">
      <c r="B7" s="19" t="s">
        <v>6</v>
      </c>
      <c r="C7" s="27">
        <v>50.3</v>
      </c>
      <c r="D7" s="2"/>
      <c r="E7" s="145" t="s">
        <v>25</v>
      </c>
      <c r="F7" s="146"/>
      <c r="G7" s="147"/>
      <c r="H7" s="28">
        <v>200</v>
      </c>
      <c r="J7" s="17" t="s">
        <v>19</v>
      </c>
      <c r="K7" s="21">
        <f ca="1">IF(K5="n/b","",OFFSET(B14,K4-1,1))</f>
        <v>21000</v>
      </c>
      <c r="M7" s="13" t="str">
        <f>IF(C4="","",C4)</f>
        <v>5V</v>
      </c>
      <c r="N7" s="42">
        <f ca="1">IF(K8="","",K$8)</f>
        <v>1.6465897435897432</v>
      </c>
      <c r="O7" s="42">
        <f ca="1">K9</f>
        <v>0.88365822784810177</v>
      </c>
      <c r="P7" s="46">
        <f>K5</f>
        <v>2865</v>
      </c>
      <c r="Q7" s="46">
        <f>K6</f>
        <v>7</v>
      </c>
      <c r="R7" s="50">
        <f ca="1">K7</f>
        <v>21000</v>
      </c>
      <c r="AB7" t="s">
        <v>85</v>
      </c>
    </row>
    <row r="8" spans="2:47" ht="16.8" thickTop="1" thickBot="1" x14ac:dyDescent="0.4">
      <c r="B8" s="37" t="s">
        <v>51</v>
      </c>
      <c r="C8" s="82"/>
      <c r="D8" s="2"/>
      <c r="E8" s="145" t="s">
        <v>28</v>
      </c>
      <c r="F8" s="148"/>
      <c r="G8" s="146"/>
      <c r="H8" s="28">
        <v>1700</v>
      </c>
      <c r="J8" s="17" t="s">
        <v>49</v>
      </c>
      <c r="K8" s="87">
        <f ca="1">IF(G14="","",AVERAGE(G15:OFFSET(F14,MATCH(K7,C14:C200)-2,1)))</f>
        <v>1.6465897435897432</v>
      </c>
      <c r="L8" s="135"/>
      <c r="AB8" t="s">
        <v>119</v>
      </c>
    </row>
    <row r="9" spans="2:47" ht="16.8" thickTop="1" thickBot="1" x14ac:dyDescent="0.4">
      <c r="B9" s="23" t="s">
        <v>50</v>
      </c>
      <c r="C9" s="24">
        <f>IF(C7="","",1.5*H7*(C8-H9)/(C6*C7^2))</f>
        <v>-0.11786566311336007</v>
      </c>
      <c r="D9" s="2"/>
      <c r="E9" s="149" t="s">
        <v>55</v>
      </c>
      <c r="F9" s="150"/>
      <c r="G9" s="151"/>
      <c r="H9" s="29">
        <v>50</v>
      </c>
      <c r="J9" s="23" t="s">
        <v>52</v>
      </c>
      <c r="K9" s="24">
        <f ca="1">IF(H14="","",AVERAGE(H15:OFFSET(H14,MATCH(K7,C14:C200)-1,0)))</f>
        <v>0.88365822784810177</v>
      </c>
      <c r="L9" s="135"/>
      <c r="AB9" t="s">
        <v>120</v>
      </c>
    </row>
    <row r="10" spans="2:47" ht="6.75" customHeight="1" thickTop="1" thickBot="1" x14ac:dyDescent="0.3">
      <c r="B10" s="5"/>
      <c r="C10" s="5"/>
      <c r="D10" s="2"/>
      <c r="E10" s="2"/>
      <c r="F10" s="2"/>
      <c r="G10" s="2"/>
      <c r="H10" s="2"/>
      <c r="AB10" t="s">
        <v>115</v>
      </c>
    </row>
    <row r="11" spans="2:47" ht="14.4" thickTop="1" thickBot="1" x14ac:dyDescent="0.3">
      <c r="B11" s="163" t="s">
        <v>13</v>
      </c>
      <c r="C11" s="164"/>
      <c r="D11" s="2"/>
      <c r="E11" s="152" t="s">
        <v>16</v>
      </c>
      <c r="F11" s="165"/>
      <c r="G11" s="165"/>
      <c r="H11" s="161"/>
      <c r="I11" s="161"/>
      <c r="J11" s="162"/>
      <c r="L11" s="152" t="s">
        <v>17</v>
      </c>
      <c r="M11" s="153"/>
      <c r="N11" s="153"/>
      <c r="O11" s="153"/>
      <c r="P11" s="153"/>
      <c r="Q11" s="154"/>
      <c r="AB11" t="s">
        <v>121</v>
      </c>
    </row>
    <row r="12" spans="2:47" ht="16.2" thickTop="1" x14ac:dyDescent="0.35">
      <c r="B12" s="6"/>
      <c r="C12" s="8" t="s">
        <v>9</v>
      </c>
      <c r="D12" s="3"/>
      <c r="E12" s="52" t="s">
        <v>80</v>
      </c>
      <c r="F12" s="53" t="s">
        <v>36</v>
      </c>
      <c r="G12" s="53" t="s">
        <v>81</v>
      </c>
      <c r="H12" s="55" t="s">
        <v>37</v>
      </c>
      <c r="I12" s="7" t="s">
        <v>0</v>
      </c>
      <c r="J12" s="8" t="s">
        <v>2</v>
      </c>
      <c r="K12" s="138"/>
      <c r="L12" s="7" t="s">
        <v>38</v>
      </c>
      <c r="M12" s="25" t="s">
        <v>82</v>
      </c>
      <c r="N12" s="25" t="s">
        <v>39</v>
      </c>
      <c r="O12" s="25" t="s">
        <v>43</v>
      </c>
      <c r="P12" s="25" t="s">
        <v>24</v>
      </c>
      <c r="Q12" s="8" t="s">
        <v>21</v>
      </c>
    </row>
    <row r="13" spans="2:47" ht="13.8" thickBot="1" x14ac:dyDescent="0.3">
      <c r="B13" s="13"/>
      <c r="C13" s="11" t="s">
        <v>10</v>
      </c>
      <c r="D13" s="3"/>
      <c r="E13" s="10" t="s">
        <v>4</v>
      </c>
      <c r="F13" s="26" t="s">
        <v>4</v>
      </c>
      <c r="G13" s="26" t="s">
        <v>1</v>
      </c>
      <c r="H13" s="63" t="s">
        <v>1</v>
      </c>
      <c r="I13" s="10" t="s">
        <v>1</v>
      </c>
      <c r="J13" s="11" t="s">
        <v>3</v>
      </c>
      <c r="K13" s="136"/>
      <c r="L13" s="10" t="s">
        <v>40</v>
      </c>
      <c r="M13" s="26" t="s">
        <v>40</v>
      </c>
      <c r="N13" s="26" t="s">
        <v>41</v>
      </c>
      <c r="O13" s="26" t="s">
        <v>41</v>
      </c>
      <c r="P13" s="26" t="s">
        <v>42</v>
      </c>
      <c r="Q13" s="11" t="s">
        <v>42</v>
      </c>
    </row>
    <row r="14" spans="2:47" ht="13.8" thickTop="1" x14ac:dyDescent="0.25">
      <c r="B14" s="7">
        <v>1</v>
      </c>
      <c r="C14" s="34">
        <v>0</v>
      </c>
      <c r="D14" s="3"/>
      <c r="E14" s="9">
        <f t="shared" ref="E14:E77" si="0">IF(L14="","",ROUND(12*C$7/(2*H$7^2+2*H$6*H$7-H$6^2)*L14*1000000,0))</f>
        <v>702</v>
      </c>
      <c r="F14" s="54">
        <f>IF(L14="","",ABS(ROUND(12*C$7/(2*(H$7/1000)^2+2*(H$6/1000)*(H$7/1000)-(H$6/1000)^2)*(M14-M$14)*1,0)))</f>
        <v>0</v>
      </c>
      <c r="G14" s="73">
        <f t="shared" ref="G14:G77" si="1">IF(L14="","",ROUND(1.5*((N14-O14)*1000*H$7)/(C$6*C$7^2),3))</f>
        <v>1.641</v>
      </c>
      <c r="H14" s="56">
        <f t="shared" ref="H14:H77" si="2">IF(L14="","",ROUND(1.5*((N14/2-O14)*1000*H$7)/(C$6*C$7^2),3))</f>
        <v>0.878</v>
      </c>
      <c r="I14" s="57">
        <f t="shared" ref="I14:I77" si="3">IF(L14="","",IF(P14&lt;=0,"foute meting",ROUND(0.000001*V$4*SQRT((1000000*Q14)^2+(1000000*P14+V$5*(2*PI()*H$5)^2)^2),0)))</f>
        <v>2841</v>
      </c>
      <c r="J14" s="58">
        <f t="shared" ref="J14:J77" si="4">IF(L14="","",ROUND(ATAN(Q14/P14)/PI()*180,1))</f>
        <v>3.3</v>
      </c>
      <c r="L14" s="31">
        <f t="shared" ref="L14:L77" si="5">IF(AG16&lt;=0,"",AG16)</f>
        <v>9.2999999999999999E-2</v>
      </c>
      <c r="M14" s="30">
        <f>IF(AG16="","",AG16/2-AE16)</f>
        <v>4.1500000000000002E-2</v>
      </c>
      <c r="N14" s="30">
        <f t="shared" ref="N14:N77" si="6">IF(AI16="","",AI16)</f>
        <v>0.64700000000000002</v>
      </c>
      <c r="O14" s="30">
        <f t="shared" ref="O14:O77" si="7">IF(AH16="","",AH16)</f>
        <v>-4.9000000000000002E-2</v>
      </c>
      <c r="P14" s="30">
        <f t="shared" ref="P14:Q45" si="8">IF(AJ16="","",AJ16)</f>
        <v>9.077</v>
      </c>
      <c r="Q14" s="59">
        <f t="shared" si="8"/>
        <v>0.51600000000000001</v>
      </c>
      <c r="AB14" t="s">
        <v>86</v>
      </c>
      <c r="AC14" t="s">
        <v>87</v>
      </c>
      <c r="AD14" t="s">
        <v>88</v>
      </c>
      <c r="AE14" t="s">
        <v>89</v>
      </c>
      <c r="AF14" t="s">
        <v>90</v>
      </c>
      <c r="AG14" t="s">
        <v>91</v>
      </c>
      <c r="AH14" t="s">
        <v>113</v>
      </c>
      <c r="AI14" t="s">
        <v>114</v>
      </c>
      <c r="AJ14" t="s">
        <v>92</v>
      </c>
      <c r="AK14" t="s">
        <v>93</v>
      </c>
      <c r="AL14" t="s">
        <v>94</v>
      </c>
      <c r="AM14" t="s">
        <v>95</v>
      </c>
      <c r="AN14" t="s">
        <v>96</v>
      </c>
      <c r="AO14" t="s">
        <v>97</v>
      </c>
      <c r="AP14" t="s">
        <v>98</v>
      </c>
      <c r="AQ14" t="s">
        <v>99</v>
      </c>
      <c r="AR14" t="s">
        <v>100</v>
      </c>
      <c r="AS14" t="s">
        <v>101</v>
      </c>
      <c r="AT14" t="s">
        <v>102</v>
      </c>
      <c r="AU14" t="s">
        <v>103</v>
      </c>
    </row>
    <row r="15" spans="2:47" x14ac:dyDescent="0.25">
      <c r="B15" s="9">
        <v>2</v>
      </c>
      <c r="C15" s="35">
        <v>10</v>
      </c>
      <c r="D15" s="3"/>
      <c r="E15" s="9">
        <f t="shared" si="0"/>
        <v>604</v>
      </c>
      <c r="F15" s="54">
        <f t="shared" ref="F15:F78" si="9">IF(L15="","",ABS(ROUND(12*C$7/(2*(H$7/1000)^2+2*(H$6/1000)*(H$7/1000)-(H$6/1000)^2)*(M15-M$14)*1,0)))</f>
        <v>162</v>
      </c>
      <c r="G15" s="73">
        <f t="shared" si="1"/>
        <v>1.643</v>
      </c>
      <c r="H15" s="56">
        <f t="shared" si="2"/>
        <v>0.88300000000000001</v>
      </c>
      <c r="I15" s="57">
        <f t="shared" si="3"/>
        <v>2860</v>
      </c>
      <c r="J15" s="58">
        <f t="shared" si="4"/>
        <v>6.9</v>
      </c>
      <c r="L15" s="31">
        <f t="shared" si="5"/>
        <v>0.08</v>
      </c>
      <c r="M15" s="32">
        <f t="shared" ref="M15:M78" si="10">IF(AG17="","",AG17/2-AE17)</f>
        <v>6.3E-2</v>
      </c>
      <c r="N15" s="32">
        <f t="shared" si="6"/>
        <v>0.64500000000000002</v>
      </c>
      <c r="O15" s="32">
        <f t="shared" si="7"/>
        <v>-5.1999999999999998E-2</v>
      </c>
      <c r="P15" s="32">
        <f t="shared" si="8"/>
        <v>9.0869999999999997</v>
      </c>
      <c r="Q15" s="33">
        <f t="shared" si="8"/>
        <v>1.105</v>
      </c>
      <c r="AE15" t="s">
        <v>104</v>
      </c>
      <c r="AF15" t="s">
        <v>104</v>
      </c>
      <c r="AG15" t="s">
        <v>104</v>
      </c>
      <c r="AH15" t="s">
        <v>105</v>
      </c>
      <c r="AI15" t="s">
        <v>105</v>
      </c>
      <c r="AJ15" t="s">
        <v>106</v>
      </c>
      <c r="AK15" t="s">
        <v>106</v>
      </c>
      <c r="AL15" t="s">
        <v>107</v>
      </c>
      <c r="AN15" t="s">
        <v>106</v>
      </c>
      <c r="AO15" t="s">
        <v>106</v>
      </c>
      <c r="AP15" t="s">
        <v>108</v>
      </c>
      <c r="AQ15" t="s">
        <v>107</v>
      </c>
      <c r="AS15" t="s">
        <v>109</v>
      </c>
      <c r="AT15" t="s">
        <v>107</v>
      </c>
    </row>
    <row r="16" spans="2:47" x14ac:dyDescent="0.25">
      <c r="B16" s="9">
        <v>3</v>
      </c>
      <c r="C16" s="35">
        <v>20</v>
      </c>
      <c r="D16" s="3"/>
      <c r="E16" s="9">
        <f t="shared" si="0"/>
        <v>566</v>
      </c>
      <c r="F16" s="54">
        <f t="shared" si="9"/>
        <v>204</v>
      </c>
      <c r="G16" s="73">
        <f t="shared" si="1"/>
        <v>1.643</v>
      </c>
      <c r="H16" s="56">
        <f t="shared" si="2"/>
        <v>0.88</v>
      </c>
      <c r="I16" s="57">
        <f t="shared" si="3"/>
        <v>2869</v>
      </c>
      <c r="J16" s="58">
        <f t="shared" si="4"/>
        <v>6.7</v>
      </c>
      <c r="L16" s="31">
        <f t="shared" si="5"/>
        <v>7.4999999999999997E-2</v>
      </c>
      <c r="M16" s="32">
        <f t="shared" si="10"/>
        <v>6.8500000000000005E-2</v>
      </c>
      <c r="N16" s="32">
        <f t="shared" si="6"/>
        <v>0.64700000000000002</v>
      </c>
      <c r="O16" s="32">
        <f t="shared" si="7"/>
        <v>-0.05</v>
      </c>
      <c r="P16" s="32">
        <f t="shared" si="8"/>
        <v>9.1210000000000004</v>
      </c>
      <c r="Q16" s="33">
        <f t="shared" si="8"/>
        <v>1.0669999999999999</v>
      </c>
      <c r="AB16">
        <v>1</v>
      </c>
      <c r="AC16">
        <v>4</v>
      </c>
      <c r="AD16">
        <v>1</v>
      </c>
      <c r="AE16">
        <v>5.0000000000000001E-3</v>
      </c>
      <c r="AF16">
        <v>-8.7999999999999995E-2</v>
      </c>
      <c r="AG16">
        <v>9.2999999999999999E-2</v>
      </c>
      <c r="AH16">
        <v>-4.9000000000000002E-2</v>
      </c>
      <c r="AI16">
        <v>0.64700000000000002</v>
      </c>
      <c r="AJ16">
        <v>9.077</v>
      </c>
      <c r="AK16">
        <v>0.51600000000000001</v>
      </c>
      <c r="AL16">
        <v>3.1259999999999999</v>
      </c>
      <c r="AM16">
        <v>5.5E-2</v>
      </c>
      <c r="AN16">
        <v>9.1050000000000004</v>
      </c>
      <c r="AO16">
        <v>8.5790000000000006</v>
      </c>
      <c r="AP16">
        <v>2E-3</v>
      </c>
      <c r="AQ16">
        <v>3.4390000000000001</v>
      </c>
      <c r="AR16">
        <v>0.06</v>
      </c>
      <c r="AS16">
        <v>1</v>
      </c>
      <c r="AT16">
        <v>0</v>
      </c>
      <c r="AU16">
        <v>64</v>
      </c>
    </row>
    <row r="17" spans="2:47" x14ac:dyDescent="0.25">
      <c r="B17" s="9">
        <v>4</v>
      </c>
      <c r="C17" s="35">
        <v>30</v>
      </c>
      <c r="D17" s="3"/>
      <c r="E17" s="9">
        <f t="shared" si="0"/>
        <v>581</v>
      </c>
      <c r="F17" s="54">
        <f t="shared" si="9"/>
        <v>257</v>
      </c>
      <c r="G17" s="73">
        <f t="shared" si="1"/>
        <v>1.645</v>
      </c>
      <c r="H17" s="56">
        <f t="shared" si="2"/>
        <v>0.88300000000000001</v>
      </c>
      <c r="I17" s="57">
        <f t="shared" si="3"/>
        <v>2867</v>
      </c>
      <c r="J17" s="58">
        <f t="shared" si="4"/>
        <v>6.3</v>
      </c>
      <c r="L17" s="31">
        <f t="shared" si="5"/>
        <v>7.6999999999999999E-2</v>
      </c>
      <c r="M17" s="32">
        <f t="shared" si="10"/>
        <v>7.5499999999999998E-2</v>
      </c>
      <c r="N17" s="32">
        <f t="shared" si="6"/>
        <v>0.64700000000000002</v>
      </c>
      <c r="O17" s="32">
        <f t="shared" si="7"/>
        <v>-5.0999999999999997E-2</v>
      </c>
      <c r="P17" s="32">
        <f t="shared" si="8"/>
        <v>9.1210000000000004</v>
      </c>
      <c r="Q17" s="33">
        <f t="shared" si="8"/>
        <v>1.0089999999999999</v>
      </c>
      <c r="AB17">
        <v>1</v>
      </c>
      <c r="AC17">
        <v>4</v>
      </c>
      <c r="AD17">
        <v>2</v>
      </c>
      <c r="AE17">
        <v>-2.3E-2</v>
      </c>
      <c r="AF17">
        <v>-0.10199999999999999</v>
      </c>
      <c r="AG17">
        <v>0.08</v>
      </c>
      <c r="AH17">
        <v>-5.1999999999999998E-2</v>
      </c>
      <c r="AI17">
        <v>0.64500000000000002</v>
      </c>
      <c r="AJ17">
        <v>9.0869999999999997</v>
      </c>
      <c r="AK17">
        <v>1.105</v>
      </c>
      <c r="AL17">
        <v>6.9370000000000003</v>
      </c>
      <c r="AM17">
        <v>0.122</v>
      </c>
      <c r="AN17">
        <v>9.1549999999999994</v>
      </c>
      <c r="AO17">
        <v>8.6440000000000001</v>
      </c>
      <c r="AP17">
        <v>4.0000000000000001E-3</v>
      </c>
      <c r="AQ17">
        <v>6.4960000000000004</v>
      </c>
      <c r="AR17">
        <v>0.114</v>
      </c>
      <c r="AS17">
        <v>1</v>
      </c>
      <c r="AT17">
        <v>0</v>
      </c>
      <c r="AU17">
        <v>64</v>
      </c>
    </row>
    <row r="18" spans="2:47" x14ac:dyDescent="0.25">
      <c r="B18" s="9">
        <v>5</v>
      </c>
      <c r="C18" s="35">
        <v>40</v>
      </c>
      <c r="D18" s="3"/>
      <c r="E18" s="9">
        <f t="shared" si="0"/>
        <v>589</v>
      </c>
      <c r="F18" s="54">
        <f t="shared" si="9"/>
        <v>290</v>
      </c>
      <c r="G18" s="73">
        <f t="shared" si="1"/>
        <v>1.645</v>
      </c>
      <c r="H18" s="56">
        <f t="shared" si="2"/>
        <v>0.88400000000000001</v>
      </c>
      <c r="I18" s="57">
        <f t="shared" si="3"/>
        <v>2865</v>
      </c>
      <c r="J18" s="58">
        <f t="shared" si="4"/>
        <v>6.8</v>
      </c>
      <c r="L18" s="31">
        <f t="shared" si="5"/>
        <v>7.8E-2</v>
      </c>
      <c r="M18" s="32">
        <f t="shared" si="10"/>
        <v>0.08</v>
      </c>
      <c r="N18" s="32">
        <f t="shared" si="6"/>
        <v>0.64600000000000002</v>
      </c>
      <c r="O18" s="32">
        <f t="shared" si="7"/>
        <v>-5.1999999999999998E-2</v>
      </c>
      <c r="P18" s="32">
        <f t="shared" si="8"/>
        <v>9.1069999999999993</v>
      </c>
      <c r="Q18" s="33">
        <f t="shared" si="8"/>
        <v>1.079</v>
      </c>
      <c r="AB18">
        <v>1</v>
      </c>
      <c r="AC18">
        <v>4</v>
      </c>
      <c r="AD18">
        <v>3</v>
      </c>
      <c r="AE18">
        <v>-3.1E-2</v>
      </c>
      <c r="AF18">
        <v>-0.106</v>
      </c>
      <c r="AG18">
        <v>7.4999999999999997E-2</v>
      </c>
      <c r="AH18">
        <v>-0.05</v>
      </c>
      <c r="AI18">
        <v>0.64700000000000002</v>
      </c>
      <c r="AJ18">
        <v>9.1210000000000004</v>
      </c>
      <c r="AK18">
        <v>1.0669999999999999</v>
      </c>
      <c r="AL18">
        <v>6.67</v>
      </c>
      <c r="AM18">
        <v>0.11700000000000001</v>
      </c>
      <c r="AN18">
        <v>9.1829999999999998</v>
      </c>
      <c r="AO18">
        <v>8.7579999999999991</v>
      </c>
      <c r="AP18">
        <v>4.0000000000000001E-3</v>
      </c>
      <c r="AQ18">
        <v>6.3319999999999999</v>
      </c>
      <c r="AR18">
        <v>0.111</v>
      </c>
      <c r="AS18">
        <v>1</v>
      </c>
      <c r="AT18">
        <v>0</v>
      </c>
      <c r="AU18">
        <v>64</v>
      </c>
    </row>
    <row r="19" spans="2:47" x14ac:dyDescent="0.25">
      <c r="B19" s="9">
        <v>6</v>
      </c>
      <c r="C19" s="35">
        <v>50</v>
      </c>
      <c r="D19" s="3"/>
      <c r="E19" s="9">
        <f t="shared" si="0"/>
        <v>573</v>
      </c>
      <c r="F19" s="54">
        <f t="shared" si="9"/>
        <v>313</v>
      </c>
      <c r="G19" s="73">
        <f t="shared" si="1"/>
        <v>1.645</v>
      </c>
      <c r="H19" s="56">
        <f t="shared" si="2"/>
        <v>0.88300000000000001</v>
      </c>
      <c r="I19" s="57">
        <f t="shared" si="3"/>
        <v>2864</v>
      </c>
      <c r="J19" s="58">
        <f t="shared" si="4"/>
        <v>6.2</v>
      </c>
      <c r="L19" s="31">
        <f t="shared" si="5"/>
        <v>7.5999999999999998E-2</v>
      </c>
      <c r="M19" s="32">
        <f t="shared" si="10"/>
        <v>8.299999999999999E-2</v>
      </c>
      <c r="N19" s="32">
        <f t="shared" si="6"/>
        <v>0.64700000000000002</v>
      </c>
      <c r="O19" s="32">
        <f t="shared" si="7"/>
        <v>-5.0999999999999997E-2</v>
      </c>
      <c r="P19" s="32">
        <f t="shared" si="8"/>
        <v>9.1129999999999995</v>
      </c>
      <c r="Q19" s="33">
        <f t="shared" si="8"/>
        <v>0.996</v>
      </c>
      <c r="AB19">
        <v>1</v>
      </c>
      <c r="AC19">
        <v>4</v>
      </c>
      <c r="AD19">
        <v>4</v>
      </c>
      <c r="AE19">
        <v>-3.6999999999999998E-2</v>
      </c>
      <c r="AF19">
        <v>-0.114</v>
      </c>
      <c r="AG19">
        <v>7.6999999999999999E-2</v>
      </c>
      <c r="AH19">
        <v>-5.0999999999999997E-2</v>
      </c>
      <c r="AI19">
        <v>0.64700000000000002</v>
      </c>
      <c r="AJ19">
        <v>9.1210000000000004</v>
      </c>
      <c r="AK19">
        <v>1.0089999999999999</v>
      </c>
      <c r="AL19">
        <v>6.3120000000000003</v>
      </c>
      <c r="AM19">
        <v>0.111</v>
      </c>
      <c r="AN19">
        <v>9.1760000000000002</v>
      </c>
      <c r="AO19">
        <v>8.7490000000000006</v>
      </c>
      <c r="AP19">
        <v>4.0000000000000001E-3</v>
      </c>
      <c r="AQ19">
        <v>5.9550000000000001</v>
      </c>
      <c r="AR19">
        <v>0.104</v>
      </c>
      <c r="AS19">
        <v>1</v>
      </c>
      <c r="AT19">
        <v>0</v>
      </c>
      <c r="AU19">
        <v>64</v>
      </c>
    </row>
    <row r="20" spans="2:47" x14ac:dyDescent="0.25">
      <c r="B20" s="9">
        <v>7</v>
      </c>
      <c r="C20" s="35">
        <v>60</v>
      </c>
      <c r="D20" s="3"/>
      <c r="E20" s="9">
        <f t="shared" si="0"/>
        <v>581</v>
      </c>
      <c r="F20" s="54">
        <f t="shared" si="9"/>
        <v>340</v>
      </c>
      <c r="G20" s="73">
        <f t="shared" si="1"/>
        <v>1.6479999999999999</v>
      </c>
      <c r="H20" s="56">
        <f t="shared" si="2"/>
        <v>0.88500000000000001</v>
      </c>
      <c r="I20" s="57">
        <f t="shared" si="3"/>
        <v>2871</v>
      </c>
      <c r="J20" s="58">
        <f t="shared" si="4"/>
        <v>6</v>
      </c>
      <c r="L20" s="31">
        <f t="shared" si="5"/>
        <v>7.6999999999999999E-2</v>
      </c>
      <c r="M20" s="32">
        <f t="shared" si="10"/>
        <v>8.6499999999999994E-2</v>
      </c>
      <c r="N20" s="32">
        <f t="shared" si="6"/>
        <v>0.64700000000000002</v>
      </c>
      <c r="O20" s="32">
        <f t="shared" si="7"/>
        <v>-5.1999999999999998E-2</v>
      </c>
      <c r="P20" s="32">
        <f t="shared" si="8"/>
        <v>9.1389999999999993</v>
      </c>
      <c r="Q20" s="33">
        <f t="shared" si="8"/>
        <v>0.96599999999999997</v>
      </c>
      <c r="AB20">
        <v>1</v>
      </c>
      <c r="AC20">
        <v>4</v>
      </c>
      <c r="AD20">
        <v>5</v>
      </c>
      <c r="AE20">
        <v>-4.1000000000000002E-2</v>
      </c>
      <c r="AF20">
        <v>-0.11899999999999999</v>
      </c>
      <c r="AG20">
        <v>7.8E-2</v>
      </c>
      <c r="AH20">
        <v>-5.1999999999999998E-2</v>
      </c>
      <c r="AI20">
        <v>0.64600000000000002</v>
      </c>
      <c r="AJ20">
        <v>9.1069999999999993</v>
      </c>
      <c r="AK20">
        <v>1.079</v>
      </c>
      <c r="AL20">
        <v>6.76</v>
      </c>
      <c r="AM20">
        <v>0.11899999999999999</v>
      </c>
      <c r="AN20">
        <v>9.1709999999999994</v>
      </c>
      <c r="AO20">
        <v>8.59</v>
      </c>
      <c r="AP20">
        <v>4.0000000000000001E-3</v>
      </c>
      <c r="AQ20">
        <v>6.2859999999999996</v>
      </c>
      <c r="AR20">
        <v>0.11</v>
      </c>
      <c r="AS20">
        <v>1</v>
      </c>
      <c r="AT20">
        <v>0</v>
      </c>
      <c r="AU20">
        <v>64</v>
      </c>
    </row>
    <row r="21" spans="2:47" x14ac:dyDescent="0.25">
      <c r="B21" s="9">
        <v>8</v>
      </c>
      <c r="C21" s="35">
        <v>70</v>
      </c>
      <c r="D21" s="3"/>
      <c r="E21" s="9">
        <f t="shared" si="0"/>
        <v>581</v>
      </c>
      <c r="F21" s="54">
        <f t="shared" si="9"/>
        <v>377</v>
      </c>
      <c r="G21" s="73">
        <f t="shared" si="1"/>
        <v>1.643</v>
      </c>
      <c r="H21" s="56">
        <f t="shared" si="2"/>
        <v>0.88200000000000001</v>
      </c>
      <c r="I21" s="57">
        <f t="shared" si="3"/>
        <v>2866</v>
      </c>
      <c r="J21" s="58">
        <f t="shared" si="4"/>
        <v>6.4</v>
      </c>
      <c r="L21" s="31">
        <f t="shared" si="5"/>
        <v>7.6999999999999999E-2</v>
      </c>
      <c r="M21" s="32">
        <f t="shared" si="10"/>
        <v>9.1499999999999998E-2</v>
      </c>
      <c r="N21" s="32">
        <f t="shared" si="6"/>
        <v>0.64600000000000002</v>
      </c>
      <c r="O21" s="32">
        <f t="shared" si="7"/>
        <v>-5.0999999999999997E-2</v>
      </c>
      <c r="P21" s="32">
        <f t="shared" si="8"/>
        <v>9.1170000000000009</v>
      </c>
      <c r="Q21" s="33">
        <f t="shared" si="8"/>
        <v>1.016</v>
      </c>
      <c r="AB21">
        <v>1</v>
      </c>
      <c r="AC21">
        <v>4</v>
      </c>
      <c r="AD21">
        <v>6</v>
      </c>
      <c r="AE21">
        <v>-4.4999999999999998E-2</v>
      </c>
      <c r="AF21">
        <v>-0.121</v>
      </c>
      <c r="AG21">
        <v>7.5999999999999998E-2</v>
      </c>
      <c r="AH21">
        <v>-5.0999999999999997E-2</v>
      </c>
      <c r="AI21">
        <v>0.64700000000000002</v>
      </c>
      <c r="AJ21">
        <v>9.1129999999999995</v>
      </c>
      <c r="AK21">
        <v>0.996</v>
      </c>
      <c r="AL21">
        <v>6.2380000000000004</v>
      </c>
      <c r="AM21">
        <v>0.109</v>
      </c>
      <c r="AN21">
        <v>9.1669999999999998</v>
      </c>
      <c r="AO21">
        <v>8.73</v>
      </c>
      <c r="AP21">
        <v>4.0000000000000001E-3</v>
      </c>
      <c r="AQ21">
        <v>5.8920000000000003</v>
      </c>
      <c r="AR21">
        <v>0.10299999999999999</v>
      </c>
      <c r="AS21">
        <v>1</v>
      </c>
      <c r="AT21">
        <v>0</v>
      </c>
      <c r="AU21">
        <v>64</v>
      </c>
    </row>
    <row r="22" spans="2:47" x14ac:dyDescent="0.25">
      <c r="B22" s="9">
        <v>9</v>
      </c>
      <c r="C22" s="35">
        <v>80</v>
      </c>
      <c r="D22" s="3"/>
      <c r="E22" s="9">
        <f t="shared" si="0"/>
        <v>566</v>
      </c>
      <c r="F22" s="54">
        <f t="shared" si="9"/>
        <v>392</v>
      </c>
      <c r="G22" s="73">
        <f t="shared" si="1"/>
        <v>1.6519999999999999</v>
      </c>
      <c r="H22" s="56">
        <f t="shared" si="2"/>
        <v>0.88800000000000001</v>
      </c>
      <c r="I22" s="57">
        <f t="shared" si="3"/>
        <v>2884</v>
      </c>
      <c r="J22" s="58">
        <f t="shared" si="4"/>
        <v>6.3</v>
      </c>
      <c r="L22" s="31">
        <f t="shared" si="5"/>
        <v>7.4999999999999997E-2</v>
      </c>
      <c r="M22" s="32">
        <f t="shared" si="10"/>
        <v>9.35E-2</v>
      </c>
      <c r="N22" s="32">
        <f t="shared" si="6"/>
        <v>0.64900000000000002</v>
      </c>
      <c r="O22" s="32">
        <f t="shared" si="7"/>
        <v>-5.1999999999999998E-2</v>
      </c>
      <c r="P22" s="32">
        <f t="shared" si="8"/>
        <v>9.1739999999999995</v>
      </c>
      <c r="Q22" s="33">
        <f t="shared" si="8"/>
        <v>1.0169999999999999</v>
      </c>
      <c r="AB22">
        <v>1</v>
      </c>
      <c r="AC22">
        <v>4</v>
      </c>
      <c r="AD22">
        <v>7</v>
      </c>
      <c r="AE22">
        <v>-4.8000000000000001E-2</v>
      </c>
      <c r="AF22">
        <v>-0.125</v>
      </c>
      <c r="AG22">
        <v>7.6999999999999999E-2</v>
      </c>
      <c r="AH22">
        <v>-5.1999999999999998E-2</v>
      </c>
      <c r="AI22">
        <v>0.64700000000000002</v>
      </c>
      <c r="AJ22">
        <v>9.1389999999999993</v>
      </c>
      <c r="AK22">
        <v>0.96599999999999997</v>
      </c>
      <c r="AL22">
        <v>6.0339999999999998</v>
      </c>
      <c r="AM22">
        <v>0.106</v>
      </c>
      <c r="AN22">
        <v>9.19</v>
      </c>
      <c r="AO22">
        <v>8.6989999999999998</v>
      </c>
      <c r="AP22">
        <v>4.0000000000000001E-3</v>
      </c>
      <c r="AQ22">
        <v>5.6920000000000002</v>
      </c>
      <c r="AR22">
        <v>0.1</v>
      </c>
      <c r="AS22">
        <v>1</v>
      </c>
      <c r="AT22">
        <v>0</v>
      </c>
      <c r="AU22">
        <v>64</v>
      </c>
    </row>
    <row r="23" spans="2:47" x14ac:dyDescent="0.25">
      <c r="B23" s="9">
        <v>10</v>
      </c>
      <c r="C23" s="35">
        <v>90</v>
      </c>
      <c r="D23" s="3"/>
      <c r="E23" s="9">
        <f t="shared" si="0"/>
        <v>558</v>
      </c>
      <c r="F23" s="54">
        <f t="shared" si="9"/>
        <v>419</v>
      </c>
      <c r="G23" s="73">
        <f t="shared" si="1"/>
        <v>1.643</v>
      </c>
      <c r="H23" s="56">
        <f t="shared" si="2"/>
        <v>0.88200000000000001</v>
      </c>
      <c r="I23" s="57">
        <f t="shared" si="3"/>
        <v>2880</v>
      </c>
      <c r="J23" s="58">
        <f t="shared" si="4"/>
        <v>6.6</v>
      </c>
      <c r="L23" s="31">
        <f t="shared" si="5"/>
        <v>7.3999999999999996E-2</v>
      </c>
      <c r="M23" s="32">
        <f t="shared" si="10"/>
        <v>9.7000000000000003E-2</v>
      </c>
      <c r="N23" s="32">
        <f t="shared" si="6"/>
        <v>0.64600000000000002</v>
      </c>
      <c r="O23" s="32">
        <f t="shared" si="7"/>
        <v>-5.0999999999999997E-2</v>
      </c>
      <c r="P23" s="32">
        <f t="shared" si="8"/>
        <v>9.1579999999999995</v>
      </c>
      <c r="Q23" s="33">
        <f t="shared" si="8"/>
        <v>1.0589999999999999</v>
      </c>
      <c r="AB23">
        <v>1</v>
      </c>
      <c r="AC23">
        <v>4</v>
      </c>
      <c r="AD23">
        <v>8</v>
      </c>
      <c r="AE23">
        <v>-5.2999999999999999E-2</v>
      </c>
      <c r="AF23">
        <v>-0.13</v>
      </c>
      <c r="AG23">
        <v>7.6999999999999999E-2</v>
      </c>
      <c r="AH23">
        <v>-5.0999999999999997E-2</v>
      </c>
      <c r="AI23">
        <v>0.64600000000000002</v>
      </c>
      <c r="AJ23">
        <v>9.1170000000000009</v>
      </c>
      <c r="AK23">
        <v>1.016</v>
      </c>
      <c r="AL23">
        <v>6.3609999999999998</v>
      </c>
      <c r="AM23">
        <v>0.111</v>
      </c>
      <c r="AN23">
        <v>9.173</v>
      </c>
      <c r="AO23">
        <v>8.7460000000000004</v>
      </c>
      <c r="AP23">
        <v>4.0000000000000001E-3</v>
      </c>
      <c r="AQ23">
        <v>6.0019999999999998</v>
      </c>
      <c r="AR23">
        <v>0.105</v>
      </c>
      <c r="AS23">
        <v>1</v>
      </c>
      <c r="AT23">
        <v>0</v>
      </c>
      <c r="AU23">
        <v>64</v>
      </c>
    </row>
    <row r="24" spans="2:47" x14ac:dyDescent="0.25">
      <c r="B24" s="9">
        <v>11</v>
      </c>
      <c r="C24" s="35">
        <v>100</v>
      </c>
      <c r="D24" s="3"/>
      <c r="E24" s="9">
        <f t="shared" si="0"/>
        <v>596</v>
      </c>
      <c r="F24" s="54">
        <f t="shared" si="9"/>
        <v>430</v>
      </c>
      <c r="G24" s="73">
        <f t="shared" si="1"/>
        <v>1.645</v>
      </c>
      <c r="H24" s="56">
        <f t="shared" si="2"/>
        <v>0.88400000000000001</v>
      </c>
      <c r="I24" s="57">
        <f t="shared" si="3"/>
        <v>2869</v>
      </c>
      <c r="J24" s="58">
        <f t="shared" si="4"/>
        <v>6.7</v>
      </c>
      <c r="L24" s="31">
        <f t="shared" si="5"/>
        <v>7.9000000000000001E-2</v>
      </c>
      <c r="M24" s="32">
        <f t="shared" si="10"/>
        <v>9.8500000000000004E-2</v>
      </c>
      <c r="N24" s="32">
        <f t="shared" si="6"/>
        <v>0.64600000000000002</v>
      </c>
      <c r="O24" s="32">
        <f t="shared" si="7"/>
        <v>-5.1999999999999998E-2</v>
      </c>
      <c r="P24" s="32">
        <f t="shared" si="8"/>
        <v>9.1210000000000004</v>
      </c>
      <c r="Q24" s="33">
        <f t="shared" si="8"/>
        <v>1.0660000000000001</v>
      </c>
      <c r="AB24">
        <v>1</v>
      </c>
      <c r="AC24">
        <v>4</v>
      </c>
      <c r="AD24">
        <v>9</v>
      </c>
      <c r="AE24">
        <v>-5.6000000000000001E-2</v>
      </c>
      <c r="AF24">
        <v>-0.13100000000000001</v>
      </c>
      <c r="AG24">
        <v>7.4999999999999997E-2</v>
      </c>
      <c r="AH24">
        <v>-5.1999999999999998E-2</v>
      </c>
      <c r="AI24">
        <v>0.64900000000000002</v>
      </c>
      <c r="AJ24">
        <v>9.1739999999999995</v>
      </c>
      <c r="AK24">
        <v>1.0169999999999999</v>
      </c>
      <c r="AL24">
        <v>6.3209999999999997</v>
      </c>
      <c r="AM24">
        <v>0.111</v>
      </c>
      <c r="AN24">
        <v>9.23</v>
      </c>
      <c r="AO24">
        <v>8.8439999999999994</v>
      </c>
      <c r="AP24">
        <v>4.0000000000000001E-3</v>
      </c>
      <c r="AQ24">
        <v>5.9749999999999996</v>
      </c>
      <c r="AR24">
        <v>0.105</v>
      </c>
      <c r="AS24">
        <v>1</v>
      </c>
      <c r="AT24">
        <v>0</v>
      </c>
      <c r="AU24">
        <v>64</v>
      </c>
    </row>
    <row r="25" spans="2:47" x14ac:dyDescent="0.25">
      <c r="B25" s="9">
        <v>12</v>
      </c>
      <c r="C25" s="35">
        <v>125</v>
      </c>
      <c r="D25" s="3"/>
      <c r="E25" s="9">
        <f t="shared" si="0"/>
        <v>589</v>
      </c>
      <c r="F25" s="54">
        <f t="shared" si="9"/>
        <v>494</v>
      </c>
      <c r="G25" s="73">
        <f t="shared" si="1"/>
        <v>1.643</v>
      </c>
      <c r="H25" s="56">
        <f t="shared" si="2"/>
        <v>0.88200000000000001</v>
      </c>
      <c r="I25" s="57">
        <f t="shared" si="3"/>
        <v>2855</v>
      </c>
      <c r="J25" s="58">
        <f t="shared" si="4"/>
        <v>6</v>
      </c>
      <c r="L25" s="31">
        <f t="shared" si="5"/>
        <v>7.8E-2</v>
      </c>
      <c r="M25" s="32">
        <f t="shared" si="10"/>
        <v>0.10700000000000001</v>
      </c>
      <c r="N25" s="32">
        <f t="shared" si="6"/>
        <v>0.64600000000000002</v>
      </c>
      <c r="O25" s="32">
        <f t="shared" si="7"/>
        <v>-5.0999999999999997E-2</v>
      </c>
      <c r="P25" s="32">
        <f t="shared" si="8"/>
        <v>9.0879999999999992</v>
      </c>
      <c r="Q25" s="33">
        <f t="shared" si="8"/>
        <v>0.96099999999999997</v>
      </c>
      <c r="AB25">
        <v>1</v>
      </c>
      <c r="AC25">
        <v>4</v>
      </c>
      <c r="AD25">
        <v>10</v>
      </c>
      <c r="AE25">
        <v>-0.06</v>
      </c>
      <c r="AF25">
        <v>-0.13400000000000001</v>
      </c>
      <c r="AG25">
        <v>7.3999999999999996E-2</v>
      </c>
      <c r="AH25">
        <v>-5.0999999999999997E-2</v>
      </c>
      <c r="AI25">
        <v>0.64600000000000002</v>
      </c>
      <c r="AJ25">
        <v>9.1579999999999995</v>
      </c>
      <c r="AK25">
        <v>1.0589999999999999</v>
      </c>
      <c r="AL25">
        <v>6.5970000000000004</v>
      </c>
      <c r="AM25">
        <v>0.11600000000000001</v>
      </c>
      <c r="AN25">
        <v>9.2189999999999994</v>
      </c>
      <c r="AO25">
        <v>8.8000000000000007</v>
      </c>
      <c r="AP25">
        <v>4.0000000000000001E-3</v>
      </c>
      <c r="AQ25">
        <v>6.2549999999999999</v>
      </c>
      <c r="AR25">
        <v>0.11</v>
      </c>
      <c r="AS25">
        <v>1</v>
      </c>
      <c r="AT25">
        <v>0</v>
      </c>
      <c r="AU25">
        <v>64</v>
      </c>
    </row>
    <row r="26" spans="2:47" x14ac:dyDescent="0.25">
      <c r="B26" s="9">
        <v>13</v>
      </c>
      <c r="C26" s="35">
        <v>150</v>
      </c>
      <c r="D26" s="3"/>
      <c r="E26" s="9">
        <f t="shared" si="0"/>
        <v>596</v>
      </c>
      <c r="F26" s="54">
        <f t="shared" si="9"/>
        <v>536</v>
      </c>
      <c r="G26" s="73">
        <f t="shared" si="1"/>
        <v>1.643</v>
      </c>
      <c r="H26" s="56">
        <f t="shared" si="2"/>
        <v>0.88</v>
      </c>
      <c r="I26" s="57">
        <f t="shared" si="3"/>
        <v>2832</v>
      </c>
      <c r="J26" s="58">
        <f t="shared" si="4"/>
        <v>6.1</v>
      </c>
      <c r="L26" s="31">
        <f t="shared" si="5"/>
        <v>7.9000000000000001E-2</v>
      </c>
      <c r="M26" s="32">
        <f t="shared" si="10"/>
        <v>0.11249999999999999</v>
      </c>
      <c r="N26" s="32">
        <f t="shared" si="6"/>
        <v>0.64700000000000002</v>
      </c>
      <c r="O26" s="32">
        <f t="shared" si="7"/>
        <v>-0.05</v>
      </c>
      <c r="P26" s="32">
        <f t="shared" si="8"/>
        <v>9.0129999999999999</v>
      </c>
      <c r="Q26" s="33">
        <f t="shared" si="8"/>
        <v>0.96899999999999997</v>
      </c>
      <c r="AB26">
        <v>1</v>
      </c>
      <c r="AC26">
        <v>4</v>
      </c>
      <c r="AD26">
        <v>11</v>
      </c>
      <c r="AE26">
        <v>-5.8999999999999997E-2</v>
      </c>
      <c r="AF26">
        <v>-0.13800000000000001</v>
      </c>
      <c r="AG26">
        <v>7.9000000000000001E-2</v>
      </c>
      <c r="AH26">
        <v>-5.1999999999999998E-2</v>
      </c>
      <c r="AI26">
        <v>0.64600000000000002</v>
      </c>
      <c r="AJ26">
        <v>9.1210000000000004</v>
      </c>
      <c r="AK26">
        <v>1.0660000000000001</v>
      </c>
      <c r="AL26">
        <v>6.6660000000000004</v>
      </c>
      <c r="AM26">
        <v>0.11700000000000001</v>
      </c>
      <c r="AN26">
        <v>9.1829999999999998</v>
      </c>
      <c r="AO26">
        <v>8.5269999999999992</v>
      </c>
      <c r="AP26">
        <v>4.0000000000000001E-3</v>
      </c>
      <c r="AQ26">
        <v>6.1470000000000002</v>
      </c>
      <c r="AR26">
        <v>0.108</v>
      </c>
      <c r="AS26">
        <v>1</v>
      </c>
      <c r="AT26">
        <v>0</v>
      </c>
      <c r="AU26">
        <v>64</v>
      </c>
    </row>
    <row r="27" spans="2:47" x14ac:dyDescent="0.25">
      <c r="B27" s="9">
        <v>14</v>
      </c>
      <c r="C27" s="35">
        <v>175</v>
      </c>
      <c r="D27" s="3"/>
      <c r="E27" s="9">
        <f t="shared" si="0"/>
        <v>573</v>
      </c>
      <c r="F27" s="54">
        <f t="shared" si="9"/>
        <v>585</v>
      </c>
      <c r="G27" s="73">
        <f t="shared" si="1"/>
        <v>1.645</v>
      </c>
      <c r="H27" s="56">
        <f t="shared" si="2"/>
        <v>0.88300000000000001</v>
      </c>
      <c r="I27" s="57">
        <f t="shared" si="3"/>
        <v>2842</v>
      </c>
      <c r="J27" s="58">
        <f t="shared" si="4"/>
        <v>6.1</v>
      </c>
      <c r="L27" s="31">
        <f t="shared" si="5"/>
        <v>7.5999999999999998E-2</v>
      </c>
      <c r="M27" s="32">
        <f t="shared" si="10"/>
        <v>0.11899999999999999</v>
      </c>
      <c r="N27" s="32">
        <f t="shared" si="6"/>
        <v>0.64700000000000002</v>
      </c>
      <c r="O27" s="32">
        <f t="shared" si="7"/>
        <v>-5.0999999999999997E-2</v>
      </c>
      <c r="P27" s="32">
        <f t="shared" si="8"/>
        <v>9.0449999999999999</v>
      </c>
      <c r="Q27" s="33">
        <f t="shared" si="8"/>
        <v>0.97299999999999998</v>
      </c>
      <c r="AB27">
        <v>1</v>
      </c>
      <c r="AC27">
        <v>4</v>
      </c>
      <c r="AD27">
        <v>12</v>
      </c>
      <c r="AE27">
        <v>-6.8000000000000005E-2</v>
      </c>
      <c r="AF27">
        <v>-0.14599999999999999</v>
      </c>
      <c r="AG27">
        <v>7.8E-2</v>
      </c>
      <c r="AH27">
        <v>-5.0999999999999997E-2</v>
      </c>
      <c r="AI27">
        <v>0.64600000000000002</v>
      </c>
      <c r="AJ27">
        <v>9.0879999999999992</v>
      </c>
      <c r="AK27">
        <v>0.96099999999999997</v>
      </c>
      <c r="AL27">
        <v>6.0369999999999999</v>
      </c>
      <c r="AM27">
        <v>0.106</v>
      </c>
      <c r="AN27">
        <v>9.1389999999999993</v>
      </c>
      <c r="AO27">
        <v>8.6010000000000009</v>
      </c>
      <c r="AP27">
        <v>4.0000000000000001E-3</v>
      </c>
      <c r="AQ27">
        <v>5.6210000000000004</v>
      </c>
      <c r="AR27">
        <v>9.8000000000000004E-2</v>
      </c>
      <c r="AS27">
        <v>1</v>
      </c>
      <c r="AT27">
        <v>0</v>
      </c>
      <c r="AU27">
        <v>64</v>
      </c>
    </row>
    <row r="28" spans="2:47" x14ac:dyDescent="0.25">
      <c r="B28" s="9">
        <v>15</v>
      </c>
      <c r="C28" s="35">
        <v>200</v>
      </c>
      <c r="D28" s="3"/>
      <c r="E28" s="9">
        <f t="shared" si="0"/>
        <v>573</v>
      </c>
      <c r="F28" s="54">
        <f t="shared" si="9"/>
        <v>622</v>
      </c>
      <c r="G28" s="73">
        <f t="shared" si="1"/>
        <v>1.6479999999999999</v>
      </c>
      <c r="H28" s="56">
        <f t="shared" si="2"/>
        <v>0.88400000000000001</v>
      </c>
      <c r="I28" s="57">
        <f t="shared" si="3"/>
        <v>2867</v>
      </c>
      <c r="J28" s="58">
        <f t="shared" si="4"/>
        <v>6.1</v>
      </c>
      <c r="L28" s="31">
        <f t="shared" si="5"/>
        <v>7.5999999999999998E-2</v>
      </c>
      <c r="M28" s="32">
        <f t="shared" si="10"/>
        <v>0.124</v>
      </c>
      <c r="N28" s="32">
        <f t="shared" si="6"/>
        <v>0.64800000000000002</v>
      </c>
      <c r="O28" s="32">
        <f t="shared" si="7"/>
        <v>-5.0999999999999997E-2</v>
      </c>
      <c r="P28" s="32">
        <f t="shared" si="8"/>
        <v>9.1240000000000006</v>
      </c>
      <c r="Q28" s="33">
        <f t="shared" si="8"/>
        <v>0.97099999999999997</v>
      </c>
      <c r="AB28">
        <v>1</v>
      </c>
      <c r="AC28">
        <v>4</v>
      </c>
      <c r="AD28">
        <v>13</v>
      </c>
      <c r="AE28">
        <v>-7.2999999999999995E-2</v>
      </c>
      <c r="AF28">
        <v>-0.152</v>
      </c>
      <c r="AG28">
        <v>7.9000000000000001E-2</v>
      </c>
      <c r="AH28">
        <v>-0.05</v>
      </c>
      <c r="AI28">
        <v>0.64700000000000002</v>
      </c>
      <c r="AJ28">
        <v>9.0129999999999999</v>
      </c>
      <c r="AK28">
        <v>0.96899999999999997</v>
      </c>
      <c r="AL28">
        <v>6.1340000000000003</v>
      </c>
      <c r="AM28">
        <v>0.107</v>
      </c>
      <c r="AN28">
        <v>9.0649999999999995</v>
      </c>
      <c r="AO28">
        <v>8.5969999999999995</v>
      </c>
      <c r="AP28">
        <v>4.0000000000000001E-3</v>
      </c>
      <c r="AQ28">
        <v>5.7709999999999999</v>
      </c>
      <c r="AR28">
        <v>0.10100000000000001</v>
      </c>
      <c r="AS28">
        <v>1</v>
      </c>
      <c r="AT28">
        <v>0</v>
      </c>
      <c r="AU28">
        <v>64</v>
      </c>
    </row>
    <row r="29" spans="2:47" x14ac:dyDescent="0.25">
      <c r="B29" s="9">
        <v>16</v>
      </c>
      <c r="C29" s="35">
        <v>225</v>
      </c>
      <c r="D29" s="3"/>
      <c r="E29" s="9">
        <f t="shared" si="0"/>
        <v>573</v>
      </c>
      <c r="F29" s="54">
        <f t="shared" si="9"/>
        <v>653</v>
      </c>
      <c r="G29" s="73">
        <f t="shared" si="1"/>
        <v>1.65</v>
      </c>
      <c r="H29" s="56">
        <f t="shared" si="2"/>
        <v>0.88500000000000001</v>
      </c>
      <c r="I29" s="57">
        <f t="shared" si="3"/>
        <v>2863</v>
      </c>
      <c r="J29" s="58">
        <f t="shared" si="4"/>
        <v>6.2</v>
      </c>
      <c r="L29" s="31">
        <f t="shared" si="5"/>
        <v>7.5999999999999998E-2</v>
      </c>
      <c r="M29" s="32">
        <f t="shared" si="10"/>
        <v>0.128</v>
      </c>
      <c r="N29" s="32">
        <f t="shared" si="6"/>
        <v>0.64900000000000002</v>
      </c>
      <c r="O29" s="32">
        <f t="shared" si="7"/>
        <v>-5.0999999999999997E-2</v>
      </c>
      <c r="P29" s="32">
        <f t="shared" si="8"/>
        <v>9.1080000000000005</v>
      </c>
      <c r="Q29" s="33">
        <f t="shared" si="8"/>
        <v>0.99299999999999999</v>
      </c>
      <c r="AB29">
        <v>1</v>
      </c>
      <c r="AC29">
        <v>4</v>
      </c>
      <c r="AD29">
        <v>14</v>
      </c>
      <c r="AE29">
        <v>-8.1000000000000003E-2</v>
      </c>
      <c r="AF29">
        <v>-0.157</v>
      </c>
      <c r="AG29">
        <v>7.5999999999999998E-2</v>
      </c>
      <c r="AH29">
        <v>-5.0999999999999997E-2</v>
      </c>
      <c r="AI29">
        <v>0.64700000000000002</v>
      </c>
      <c r="AJ29">
        <v>9.0449999999999999</v>
      </c>
      <c r="AK29">
        <v>0.97299999999999998</v>
      </c>
      <c r="AL29">
        <v>6.14</v>
      </c>
      <c r="AM29">
        <v>0.108</v>
      </c>
      <c r="AN29">
        <v>9.0980000000000008</v>
      </c>
      <c r="AO29">
        <v>8.7249999999999996</v>
      </c>
      <c r="AP29">
        <v>4.0000000000000001E-3</v>
      </c>
      <c r="AQ29">
        <v>5.8630000000000004</v>
      </c>
      <c r="AR29">
        <v>0.10299999999999999</v>
      </c>
      <c r="AS29">
        <v>1</v>
      </c>
      <c r="AT29">
        <v>0</v>
      </c>
      <c r="AU29">
        <v>64</v>
      </c>
    </row>
    <row r="30" spans="2:47" x14ac:dyDescent="0.25">
      <c r="B30" s="9">
        <v>17</v>
      </c>
      <c r="C30" s="35">
        <v>250</v>
      </c>
      <c r="D30" s="3"/>
      <c r="E30" s="9">
        <f t="shared" si="0"/>
        <v>573</v>
      </c>
      <c r="F30" s="54">
        <f t="shared" si="9"/>
        <v>698</v>
      </c>
      <c r="G30" s="73">
        <f t="shared" si="1"/>
        <v>1.6479999999999999</v>
      </c>
      <c r="H30" s="56">
        <f t="shared" si="2"/>
        <v>0.88400000000000001</v>
      </c>
      <c r="I30" s="57">
        <f t="shared" si="3"/>
        <v>2858</v>
      </c>
      <c r="J30" s="58">
        <f t="shared" si="4"/>
        <v>5.7</v>
      </c>
      <c r="L30" s="31">
        <f t="shared" si="5"/>
        <v>7.5999999999999998E-2</v>
      </c>
      <c r="M30" s="32">
        <f t="shared" si="10"/>
        <v>0.13400000000000001</v>
      </c>
      <c r="N30" s="32">
        <f t="shared" si="6"/>
        <v>0.64800000000000002</v>
      </c>
      <c r="O30" s="32">
        <f t="shared" si="7"/>
        <v>-5.0999999999999997E-2</v>
      </c>
      <c r="P30" s="32">
        <f t="shared" si="8"/>
        <v>9.1010000000000009</v>
      </c>
      <c r="Q30" s="33">
        <f t="shared" si="8"/>
        <v>0.91100000000000003</v>
      </c>
      <c r="AB30">
        <v>1</v>
      </c>
      <c r="AC30">
        <v>4</v>
      </c>
      <c r="AD30">
        <v>15</v>
      </c>
      <c r="AE30">
        <v>-8.5999999999999993E-2</v>
      </c>
      <c r="AF30">
        <v>-0.16200000000000001</v>
      </c>
      <c r="AG30">
        <v>7.5999999999999998E-2</v>
      </c>
      <c r="AH30">
        <v>-5.0999999999999997E-2</v>
      </c>
      <c r="AI30">
        <v>0.64800000000000002</v>
      </c>
      <c r="AJ30">
        <v>9.1240000000000006</v>
      </c>
      <c r="AK30">
        <v>0.97099999999999997</v>
      </c>
      <c r="AL30">
        <v>6.0720000000000001</v>
      </c>
      <c r="AM30">
        <v>0.106</v>
      </c>
      <c r="AN30">
        <v>9.1760000000000002</v>
      </c>
      <c r="AO30">
        <v>8.6509999999999998</v>
      </c>
      <c r="AP30">
        <v>4.0000000000000001E-3</v>
      </c>
      <c r="AQ30">
        <v>5.6660000000000004</v>
      </c>
      <c r="AR30">
        <v>9.9000000000000005E-2</v>
      </c>
      <c r="AS30">
        <v>1</v>
      </c>
      <c r="AT30">
        <v>0</v>
      </c>
      <c r="AU30">
        <v>64</v>
      </c>
    </row>
    <row r="31" spans="2:47" x14ac:dyDescent="0.25">
      <c r="B31" s="9">
        <v>18</v>
      </c>
      <c r="C31" s="35">
        <v>275</v>
      </c>
      <c r="D31" s="3"/>
      <c r="E31" s="9">
        <f t="shared" si="0"/>
        <v>581</v>
      </c>
      <c r="F31" s="54">
        <f t="shared" si="9"/>
        <v>732</v>
      </c>
      <c r="G31" s="73">
        <f t="shared" si="1"/>
        <v>1.6479999999999999</v>
      </c>
      <c r="H31" s="56">
        <f t="shared" si="2"/>
        <v>0.88400000000000001</v>
      </c>
      <c r="I31" s="57">
        <f t="shared" si="3"/>
        <v>2845</v>
      </c>
      <c r="J31" s="58">
        <f t="shared" si="4"/>
        <v>6.2</v>
      </c>
      <c r="L31" s="31">
        <f t="shared" si="5"/>
        <v>7.6999999999999999E-2</v>
      </c>
      <c r="M31" s="32">
        <f t="shared" si="10"/>
        <v>0.13850000000000001</v>
      </c>
      <c r="N31" s="32">
        <f t="shared" si="6"/>
        <v>0.64800000000000002</v>
      </c>
      <c r="O31" s="32">
        <f t="shared" si="7"/>
        <v>-5.0999999999999997E-2</v>
      </c>
      <c r="P31" s="32">
        <f t="shared" si="8"/>
        <v>9.0540000000000003</v>
      </c>
      <c r="Q31" s="33">
        <f t="shared" si="8"/>
        <v>0.97699999999999998</v>
      </c>
      <c r="AB31">
        <v>1</v>
      </c>
      <c r="AC31">
        <v>4</v>
      </c>
      <c r="AD31">
        <v>16</v>
      </c>
      <c r="AE31">
        <v>-0.09</v>
      </c>
      <c r="AF31">
        <v>-0.16600000000000001</v>
      </c>
      <c r="AG31">
        <v>7.5999999999999998E-2</v>
      </c>
      <c r="AH31">
        <v>-5.0999999999999997E-2</v>
      </c>
      <c r="AI31">
        <v>0.64900000000000002</v>
      </c>
      <c r="AJ31">
        <v>9.1080000000000005</v>
      </c>
      <c r="AK31">
        <v>0.99299999999999999</v>
      </c>
      <c r="AL31">
        <v>6.2240000000000002</v>
      </c>
      <c r="AM31">
        <v>0.109</v>
      </c>
      <c r="AN31">
        <v>9.1620000000000008</v>
      </c>
      <c r="AO31">
        <v>8.8070000000000004</v>
      </c>
      <c r="AP31">
        <v>4.0000000000000001E-3</v>
      </c>
      <c r="AQ31">
        <v>5.9160000000000004</v>
      </c>
      <c r="AR31">
        <v>0.104</v>
      </c>
      <c r="AS31">
        <v>1</v>
      </c>
      <c r="AT31">
        <v>0</v>
      </c>
      <c r="AU31">
        <v>64</v>
      </c>
    </row>
    <row r="32" spans="2:47" x14ac:dyDescent="0.25">
      <c r="B32" s="9">
        <v>19</v>
      </c>
      <c r="C32" s="35">
        <v>300</v>
      </c>
      <c r="D32" s="3"/>
      <c r="E32" s="9">
        <f t="shared" si="0"/>
        <v>573</v>
      </c>
      <c r="F32" s="54">
        <f t="shared" si="9"/>
        <v>766</v>
      </c>
      <c r="G32" s="73">
        <f t="shared" si="1"/>
        <v>1.6479999999999999</v>
      </c>
      <c r="H32" s="56">
        <f t="shared" si="2"/>
        <v>0.88500000000000001</v>
      </c>
      <c r="I32" s="57">
        <f t="shared" si="3"/>
        <v>2866</v>
      </c>
      <c r="J32" s="58">
        <f t="shared" si="4"/>
        <v>6</v>
      </c>
      <c r="L32" s="31">
        <f t="shared" si="5"/>
        <v>7.5999999999999998E-2</v>
      </c>
      <c r="M32" s="32">
        <f t="shared" si="10"/>
        <v>0.14299999999999999</v>
      </c>
      <c r="N32" s="32">
        <f t="shared" si="6"/>
        <v>0.64700000000000002</v>
      </c>
      <c r="O32" s="32">
        <f t="shared" si="7"/>
        <v>-5.1999999999999998E-2</v>
      </c>
      <c r="P32" s="32">
        <f t="shared" si="8"/>
        <v>9.1229999999999993</v>
      </c>
      <c r="Q32" s="33">
        <f t="shared" si="8"/>
        <v>0.95299999999999996</v>
      </c>
      <c r="AB32">
        <v>1</v>
      </c>
      <c r="AC32">
        <v>4</v>
      </c>
      <c r="AD32">
        <v>17</v>
      </c>
      <c r="AE32">
        <v>-9.6000000000000002E-2</v>
      </c>
      <c r="AF32">
        <v>-0.17199999999999999</v>
      </c>
      <c r="AG32">
        <v>7.5999999999999998E-2</v>
      </c>
      <c r="AH32">
        <v>-5.0999999999999997E-2</v>
      </c>
      <c r="AI32">
        <v>0.64800000000000002</v>
      </c>
      <c r="AJ32">
        <v>9.1010000000000009</v>
      </c>
      <c r="AK32">
        <v>0.91100000000000003</v>
      </c>
      <c r="AL32">
        <v>5.7169999999999996</v>
      </c>
      <c r="AM32">
        <v>0.1</v>
      </c>
      <c r="AN32">
        <v>9.1470000000000002</v>
      </c>
      <c r="AO32">
        <v>8.8040000000000003</v>
      </c>
      <c r="AP32">
        <v>4.0000000000000001E-3</v>
      </c>
      <c r="AQ32">
        <v>5.4480000000000004</v>
      </c>
      <c r="AR32">
        <v>9.5000000000000001E-2</v>
      </c>
      <c r="AS32">
        <v>1</v>
      </c>
      <c r="AT32">
        <v>0</v>
      </c>
      <c r="AU32">
        <v>64</v>
      </c>
    </row>
    <row r="33" spans="2:47" x14ac:dyDescent="0.25">
      <c r="B33" s="9">
        <v>20</v>
      </c>
      <c r="C33" s="35">
        <v>325</v>
      </c>
      <c r="D33" s="3"/>
      <c r="E33" s="9">
        <f t="shared" si="0"/>
        <v>596</v>
      </c>
      <c r="F33" s="54">
        <f t="shared" si="9"/>
        <v>785</v>
      </c>
      <c r="G33" s="73">
        <f t="shared" si="1"/>
        <v>1.65</v>
      </c>
      <c r="H33" s="56">
        <f t="shared" si="2"/>
        <v>0.88500000000000001</v>
      </c>
      <c r="I33" s="57">
        <f t="shared" si="3"/>
        <v>2846</v>
      </c>
      <c r="J33" s="58">
        <f t="shared" si="4"/>
        <v>6.6</v>
      </c>
      <c r="L33" s="31">
        <f t="shared" si="5"/>
        <v>7.9000000000000001E-2</v>
      </c>
      <c r="M33" s="32">
        <f t="shared" si="10"/>
        <v>0.14549999999999999</v>
      </c>
      <c r="N33" s="32">
        <f t="shared" si="6"/>
        <v>0.64900000000000002</v>
      </c>
      <c r="O33" s="32">
        <f t="shared" si="7"/>
        <v>-5.0999999999999997E-2</v>
      </c>
      <c r="P33" s="32">
        <f t="shared" si="8"/>
        <v>9.0500000000000007</v>
      </c>
      <c r="Q33" s="33">
        <f t="shared" si="8"/>
        <v>1.042</v>
      </c>
      <c r="AB33">
        <v>1</v>
      </c>
      <c r="AC33">
        <v>4</v>
      </c>
      <c r="AD33">
        <v>18</v>
      </c>
      <c r="AE33">
        <v>-0.1</v>
      </c>
      <c r="AF33">
        <v>-0.17699999999999999</v>
      </c>
      <c r="AG33">
        <v>7.6999999999999999E-2</v>
      </c>
      <c r="AH33">
        <v>-5.0999999999999997E-2</v>
      </c>
      <c r="AI33">
        <v>0.64800000000000002</v>
      </c>
      <c r="AJ33">
        <v>9.0540000000000003</v>
      </c>
      <c r="AK33">
        <v>0.97699999999999998</v>
      </c>
      <c r="AL33">
        <v>6.1609999999999996</v>
      </c>
      <c r="AM33">
        <v>0.108</v>
      </c>
      <c r="AN33">
        <v>9.1080000000000005</v>
      </c>
      <c r="AO33">
        <v>8.625</v>
      </c>
      <c r="AP33">
        <v>4.0000000000000001E-3</v>
      </c>
      <c r="AQ33">
        <v>5.7990000000000004</v>
      </c>
      <c r="AR33">
        <v>0.10199999999999999</v>
      </c>
      <c r="AS33">
        <v>1</v>
      </c>
      <c r="AT33">
        <v>0</v>
      </c>
      <c r="AU33">
        <v>64</v>
      </c>
    </row>
    <row r="34" spans="2:47" x14ac:dyDescent="0.25">
      <c r="B34" s="9">
        <v>21</v>
      </c>
      <c r="C34" s="35">
        <v>350</v>
      </c>
      <c r="D34" s="3"/>
      <c r="E34" s="9">
        <f t="shared" si="0"/>
        <v>566</v>
      </c>
      <c r="F34" s="54">
        <f t="shared" si="9"/>
        <v>822</v>
      </c>
      <c r="G34" s="73">
        <f t="shared" si="1"/>
        <v>1.65</v>
      </c>
      <c r="H34" s="56">
        <f t="shared" si="2"/>
        <v>0.88400000000000001</v>
      </c>
      <c r="I34" s="57">
        <f t="shared" si="3"/>
        <v>2851</v>
      </c>
      <c r="J34" s="58">
        <f t="shared" si="4"/>
        <v>6.1</v>
      </c>
      <c r="L34" s="31">
        <f t="shared" si="5"/>
        <v>7.4999999999999997E-2</v>
      </c>
      <c r="M34" s="32">
        <f t="shared" si="10"/>
        <v>0.15049999999999999</v>
      </c>
      <c r="N34" s="32">
        <f t="shared" si="6"/>
        <v>0.65</v>
      </c>
      <c r="O34" s="32">
        <f t="shared" si="7"/>
        <v>-0.05</v>
      </c>
      <c r="P34" s="32">
        <f t="shared" si="8"/>
        <v>9.0719999999999992</v>
      </c>
      <c r="Q34" s="33">
        <f t="shared" si="8"/>
        <v>0.97499999999999998</v>
      </c>
      <c r="AB34">
        <v>1</v>
      </c>
      <c r="AC34">
        <v>4</v>
      </c>
      <c r="AD34">
        <v>19</v>
      </c>
      <c r="AE34">
        <v>-0.105</v>
      </c>
      <c r="AF34">
        <v>-0.18099999999999999</v>
      </c>
      <c r="AG34">
        <v>7.5999999999999998E-2</v>
      </c>
      <c r="AH34">
        <v>-5.1999999999999998E-2</v>
      </c>
      <c r="AI34">
        <v>0.64700000000000002</v>
      </c>
      <c r="AJ34">
        <v>9.1229999999999993</v>
      </c>
      <c r="AK34">
        <v>0.95299999999999996</v>
      </c>
      <c r="AL34">
        <v>5.9640000000000004</v>
      </c>
      <c r="AM34">
        <v>0.104</v>
      </c>
      <c r="AN34">
        <v>9.173</v>
      </c>
      <c r="AO34">
        <v>8.8000000000000007</v>
      </c>
      <c r="AP34">
        <v>4.0000000000000001E-3</v>
      </c>
      <c r="AQ34">
        <v>5.6619999999999999</v>
      </c>
      <c r="AR34">
        <v>9.9000000000000005E-2</v>
      </c>
      <c r="AS34">
        <v>1</v>
      </c>
      <c r="AT34">
        <v>0</v>
      </c>
      <c r="AU34">
        <v>64</v>
      </c>
    </row>
    <row r="35" spans="2:47" x14ac:dyDescent="0.25">
      <c r="B35" s="9">
        <v>22</v>
      </c>
      <c r="C35" s="35">
        <v>375</v>
      </c>
      <c r="D35" s="3"/>
      <c r="E35" s="9">
        <f t="shared" si="0"/>
        <v>581</v>
      </c>
      <c r="F35" s="54">
        <f t="shared" si="9"/>
        <v>845</v>
      </c>
      <c r="G35" s="73">
        <f t="shared" si="1"/>
        <v>1.65</v>
      </c>
      <c r="H35" s="56">
        <f t="shared" si="2"/>
        <v>0.88500000000000001</v>
      </c>
      <c r="I35" s="57">
        <f t="shared" si="3"/>
        <v>2855</v>
      </c>
      <c r="J35" s="58">
        <f t="shared" si="4"/>
        <v>6.3</v>
      </c>
      <c r="L35" s="31">
        <f t="shared" si="5"/>
        <v>7.6999999999999999E-2</v>
      </c>
      <c r="M35" s="32">
        <f t="shared" si="10"/>
        <v>0.1535</v>
      </c>
      <c r="N35" s="32">
        <f t="shared" si="6"/>
        <v>0.64900000000000002</v>
      </c>
      <c r="O35" s="32">
        <f t="shared" si="7"/>
        <v>-5.0999999999999997E-2</v>
      </c>
      <c r="P35" s="32">
        <f t="shared" si="8"/>
        <v>9.0820000000000007</v>
      </c>
      <c r="Q35" s="33">
        <f t="shared" si="8"/>
        <v>0.999</v>
      </c>
      <c r="AB35">
        <v>1</v>
      </c>
      <c r="AC35">
        <v>4</v>
      </c>
      <c r="AD35">
        <v>20</v>
      </c>
      <c r="AE35">
        <v>-0.106</v>
      </c>
      <c r="AF35">
        <v>-0.185</v>
      </c>
      <c r="AG35">
        <v>7.9000000000000001E-2</v>
      </c>
      <c r="AH35">
        <v>-5.0999999999999997E-2</v>
      </c>
      <c r="AI35">
        <v>0.64900000000000002</v>
      </c>
      <c r="AJ35">
        <v>9.0500000000000007</v>
      </c>
      <c r="AK35">
        <v>1.042</v>
      </c>
      <c r="AL35">
        <v>6.5650000000000004</v>
      </c>
      <c r="AM35">
        <v>0.115</v>
      </c>
      <c r="AN35">
        <v>9.11</v>
      </c>
      <c r="AO35">
        <v>8.5890000000000004</v>
      </c>
      <c r="AP35">
        <v>4.0000000000000001E-3</v>
      </c>
      <c r="AQ35">
        <v>6.117</v>
      </c>
      <c r="AR35">
        <v>0.107</v>
      </c>
      <c r="AS35">
        <v>1</v>
      </c>
      <c r="AT35">
        <v>0</v>
      </c>
      <c r="AU35">
        <v>64</v>
      </c>
    </row>
    <row r="36" spans="2:47" x14ac:dyDescent="0.25">
      <c r="B36" s="9">
        <v>23</v>
      </c>
      <c r="C36" s="35">
        <v>400</v>
      </c>
      <c r="D36" s="3"/>
      <c r="E36" s="9">
        <f t="shared" si="0"/>
        <v>581</v>
      </c>
      <c r="F36" s="54">
        <f t="shared" si="9"/>
        <v>883</v>
      </c>
      <c r="G36" s="73">
        <f t="shared" si="1"/>
        <v>1.643</v>
      </c>
      <c r="H36" s="56">
        <f t="shared" si="2"/>
        <v>0.88</v>
      </c>
      <c r="I36" s="57">
        <f t="shared" si="3"/>
        <v>2818</v>
      </c>
      <c r="J36" s="58">
        <f t="shared" si="4"/>
        <v>6.4</v>
      </c>
      <c r="L36" s="31">
        <f t="shared" si="5"/>
        <v>7.6999999999999999E-2</v>
      </c>
      <c r="M36" s="32">
        <f t="shared" si="10"/>
        <v>0.1585</v>
      </c>
      <c r="N36" s="32">
        <f t="shared" si="6"/>
        <v>0.64700000000000002</v>
      </c>
      <c r="O36" s="32">
        <f t="shared" si="7"/>
        <v>-0.05</v>
      </c>
      <c r="P36" s="32">
        <f t="shared" si="8"/>
        <v>8.9619999999999997</v>
      </c>
      <c r="Q36" s="33">
        <f t="shared" si="8"/>
        <v>1.006</v>
      </c>
      <c r="AB36">
        <v>1</v>
      </c>
      <c r="AC36">
        <v>4</v>
      </c>
      <c r="AD36">
        <v>21</v>
      </c>
      <c r="AE36">
        <v>-0.113</v>
      </c>
      <c r="AF36">
        <v>-0.188</v>
      </c>
      <c r="AG36">
        <v>7.4999999999999997E-2</v>
      </c>
      <c r="AH36">
        <v>-0.05</v>
      </c>
      <c r="AI36">
        <v>0.65</v>
      </c>
      <c r="AJ36">
        <v>9.0719999999999992</v>
      </c>
      <c r="AK36">
        <v>0.97499999999999998</v>
      </c>
      <c r="AL36">
        <v>6.133</v>
      </c>
      <c r="AM36">
        <v>0.107</v>
      </c>
      <c r="AN36">
        <v>9.125</v>
      </c>
      <c r="AO36">
        <v>8.7650000000000006</v>
      </c>
      <c r="AP36">
        <v>4.0000000000000001E-3</v>
      </c>
      <c r="AQ36">
        <v>5.81</v>
      </c>
      <c r="AR36">
        <v>0.10199999999999999</v>
      </c>
      <c r="AS36">
        <v>1</v>
      </c>
      <c r="AT36">
        <v>0</v>
      </c>
      <c r="AU36">
        <v>64</v>
      </c>
    </row>
    <row r="37" spans="2:47" x14ac:dyDescent="0.25">
      <c r="B37" s="9">
        <v>24</v>
      </c>
      <c r="C37" s="35">
        <v>425</v>
      </c>
      <c r="D37" s="3"/>
      <c r="E37" s="9">
        <f t="shared" si="0"/>
        <v>596</v>
      </c>
      <c r="F37" s="54">
        <f t="shared" si="9"/>
        <v>905</v>
      </c>
      <c r="G37" s="73">
        <f t="shared" si="1"/>
        <v>1.6479999999999999</v>
      </c>
      <c r="H37" s="56">
        <f t="shared" si="2"/>
        <v>0.88400000000000001</v>
      </c>
      <c r="I37" s="57">
        <f t="shared" si="3"/>
        <v>2834</v>
      </c>
      <c r="J37" s="58">
        <f t="shared" si="4"/>
        <v>6.4</v>
      </c>
      <c r="L37" s="31">
        <f t="shared" si="5"/>
        <v>7.9000000000000001E-2</v>
      </c>
      <c r="M37" s="32">
        <f t="shared" si="10"/>
        <v>0.1615</v>
      </c>
      <c r="N37" s="32">
        <f t="shared" si="6"/>
        <v>0.64800000000000002</v>
      </c>
      <c r="O37" s="32">
        <f t="shared" si="7"/>
        <v>-5.0999999999999997E-2</v>
      </c>
      <c r="P37" s="32">
        <f t="shared" si="8"/>
        <v>9.0150000000000006</v>
      </c>
      <c r="Q37" s="33">
        <f t="shared" si="8"/>
        <v>1.0129999999999999</v>
      </c>
      <c r="AB37">
        <v>1</v>
      </c>
      <c r="AC37">
        <v>4</v>
      </c>
      <c r="AD37">
        <v>22</v>
      </c>
      <c r="AE37">
        <v>-0.115</v>
      </c>
      <c r="AF37">
        <v>-0.193</v>
      </c>
      <c r="AG37">
        <v>7.6999999999999999E-2</v>
      </c>
      <c r="AH37">
        <v>-5.0999999999999997E-2</v>
      </c>
      <c r="AI37">
        <v>0.64900000000000002</v>
      </c>
      <c r="AJ37">
        <v>9.0820000000000007</v>
      </c>
      <c r="AK37">
        <v>0.999</v>
      </c>
      <c r="AL37">
        <v>6.28</v>
      </c>
      <c r="AM37">
        <v>0.11</v>
      </c>
      <c r="AN37">
        <v>9.1370000000000005</v>
      </c>
      <c r="AO37">
        <v>8.6980000000000004</v>
      </c>
      <c r="AP37">
        <v>4.0000000000000001E-3</v>
      </c>
      <c r="AQ37">
        <v>5.9109999999999996</v>
      </c>
      <c r="AR37">
        <v>0.104</v>
      </c>
      <c r="AS37">
        <v>1</v>
      </c>
      <c r="AT37">
        <v>0</v>
      </c>
      <c r="AU37">
        <v>64</v>
      </c>
    </row>
    <row r="38" spans="2:47" x14ac:dyDescent="0.25">
      <c r="B38" s="9">
        <v>25</v>
      </c>
      <c r="C38" s="35">
        <v>450</v>
      </c>
      <c r="D38" s="3"/>
      <c r="E38" s="9">
        <f t="shared" si="0"/>
        <v>573</v>
      </c>
      <c r="F38" s="54">
        <f t="shared" si="9"/>
        <v>939</v>
      </c>
      <c r="G38" s="73">
        <f t="shared" si="1"/>
        <v>1.65</v>
      </c>
      <c r="H38" s="56">
        <f t="shared" si="2"/>
        <v>0.88600000000000001</v>
      </c>
      <c r="I38" s="57">
        <f t="shared" si="3"/>
        <v>2814</v>
      </c>
      <c r="J38" s="58">
        <f t="shared" si="4"/>
        <v>6.5</v>
      </c>
      <c r="L38" s="31">
        <f t="shared" si="5"/>
        <v>7.5999999999999998E-2</v>
      </c>
      <c r="M38" s="32">
        <f t="shared" si="10"/>
        <v>0.16600000000000001</v>
      </c>
      <c r="N38" s="32">
        <f t="shared" si="6"/>
        <v>0.64800000000000002</v>
      </c>
      <c r="O38" s="32">
        <f t="shared" si="7"/>
        <v>-5.1999999999999998E-2</v>
      </c>
      <c r="P38" s="32">
        <f t="shared" si="8"/>
        <v>8.9489999999999998</v>
      </c>
      <c r="Q38" s="33">
        <f t="shared" si="8"/>
        <v>1.018</v>
      </c>
      <c r="AB38">
        <v>1</v>
      </c>
      <c r="AC38">
        <v>4</v>
      </c>
      <c r="AD38">
        <v>23</v>
      </c>
      <c r="AE38">
        <v>-0.12</v>
      </c>
      <c r="AF38">
        <v>-0.19700000000000001</v>
      </c>
      <c r="AG38">
        <v>7.6999999999999999E-2</v>
      </c>
      <c r="AH38">
        <v>-0.05</v>
      </c>
      <c r="AI38">
        <v>0.64700000000000002</v>
      </c>
      <c r="AJ38">
        <v>8.9619999999999997</v>
      </c>
      <c r="AK38">
        <v>1.006</v>
      </c>
      <c r="AL38">
        <v>6.4020000000000001</v>
      </c>
      <c r="AM38">
        <v>0.112</v>
      </c>
      <c r="AN38">
        <v>9.0180000000000007</v>
      </c>
      <c r="AO38">
        <v>8.6999999999999993</v>
      </c>
      <c r="AP38">
        <v>4.0000000000000001E-3</v>
      </c>
      <c r="AQ38">
        <v>6.1139999999999999</v>
      </c>
      <c r="AR38">
        <v>0.107</v>
      </c>
      <c r="AS38">
        <v>1</v>
      </c>
      <c r="AT38">
        <v>0</v>
      </c>
      <c r="AU38">
        <v>64</v>
      </c>
    </row>
    <row r="39" spans="2:47" x14ac:dyDescent="0.25">
      <c r="B39" s="9">
        <v>26</v>
      </c>
      <c r="C39" s="35">
        <v>475</v>
      </c>
      <c r="D39" s="3"/>
      <c r="E39" s="9">
        <f t="shared" si="0"/>
        <v>604</v>
      </c>
      <c r="F39" s="54">
        <f t="shared" si="9"/>
        <v>947</v>
      </c>
      <c r="G39" s="73">
        <f t="shared" si="1"/>
        <v>1.65</v>
      </c>
      <c r="H39" s="56">
        <f t="shared" si="2"/>
        <v>0.88500000000000001</v>
      </c>
      <c r="I39" s="57">
        <f t="shared" si="3"/>
        <v>2820</v>
      </c>
      <c r="J39" s="58">
        <f t="shared" si="4"/>
        <v>6.2</v>
      </c>
      <c r="L39" s="31">
        <f t="shared" si="5"/>
        <v>0.08</v>
      </c>
      <c r="M39" s="32">
        <f t="shared" si="10"/>
        <v>0.16700000000000001</v>
      </c>
      <c r="N39" s="32">
        <f t="shared" si="6"/>
        <v>0.64900000000000002</v>
      </c>
      <c r="O39" s="32">
        <f t="shared" si="7"/>
        <v>-5.0999999999999997E-2</v>
      </c>
      <c r="P39" s="32">
        <f t="shared" si="8"/>
        <v>8.9740000000000002</v>
      </c>
      <c r="Q39" s="33">
        <f t="shared" si="8"/>
        <v>0.97</v>
      </c>
      <c r="AB39">
        <v>1</v>
      </c>
      <c r="AC39">
        <v>4</v>
      </c>
      <c r="AD39">
        <v>24</v>
      </c>
      <c r="AE39">
        <v>-0.122</v>
      </c>
      <c r="AF39">
        <v>-0.20100000000000001</v>
      </c>
      <c r="AG39">
        <v>7.9000000000000001E-2</v>
      </c>
      <c r="AH39">
        <v>-5.0999999999999997E-2</v>
      </c>
      <c r="AI39">
        <v>0.64800000000000002</v>
      </c>
      <c r="AJ39">
        <v>9.0150000000000006</v>
      </c>
      <c r="AK39">
        <v>1.0129999999999999</v>
      </c>
      <c r="AL39">
        <v>6.4119999999999999</v>
      </c>
      <c r="AM39">
        <v>0.112</v>
      </c>
      <c r="AN39">
        <v>9.0719999999999992</v>
      </c>
      <c r="AO39">
        <v>8.5739999999999998</v>
      </c>
      <c r="AP39">
        <v>4.0000000000000001E-3</v>
      </c>
      <c r="AQ39">
        <v>5.9939999999999998</v>
      </c>
      <c r="AR39">
        <v>0.105</v>
      </c>
      <c r="AS39">
        <v>1</v>
      </c>
      <c r="AT39">
        <v>0</v>
      </c>
      <c r="AU39">
        <v>64</v>
      </c>
    </row>
    <row r="40" spans="2:47" x14ac:dyDescent="0.25">
      <c r="B40" s="9">
        <v>27</v>
      </c>
      <c r="C40" s="35">
        <v>500</v>
      </c>
      <c r="D40" s="3"/>
      <c r="E40" s="9">
        <f t="shared" si="0"/>
        <v>596</v>
      </c>
      <c r="F40" s="54">
        <f t="shared" si="9"/>
        <v>988</v>
      </c>
      <c r="G40" s="73">
        <f t="shared" si="1"/>
        <v>1.645</v>
      </c>
      <c r="H40" s="56">
        <f t="shared" si="2"/>
        <v>0.88300000000000001</v>
      </c>
      <c r="I40" s="57">
        <f t="shared" si="3"/>
        <v>2831</v>
      </c>
      <c r="J40" s="58">
        <f t="shared" si="4"/>
        <v>6.7</v>
      </c>
      <c r="L40" s="31">
        <f t="shared" si="5"/>
        <v>7.9000000000000001E-2</v>
      </c>
      <c r="M40" s="32">
        <f t="shared" si="10"/>
        <v>0.17250000000000001</v>
      </c>
      <c r="N40" s="32">
        <f t="shared" si="6"/>
        <v>0.64700000000000002</v>
      </c>
      <c r="O40" s="32">
        <f t="shared" si="7"/>
        <v>-5.0999999999999997E-2</v>
      </c>
      <c r="P40" s="32">
        <f t="shared" si="8"/>
        <v>8.9979999999999993</v>
      </c>
      <c r="Q40" s="33">
        <f t="shared" si="8"/>
        <v>1.056</v>
      </c>
      <c r="AB40">
        <v>1</v>
      </c>
      <c r="AC40">
        <v>4</v>
      </c>
      <c r="AD40">
        <v>25</v>
      </c>
      <c r="AE40">
        <v>-0.128</v>
      </c>
      <c r="AF40">
        <v>-0.20399999999999999</v>
      </c>
      <c r="AG40">
        <v>7.5999999999999998E-2</v>
      </c>
      <c r="AH40">
        <v>-5.1999999999999998E-2</v>
      </c>
      <c r="AI40">
        <v>0.64800000000000002</v>
      </c>
      <c r="AJ40">
        <v>8.9489999999999998</v>
      </c>
      <c r="AK40">
        <v>1.018</v>
      </c>
      <c r="AL40">
        <v>6.4870000000000001</v>
      </c>
      <c r="AM40">
        <v>0.114</v>
      </c>
      <c r="AN40">
        <v>9.0069999999999997</v>
      </c>
      <c r="AO40">
        <v>8.7159999999999993</v>
      </c>
      <c r="AP40">
        <v>4.0000000000000001E-3</v>
      </c>
      <c r="AQ40">
        <v>6.2290000000000001</v>
      </c>
      <c r="AR40">
        <v>0.109</v>
      </c>
      <c r="AS40">
        <v>1</v>
      </c>
      <c r="AT40">
        <v>0</v>
      </c>
      <c r="AU40">
        <v>64</v>
      </c>
    </row>
    <row r="41" spans="2:47" x14ac:dyDescent="0.25">
      <c r="B41" s="9">
        <v>28</v>
      </c>
      <c r="C41" s="35">
        <v>600</v>
      </c>
      <c r="D41" s="3"/>
      <c r="E41" s="9">
        <f t="shared" si="0"/>
        <v>604</v>
      </c>
      <c r="F41" s="54">
        <f t="shared" si="9"/>
        <v>1105</v>
      </c>
      <c r="G41" s="73">
        <f t="shared" si="1"/>
        <v>1.645</v>
      </c>
      <c r="H41" s="56">
        <f t="shared" si="2"/>
        <v>0.88300000000000001</v>
      </c>
      <c r="I41" s="57">
        <f t="shared" si="3"/>
        <v>2832</v>
      </c>
      <c r="J41" s="58">
        <f t="shared" si="4"/>
        <v>6.3</v>
      </c>
      <c r="L41" s="31">
        <f t="shared" si="5"/>
        <v>0.08</v>
      </c>
      <c r="M41" s="32">
        <f t="shared" si="10"/>
        <v>0.188</v>
      </c>
      <c r="N41" s="32">
        <f t="shared" si="6"/>
        <v>0.64700000000000002</v>
      </c>
      <c r="O41" s="32">
        <f t="shared" si="7"/>
        <v>-5.0999999999999997E-2</v>
      </c>
      <c r="P41" s="32">
        <f t="shared" si="8"/>
        <v>9.0090000000000003</v>
      </c>
      <c r="Q41" s="33">
        <f t="shared" si="8"/>
        <v>0.99199999999999999</v>
      </c>
      <c r="AB41">
        <v>1</v>
      </c>
      <c r="AC41">
        <v>4</v>
      </c>
      <c r="AD41">
        <v>26</v>
      </c>
      <c r="AE41">
        <v>-0.127</v>
      </c>
      <c r="AF41">
        <v>-0.20799999999999999</v>
      </c>
      <c r="AG41">
        <v>0.08</v>
      </c>
      <c r="AH41">
        <v>-5.0999999999999997E-2</v>
      </c>
      <c r="AI41">
        <v>0.64900000000000002</v>
      </c>
      <c r="AJ41">
        <v>8.9740000000000002</v>
      </c>
      <c r="AK41">
        <v>0.97</v>
      </c>
      <c r="AL41">
        <v>6.1619999999999999</v>
      </c>
      <c r="AM41">
        <v>0.108</v>
      </c>
      <c r="AN41">
        <v>9.0269999999999992</v>
      </c>
      <c r="AO41">
        <v>8.4640000000000004</v>
      </c>
      <c r="AP41">
        <v>4.0000000000000001E-3</v>
      </c>
      <c r="AQ41">
        <v>5.7370000000000001</v>
      </c>
      <c r="AR41">
        <v>0.1</v>
      </c>
      <c r="AS41">
        <v>1</v>
      </c>
      <c r="AT41">
        <v>0</v>
      </c>
      <c r="AU41">
        <v>64</v>
      </c>
    </row>
    <row r="42" spans="2:47" x14ac:dyDescent="0.25">
      <c r="B42" s="9">
        <v>29</v>
      </c>
      <c r="C42" s="35">
        <v>700</v>
      </c>
      <c r="D42" s="3"/>
      <c r="E42" s="9">
        <f t="shared" si="0"/>
        <v>581</v>
      </c>
      <c r="F42" s="54">
        <f t="shared" si="9"/>
        <v>1200</v>
      </c>
      <c r="G42" s="73">
        <f t="shared" si="1"/>
        <v>1.6479999999999999</v>
      </c>
      <c r="H42" s="56">
        <f t="shared" si="2"/>
        <v>0.88500000000000001</v>
      </c>
      <c r="I42" s="57">
        <f t="shared" si="3"/>
        <v>2844</v>
      </c>
      <c r="J42" s="58">
        <f t="shared" si="4"/>
        <v>5.8</v>
      </c>
      <c r="L42" s="31">
        <f t="shared" si="5"/>
        <v>7.6999999999999999E-2</v>
      </c>
      <c r="M42" s="32">
        <f t="shared" si="10"/>
        <v>0.20050000000000001</v>
      </c>
      <c r="N42" s="32">
        <f t="shared" si="6"/>
        <v>0.64700000000000002</v>
      </c>
      <c r="O42" s="32">
        <f t="shared" si="7"/>
        <v>-5.1999999999999998E-2</v>
      </c>
      <c r="P42" s="32">
        <f t="shared" si="8"/>
        <v>9.0579999999999998</v>
      </c>
      <c r="Q42" s="33">
        <f t="shared" si="8"/>
        <v>0.91500000000000004</v>
      </c>
      <c r="AB42">
        <v>1</v>
      </c>
      <c r="AC42">
        <v>4</v>
      </c>
      <c r="AD42">
        <v>27</v>
      </c>
      <c r="AE42">
        <v>-0.13300000000000001</v>
      </c>
      <c r="AF42">
        <v>-0.21099999999999999</v>
      </c>
      <c r="AG42">
        <v>7.9000000000000001E-2</v>
      </c>
      <c r="AH42">
        <v>-5.0999999999999997E-2</v>
      </c>
      <c r="AI42">
        <v>0.64700000000000002</v>
      </c>
      <c r="AJ42">
        <v>8.9979999999999993</v>
      </c>
      <c r="AK42">
        <v>1.056</v>
      </c>
      <c r="AL42">
        <v>6.6879999999999997</v>
      </c>
      <c r="AM42">
        <v>0.11700000000000001</v>
      </c>
      <c r="AN42">
        <v>9.06</v>
      </c>
      <c r="AO42">
        <v>8.6</v>
      </c>
      <c r="AP42">
        <v>4.0000000000000001E-3</v>
      </c>
      <c r="AQ42">
        <v>6.3239999999999998</v>
      </c>
      <c r="AR42">
        <v>0.111</v>
      </c>
      <c r="AS42">
        <v>1</v>
      </c>
      <c r="AT42">
        <v>0</v>
      </c>
      <c r="AU42">
        <v>64</v>
      </c>
    </row>
    <row r="43" spans="2:47" x14ac:dyDescent="0.25">
      <c r="B43" s="9">
        <v>30</v>
      </c>
      <c r="C43" s="35">
        <v>800</v>
      </c>
      <c r="D43" s="3"/>
      <c r="E43" s="9">
        <f t="shared" si="0"/>
        <v>566</v>
      </c>
      <c r="F43" s="54">
        <f t="shared" si="9"/>
        <v>1290</v>
      </c>
      <c r="G43" s="73">
        <f t="shared" si="1"/>
        <v>1.643</v>
      </c>
      <c r="H43" s="56">
        <f t="shared" si="2"/>
        <v>0.88200000000000001</v>
      </c>
      <c r="I43" s="57">
        <f t="shared" si="3"/>
        <v>2853</v>
      </c>
      <c r="J43" s="58">
        <f t="shared" si="4"/>
        <v>5.8</v>
      </c>
      <c r="L43" s="31">
        <f t="shared" si="5"/>
        <v>7.4999999999999997E-2</v>
      </c>
      <c r="M43" s="32">
        <f t="shared" si="10"/>
        <v>0.21249999999999999</v>
      </c>
      <c r="N43" s="32">
        <f t="shared" si="6"/>
        <v>0.64600000000000002</v>
      </c>
      <c r="O43" s="32">
        <f t="shared" si="7"/>
        <v>-5.0999999999999997E-2</v>
      </c>
      <c r="P43" s="32">
        <f t="shared" si="8"/>
        <v>9.0860000000000003</v>
      </c>
      <c r="Q43" s="33">
        <f t="shared" si="8"/>
        <v>0.92200000000000004</v>
      </c>
      <c r="AB43">
        <v>1</v>
      </c>
      <c r="AC43">
        <v>4</v>
      </c>
      <c r="AD43">
        <v>28</v>
      </c>
      <c r="AE43">
        <v>-0.14799999999999999</v>
      </c>
      <c r="AF43">
        <v>-0.22800000000000001</v>
      </c>
      <c r="AG43">
        <v>0.08</v>
      </c>
      <c r="AH43">
        <v>-5.0999999999999997E-2</v>
      </c>
      <c r="AI43">
        <v>0.64700000000000002</v>
      </c>
      <c r="AJ43">
        <v>9.0090000000000003</v>
      </c>
      <c r="AK43">
        <v>0.99199999999999999</v>
      </c>
      <c r="AL43">
        <v>6.2880000000000003</v>
      </c>
      <c r="AM43">
        <v>0.11</v>
      </c>
      <c r="AN43">
        <v>9.0640000000000001</v>
      </c>
      <c r="AO43">
        <v>8.5120000000000005</v>
      </c>
      <c r="AP43">
        <v>4.0000000000000001E-3</v>
      </c>
      <c r="AQ43">
        <v>5.8490000000000002</v>
      </c>
      <c r="AR43">
        <v>0.10199999999999999</v>
      </c>
      <c r="AS43">
        <v>1</v>
      </c>
      <c r="AT43">
        <v>0</v>
      </c>
      <c r="AU43">
        <v>64</v>
      </c>
    </row>
    <row r="44" spans="2:47" x14ac:dyDescent="0.25">
      <c r="B44" s="9">
        <v>31</v>
      </c>
      <c r="C44" s="35">
        <v>900</v>
      </c>
      <c r="D44" s="3"/>
      <c r="E44" s="9">
        <f t="shared" si="0"/>
        <v>573</v>
      </c>
      <c r="F44" s="54">
        <f t="shared" si="9"/>
        <v>1377</v>
      </c>
      <c r="G44" s="73">
        <f t="shared" si="1"/>
        <v>1.65</v>
      </c>
      <c r="H44" s="56">
        <f t="shared" si="2"/>
        <v>0.88500000000000001</v>
      </c>
      <c r="I44" s="57">
        <f t="shared" si="3"/>
        <v>2842</v>
      </c>
      <c r="J44" s="58">
        <f t="shared" si="4"/>
        <v>6.2</v>
      </c>
      <c r="L44" s="31">
        <f t="shared" si="5"/>
        <v>7.5999999999999998E-2</v>
      </c>
      <c r="M44" s="32">
        <f t="shared" si="10"/>
        <v>0.224</v>
      </c>
      <c r="N44" s="32">
        <f t="shared" si="6"/>
        <v>0.64900000000000002</v>
      </c>
      <c r="O44" s="32">
        <f t="shared" si="7"/>
        <v>-5.0999999999999997E-2</v>
      </c>
      <c r="P44" s="32">
        <f t="shared" si="8"/>
        <v>9.0429999999999993</v>
      </c>
      <c r="Q44" s="33">
        <f t="shared" si="8"/>
        <v>0.98299999999999998</v>
      </c>
      <c r="AB44">
        <v>1</v>
      </c>
      <c r="AC44">
        <v>4</v>
      </c>
      <c r="AD44">
        <v>29</v>
      </c>
      <c r="AE44">
        <v>-0.16200000000000001</v>
      </c>
      <c r="AF44">
        <v>-0.23899999999999999</v>
      </c>
      <c r="AG44">
        <v>7.6999999999999999E-2</v>
      </c>
      <c r="AH44">
        <v>-5.1999999999999998E-2</v>
      </c>
      <c r="AI44">
        <v>0.64700000000000002</v>
      </c>
      <c r="AJ44">
        <v>9.0579999999999998</v>
      </c>
      <c r="AK44">
        <v>0.91500000000000004</v>
      </c>
      <c r="AL44">
        <v>5.766</v>
      </c>
      <c r="AM44">
        <v>0.10100000000000001</v>
      </c>
      <c r="AN44">
        <v>9.1039999999999992</v>
      </c>
      <c r="AO44">
        <v>8.7449999999999992</v>
      </c>
      <c r="AP44">
        <v>4.0000000000000001E-3</v>
      </c>
      <c r="AQ44">
        <v>5.484</v>
      </c>
      <c r="AR44">
        <v>9.6000000000000002E-2</v>
      </c>
      <c r="AS44">
        <v>1</v>
      </c>
      <c r="AT44">
        <v>0</v>
      </c>
      <c r="AU44">
        <v>64</v>
      </c>
    </row>
    <row r="45" spans="2:47" x14ac:dyDescent="0.25">
      <c r="B45" s="9">
        <v>32</v>
      </c>
      <c r="C45" s="35">
        <v>1000</v>
      </c>
      <c r="D45" s="3"/>
      <c r="E45" s="9">
        <f t="shared" si="0"/>
        <v>589</v>
      </c>
      <c r="F45" s="54">
        <f t="shared" si="9"/>
        <v>1460</v>
      </c>
      <c r="G45" s="73">
        <f t="shared" si="1"/>
        <v>1.6479999999999999</v>
      </c>
      <c r="H45" s="56">
        <f t="shared" si="2"/>
        <v>0.88400000000000001</v>
      </c>
      <c r="I45" s="57">
        <f t="shared" si="3"/>
        <v>2841</v>
      </c>
      <c r="J45" s="58">
        <f t="shared" si="4"/>
        <v>5.9</v>
      </c>
      <c r="L45" s="31">
        <f t="shared" si="5"/>
        <v>7.8E-2</v>
      </c>
      <c r="M45" s="32">
        <f t="shared" si="10"/>
        <v>0.23500000000000001</v>
      </c>
      <c r="N45" s="32">
        <f t="shared" si="6"/>
        <v>0.64800000000000002</v>
      </c>
      <c r="O45" s="32">
        <f t="shared" si="7"/>
        <v>-5.0999999999999997E-2</v>
      </c>
      <c r="P45" s="32">
        <f t="shared" si="8"/>
        <v>9.0449999999999999</v>
      </c>
      <c r="Q45" s="33">
        <f t="shared" si="8"/>
        <v>0.93300000000000005</v>
      </c>
      <c r="AB45">
        <v>1</v>
      </c>
      <c r="AC45">
        <v>4</v>
      </c>
      <c r="AD45">
        <v>30</v>
      </c>
      <c r="AE45">
        <v>-0.17499999999999999</v>
      </c>
      <c r="AF45">
        <v>-0.25</v>
      </c>
      <c r="AG45">
        <v>7.4999999999999997E-2</v>
      </c>
      <c r="AH45">
        <v>-5.0999999999999997E-2</v>
      </c>
      <c r="AI45">
        <v>0.64600000000000002</v>
      </c>
      <c r="AJ45">
        <v>9.0860000000000003</v>
      </c>
      <c r="AK45">
        <v>0.92200000000000004</v>
      </c>
      <c r="AL45">
        <v>5.7939999999999996</v>
      </c>
      <c r="AM45">
        <v>0.10100000000000001</v>
      </c>
      <c r="AN45">
        <v>9.1329999999999991</v>
      </c>
      <c r="AO45">
        <v>8.7970000000000006</v>
      </c>
      <c r="AP45">
        <v>4.0000000000000001E-3</v>
      </c>
      <c r="AQ45">
        <v>5.5540000000000003</v>
      </c>
      <c r="AR45">
        <v>9.7000000000000003E-2</v>
      </c>
      <c r="AS45">
        <v>1</v>
      </c>
      <c r="AT45">
        <v>0</v>
      </c>
      <c r="AU45">
        <v>64</v>
      </c>
    </row>
    <row r="46" spans="2:47" x14ac:dyDescent="0.25">
      <c r="B46" s="9">
        <v>33</v>
      </c>
      <c r="C46" s="35">
        <v>1100</v>
      </c>
      <c r="D46" s="3"/>
      <c r="E46" s="9">
        <f t="shared" si="0"/>
        <v>573</v>
      </c>
      <c r="F46" s="54">
        <f t="shared" si="9"/>
        <v>1535</v>
      </c>
      <c r="G46" s="73">
        <f t="shared" si="1"/>
        <v>1.645</v>
      </c>
      <c r="H46" s="56">
        <f t="shared" si="2"/>
        <v>0.88200000000000001</v>
      </c>
      <c r="I46" s="57">
        <f t="shared" si="3"/>
        <v>2856</v>
      </c>
      <c r="J46" s="58">
        <f t="shared" si="4"/>
        <v>6.2</v>
      </c>
      <c r="L46" s="31">
        <f t="shared" si="5"/>
        <v>7.5999999999999998E-2</v>
      </c>
      <c r="M46" s="32">
        <f t="shared" si="10"/>
        <v>0.245</v>
      </c>
      <c r="N46" s="32">
        <f t="shared" si="6"/>
        <v>0.64800000000000002</v>
      </c>
      <c r="O46" s="32">
        <f t="shared" si="7"/>
        <v>-0.05</v>
      </c>
      <c r="P46" s="32">
        <f t="shared" ref="P46:Q77" si="11">IF(AJ48="","",AJ48)</f>
        <v>9.0890000000000004</v>
      </c>
      <c r="Q46" s="33">
        <f t="shared" si="11"/>
        <v>0.98599999999999999</v>
      </c>
      <c r="AB46">
        <v>1</v>
      </c>
      <c r="AC46">
        <v>4</v>
      </c>
      <c r="AD46">
        <v>31</v>
      </c>
      <c r="AE46">
        <v>-0.186</v>
      </c>
      <c r="AF46">
        <v>-0.26200000000000001</v>
      </c>
      <c r="AG46">
        <v>7.5999999999999998E-2</v>
      </c>
      <c r="AH46">
        <v>-5.0999999999999997E-2</v>
      </c>
      <c r="AI46">
        <v>0.64900000000000002</v>
      </c>
      <c r="AJ46">
        <v>9.0429999999999993</v>
      </c>
      <c r="AK46">
        <v>0.98299999999999998</v>
      </c>
      <c r="AL46">
        <v>6.2069999999999999</v>
      </c>
      <c r="AM46">
        <v>0.109</v>
      </c>
      <c r="AN46">
        <v>9.0960000000000001</v>
      </c>
      <c r="AO46">
        <v>8.7530000000000001</v>
      </c>
      <c r="AP46">
        <v>4.0000000000000001E-3</v>
      </c>
      <c r="AQ46">
        <v>5.9139999999999997</v>
      </c>
      <c r="AR46">
        <v>0.104</v>
      </c>
      <c r="AS46">
        <v>1</v>
      </c>
      <c r="AT46">
        <v>0</v>
      </c>
      <c r="AU46">
        <v>64</v>
      </c>
    </row>
    <row r="47" spans="2:47" x14ac:dyDescent="0.25">
      <c r="B47" s="9">
        <v>34</v>
      </c>
      <c r="C47" s="35">
        <v>1200</v>
      </c>
      <c r="D47" s="3"/>
      <c r="E47" s="9">
        <f t="shared" si="0"/>
        <v>589</v>
      </c>
      <c r="F47" s="54">
        <f t="shared" si="9"/>
        <v>1611</v>
      </c>
      <c r="G47" s="73">
        <f t="shared" si="1"/>
        <v>1.6479999999999999</v>
      </c>
      <c r="H47" s="56">
        <f t="shared" si="2"/>
        <v>0.88400000000000001</v>
      </c>
      <c r="I47" s="57">
        <f t="shared" si="3"/>
        <v>2831</v>
      </c>
      <c r="J47" s="58">
        <f t="shared" si="4"/>
        <v>6.1</v>
      </c>
      <c r="L47" s="31">
        <f t="shared" si="5"/>
        <v>7.8E-2</v>
      </c>
      <c r="M47" s="32">
        <f t="shared" si="10"/>
        <v>0.255</v>
      </c>
      <c r="N47" s="32">
        <f t="shared" si="6"/>
        <v>0.64800000000000002</v>
      </c>
      <c r="O47" s="32">
        <f t="shared" si="7"/>
        <v>-5.0999999999999997E-2</v>
      </c>
      <c r="P47" s="32">
        <f t="shared" si="11"/>
        <v>9.0090000000000003</v>
      </c>
      <c r="Q47" s="33">
        <f t="shared" si="11"/>
        <v>0.96499999999999997</v>
      </c>
      <c r="AB47">
        <v>1</v>
      </c>
      <c r="AC47">
        <v>4</v>
      </c>
      <c r="AD47">
        <v>32</v>
      </c>
      <c r="AE47">
        <v>-0.19600000000000001</v>
      </c>
      <c r="AF47">
        <v>-0.27400000000000002</v>
      </c>
      <c r="AG47">
        <v>7.8E-2</v>
      </c>
      <c r="AH47">
        <v>-5.0999999999999997E-2</v>
      </c>
      <c r="AI47">
        <v>0.64800000000000002</v>
      </c>
      <c r="AJ47">
        <v>9.0449999999999999</v>
      </c>
      <c r="AK47">
        <v>0.93300000000000005</v>
      </c>
      <c r="AL47">
        <v>5.891</v>
      </c>
      <c r="AM47">
        <v>0.10299999999999999</v>
      </c>
      <c r="AN47">
        <v>9.093</v>
      </c>
      <c r="AO47">
        <v>8.5020000000000007</v>
      </c>
      <c r="AP47">
        <v>4.0000000000000001E-3</v>
      </c>
      <c r="AQ47">
        <v>5.4649999999999999</v>
      </c>
      <c r="AR47">
        <v>9.6000000000000002E-2</v>
      </c>
      <c r="AS47">
        <v>1</v>
      </c>
      <c r="AT47">
        <v>0</v>
      </c>
      <c r="AU47">
        <v>64</v>
      </c>
    </row>
    <row r="48" spans="2:47" x14ac:dyDescent="0.25">
      <c r="B48" s="9">
        <v>35</v>
      </c>
      <c r="C48" s="35">
        <v>1300</v>
      </c>
      <c r="D48" s="3"/>
      <c r="E48" s="9">
        <f t="shared" si="0"/>
        <v>581</v>
      </c>
      <c r="F48" s="54">
        <f t="shared" si="9"/>
        <v>1683</v>
      </c>
      <c r="G48" s="73">
        <f t="shared" si="1"/>
        <v>1.6479999999999999</v>
      </c>
      <c r="H48" s="56">
        <f t="shared" si="2"/>
        <v>0.88400000000000001</v>
      </c>
      <c r="I48" s="57">
        <f t="shared" si="3"/>
        <v>2821</v>
      </c>
      <c r="J48" s="58">
        <f t="shared" si="4"/>
        <v>5.7</v>
      </c>
      <c r="L48" s="31">
        <f t="shared" si="5"/>
        <v>7.6999999999999999E-2</v>
      </c>
      <c r="M48" s="32">
        <f t="shared" si="10"/>
        <v>0.26450000000000001</v>
      </c>
      <c r="N48" s="32">
        <f t="shared" si="6"/>
        <v>0.64800000000000002</v>
      </c>
      <c r="O48" s="32">
        <f t="shared" si="7"/>
        <v>-5.0999999999999997E-2</v>
      </c>
      <c r="P48" s="32">
        <f t="shared" si="11"/>
        <v>8.984</v>
      </c>
      <c r="Q48" s="33">
        <f t="shared" si="11"/>
        <v>0.89100000000000001</v>
      </c>
      <c r="AB48">
        <v>1</v>
      </c>
      <c r="AC48">
        <v>4</v>
      </c>
      <c r="AD48">
        <v>33</v>
      </c>
      <c r="AE48">
        <v>-0.20699999999999999</v>
      </c>
      <c r="AF48">
        <v>-0.28299999999999997</v>
      </c>
      <c r="AG48">
        <v>7.5999999999999998E-2</v>
      </c>
      <c r="AH48">
        <v>-0.05</v>
      </c>
      <c r="AI48">
        <v>0.64800000000000002</v>
      </c>
      <c r="AJ48">
        <v>9.0890000000000004</v>
      </c>
      <c r="AK48">
        <v>0.98599999999999999</v>
      </c>
      <c r="AL48">
        <v>6.19</v>
      </c>
      <c r="AM48">
        <v>0.108</v>
      </c>
      <c r="AN48">
        <v>9.1430000000000007</v>
      </c>
      <c r="AO48">
        <v>8.7680000000000007</v>
      </c>
      <c r="AP48">
        <v>4.0000000000000001E-3</v>
      </c>
      <c r="AQ48">
        <v>5.8719999999999999</v>
      </c>
      <c r="AR48">
        <v>0.10299999999999999</v>
      </c>
      <c r="AS48">
        <v>1</v>
      </c>
      <c r="AT48">
        <v>0</v>
      </c>
      <c r="AU48">
        <v>64</v>
      </c>
    </row>
    <row r="49" spans="2:47" x14ac:dyDescent="0.25">
      <c r="B49" s="9">
        <v>36</v>
      </c>
      <c r="C49" s="35">
        <v>1400</v>
      </c>
      <c r="D49" s="3"/>
      <c r="E49" s="9">
        <f t="shared" si="0"/>
        <v>581</v>
      </c>
      <c r="F49" s="54">
        <f t="shared" si="9"/>
        <v>1750</v>
      </c>
      <c r="G49" s="73">
        <f t="shared" si="1"/>
        <v>1.645</v>
      </c>
      <c r="H49" s="56">
        <f t="shared" si="2"/>
        <v>0.88300000000000001</v>
      </c>
      <c r="I49" s="57">
        <f t="shared" si="3"/>
        <v>2829</v>
      </c>
      <c r="J49" s="58">
        <f t="shared" si="4"/>
        <v>6.1</v>
      </c>
      <c r="L49" s="31">
        <f t="shared" si="5"/>
        <v>7.6999999999999999E-2</v>
      </c>
      <c r="M49" s="32">
        <f t="shared" si="10"/>
        <v>0.27349999999999997</v>
      </c>
      <c r="N49" s="32">
        <f t="shared" si="6"/>
        <v>0.64700000000000002</v>
      </c>
      <c r="O49" s="32">
        <f t="shared" si="7"/>
        <v>-5.0999999999999997E-2</v>
      </c>
      <c r="P49" s="32">
        <f t="shared" si="11"/>
        <v>9.0020000000000007</v>
      </c>
      <c r="Q49" s="33">
        <f t="shared" si="11"/>
        <v>0.96</v>
      </c>
      <c r="AB49">
        <v>1</v>
      </c>
      <c r="AC49">
        <v>4</v>
      </c>
      <c r="AD49">
        <v>34</v>
      </c>
      <c r="AE49">
        <v>-0.216</v>
      </c>
      <c r="AF49">
        <v>-0.29399999999999998</v>
      </c>
      <c r="AG49">
        <v>7.8E-2</v>
      </c>
      <c r="AH49">
        <v>-5.0999999999999997E-2</v>
      </c>
      <c r="AI49">
        <v>0.64800000000000002</v>
      </c>
      <c r="AJ49">
        <v>9.0090000000000003</v>
      </c>
      <c r="AK49">
        <v>0.96499999999999997</v>
      </c>
      <c r="AL49">
        <v>6.1130000000000004</v>
      </c>
      <c r="AM49">
        <v>0.107</v>
      </c>
      <c r="AN49">
        <v>9.06</v>
      </c>
      <c r="AO49">
        <v>8.5269999999999992</v>
      </c>
      <c r="AP49">
        <v>4.0000000000000001E-3</v>
      </c>
      <c r="AQ49">
        <v>5.7279999999999998</v>
      </c>
      <c r="AR49">
        <v>0.1</v>
      </c>
      <c r="AS49">
        <v>1</v>
      </c>
      <c r="AT49">
        <v>0</v>
      </c>
      <c r="AU49">
        <v>64</v>
      </c>
    </row>
    <row r="50" spans="2:47" x14ac:dyDescent="0.25">
      <c r="B50" s="9">
        <v>37</v>
      </c>
      <c r="C50" s="35">
        <v>1500</v>
      </c>
      <c r="D50" s="3"/>
      <c r="E50" s="9">
        <f t="shared" si="0"/>
        <v>581</v>
      </c>
      <c r="F50" s="54">
        <f t="shared" si="9"/>
        <v>1818</v>
      </c>
      <c r="G50" s="73">
        <f t="shared" si="1"/>
        <v>1.645</v>
      </c>
      <c r="H50" s="56">
        <f t="shared" si="2"/>
        <v>0.88200000000000001</v>
      </c>
      <c r="I50" s="57">
        <f t="shared" si="3"/>
        <v>2824</v>
      </c>
      <c r="J50" s="58">
        <f t="shared" si="4"/>
        <v>5.8</v>
      </c>
      <c r="L50" s="31">
        <f t="shared" si="5"/>
        <v>7.6999999999999999E-2</v>
      </c>
      <c r="M50" s="32">
        <f t="shared" si="10"/>
        <v>0.28249999999999997</v>
      </c>
      <c r="N50" s="32">
        <f t="shared" si="6"/>
        <v>0.64800000000000002</v>
      </c>
      <c r="O50" s="32">
        <f t="shared" si="7"/>
        <v>-0.05</v>
      </c>
      <c r="P50" s="32">
        <f t="shared" si="11"/>
        <v>8.9939999999999998</v>
      </c>
      <c r="Q50" s="33">
        <f t="shared" si="11"/>
        <v>0.91100000000000003</v>
      </c>
      <c r="AB50">
        <v>1</v>
      </c>
      <c r="AC50">
        <v>4</v>
      </c>
      <c r="AD50">
        <v>35</v>
      </c>
      <c r="AE50">
        <v>-0.22600000000000001</v>
      </c>
      <c r="AF50">
        <v>-0.30299999999999999</v>
      </c>
      <c r="AG50">
        <v>7.6999999999999999E-2</v>
      </c>
      <c r="AH50">
        <v>-5.0999999999999997E-2</v>
      </c>
      <c r="AI50">
        <v>0.64800000000000002</v>
      </c>
      <c r="AJ50">
        <v>8.984</v>
      </c>
      <c r="AK50">
        <v>0.89100000000000001</v>
      </c>
      <c r="AL50">
        <v>5.6639999999999997</v>
      </c>
      <c r="AM50">
        <v>9.9000000000000005E-2</v>
      </c>
      <c r="AN50">
        <v>9.0280000000000005</v>
      </c>
      <c r="AO50">
        <v>8.6630000000000003</v>
      </c>
      <c r="AP50">
        <v>4.0000000000000001E-3</v>
      </c>
      <c r="AQ50">
        <v>5.37</v>
      </c>
      <c r="AR50">
        <v>9.4E-2</v>
      </c>
      <c r="AS50">
        <v>1</v>
      </c>
      <c r="AT50">
        <v>0</v>
      </c>
      <c r="AU50">
        <v>64</v>
      </c>
    </row>
    <row r="51" spans="2:47" x14ac:dyDescent="0.25">
      <c r="B51" s="9">
        <v>38</v>
      </c>
      <c r="C51" s="35">
        <v>1600</v>
      </c>
      <c r="D51" s="3"/>
      <c r="E51" s="9">
        <f t="shared" si="0"/>
        <v>581</v>
      </c>
      <c r="F51" s="54">
        <f t="shared" si="9"/>
        <v>1894</v>
      </c>
      <c r="G51" s="73">
        <f t="shared" si="1"/>
        <v>1.645</v>
      </c>
      <c r="H51" s="56">
        <f t="shared" si="2"/>
        <v>0.88400000000000001</v>
      </c>
      <c r="I51" s="57">
        <f t="shared" si="3"/>
        <v>2838</v>
      </c>
      <c r="J51" s="58">
        <f t="shared" si="4"/>
        <v>6</v>
      </c>
      <c r="L51" s="31">
        <f t="shared" si="5"/>
        <v>7.6999999999999999E-2</v>
      </c>
      <c r="M51" s="32">
        <f t="shared" si="10"/>
        <v>0.29249999999999998</v>
      </c>
      <c r="N51" s="32">
        <f t="shared" si="6"/>
        <v>0.64600000000000002</v>
      </c>
      <c r="O51" s="32">
        <f t="shared" si="7"/>
        <v>-5.1999999999999998E-2</v>
      </c>
      <c r="P51" s="32">
        <f t="shared" si="11"/>
        <v>9.0340000000000007</v>
      </c>
      <c r="Q51" s="33">
        <f t="shared" si="11"/>
        <v>0.95199999999999996</v>
      </c>
      <c r="AB51">
        <v>1</v>
      </c>
      <c r="AC51">
        <v>4</v>
      </c>
      <c r="AD51">
        <v>36</v>
      </c>
      <c r="AE51">
        <v>-0.23499999999999999</v>
      </c>
      <c r="AF51">
        <v>-0.312</v>
      </c>
      <c r="AG51">
        <v>7.6999999999999999E-2</v>
      </c>
      <c r="AH51">
        <v>-5.0999999999999997E-2</v>
      </c>
      <c r="AI51">
        <v>0.64700000000000002</v>
      </c>
      <c r="AJ51">
        <v>9.0020000000000007</v>
      </c>
      <c r="AK51">
        <v>0.96</v>
      </c>
      <c r="AL51">
        <v>6.0830000000000002</v>
      </c>
      <c r="AM51">
        <v>0.107</v>
      </c>
      <c r="AN51">
        <v>9.0530000000000008</v>
      </c>
      <c r="AO51">
        <v>8.609</v>
      </c>
      <c r="AP51">
        <v>4.0000000000000001E-3</v>
      </c>
      <c r="AQ51">
        <v>5.7060000000000004</v>
      </c>
      <c r="AR51">
        <v>0.1</v>
      </c>
      <c r="AS51">
        <v>1</v>
      </c>
      <c r="AT51">
        <v>0</v>
      </c>
      <c r="AU51">
        <v>64</v>
      </c>
    </row>
    <row r="52" spans="2:47" x14ac:dyDescent="0.25">
      <c r="B52" s="9">
        <v>39</v>
      </c>
      <c r="C52" s="35">
        <v>1700</v>
      </c>
      <c r="D52" s="3"/>
      <c r="E52" s="9">
        <f t="shared" si="0"/>
        <v>596</v>
      </c>
      <c r="F52" s="54">
        <f t="shared" si="9"/>
        <v>1954</v>
      </c>
      <c r="G52" s="73">
        <f t="shared" si="1"/>
        <v>1.645</v>
      </c>
      <c r="H52" s="56">
        <f t="shared" si="2"/>
        <v>0.88200000000000001</v>
      </c>
      <c r="I52" s="57">
        <f t="shared" si="3"/>
        <v>2813</v>
      </c>
      <c r="J52" s="58">
        <f t="shared" si="4"/>
        <v>6.1</v>
      </c>
      <c r="L52" s="31">
        <f t="shared" si="5"/>
        <v>7.9000000000000001E-2</v>
      </c>
      <c r="M52" s="32">
        <f t="shared" si="10"/>
        <v>0.30049999999999999</v>
      </c>
      <c r="N52" s="32">
        <f t="shared" si="6"/>
        <v>0.64800000000000002</v>
      </c>
      <c r="O52" s="32">
        <f t="shared" si="7"/>
        <v>-0.05</v>
      </c>
      <c r="P52" s="32">
        <f t="shared" si="11"/>
        <v>8.9529999999999994</v>
      </c>
      <c r="Q52" s="33">
        <f t="shared" si="11"/>
        <v>0.95299999999999996</v>
      </c>
      <c r="AB52">
        <v>1</v>
      </c>
      <c r="AC52">
        <v>4</v>
      </c>
      <c r="AD52">
        <v>37</v>
      </c>
      <c r="AE52">
        <v>-0.24399999999999999</v>
      </c>
      <c r="AF52">
        <v>-0.32200000000000001</v>
      </c>
      <c r="AG52">
        <v>7.6999999999999999E-2</v>
      </c>
      <c r="AH52">
        <v>-0.05</v>
      </c>
      <c r="AI52">
        <v>0.64800000000000002</v>
      </c>
      <c r="AJ52">
        <v>8.9939999999999998</v>
      </c>
      <c r="AK52">
        <v>0.91100000000000003</v>
      </c>
      <c r="AL52">
        <v>5.7859999999999996</v>
      </c>
      <c r="AM52">
        <v>0.10100000000000001</v>
      </c>
      <c r="AN52">
        <v>9.0399999999999991</v>
      </c>
      <c r="AO52">
        <v>8.5630000000000006</v>
      </c>
      <c r="AP52">
        <v>4.0000000000000001E-3</v>
      </c>
      <c r="AQ52">
        <v>5.4370000000000003</v>
      </c>
      <c r="AR52">
        <v>9.5000000000000001E-2</v>
      </c>
      <c r="AS52">
        <v>1</v>
      </c>
      <c r="AT52">
        <v>0</v>
      </c>
      <c r="AU52">
        <v>64</v>
      </c>
    </row>
    <row r="53" spans="2:47" x14ac:dyDescent="0.25">
      <c r="B53" s="9">
        <v>40</v>
      </c>
      <c r="C53" s="35">
        <v>1800</v>
      </c>
      <c r="D53" s="3"/>
      <c r="E53" s="9">
        <f t="shared" si="0"/>
        <v>596</v>
      </c>
      <c r="F53" s="54">
        <f t="shared" si="9"/>
        <v>2022</v>
      </c>
      <c r="G53" s="73">
        <f t="shared" si="1"/>
        <v>1.6479999999999999</v>
      </c>
      <c r="H53" s="56">
        <f t="shared" si="2"/>
        <v>0.88500000000000001</v>
      </c>
      <c r="I53" s="57">
        <f t="shared" si="3"/>
        <v>2829</v>
      </c>
      <c r="J53" s="58">
        <f t="shared" si="4"/>
        <v>5.8</v>
      </c>
      <c r="L53" s="31">
        <f t="shared" si="5"/>
        <v>7.9000000000000001E-2</v>
      </c>
      <c r="M53" s="32">
        <f t="shared" si="10"/>
        <v>0.3095</v>
      </c>
      <c r="N53" s="32">
        <f t="shared" si="6"/>
        <v>0.64700000000000002</v>
      </c>
      <c r="O53" s="32">
        <f t="shared" si="7"/>
        <v>-5.1999999999999998E-2</v>
      </c>
      <c r="P53" s="32">
        <f t="shared" si="11"/>
        <v>9.01</v>
      </c>
      <c r="Q53" s="33">
        <f t="shared" si="11"/>
        <v>0.90900000000000003</v>
      </c>
      <c r="AB53">
        <v>1</v>
      </c>
      <c r="AC53">
        <v>4</v>
      </c>
      <c r="AD53">
        <v>38</v>
      </c>
      <c r="AE53">
        <v>-0.254</v>
      </c>
      <c r="AF53">
        <v>-0.33100000000000002</v>
      </c>
      <c r="AG53">
        <v>7.6999999999999999E-2</v>
      </c>
      <c r="AH53">
        <v>-5.1999999999999998E-2</v>
      </c>
      <c r="AI53">
        <v>0.64600000000000002</v>
      </c>
      <c r="AJ53">
        <v>9.0340000000000007</v>
      </c>
      <c r="AK53">
        <v>0.95199999999999996</v>
      </c>
      <c r="AL53">
        <v>6.0140000000000002</v>
      </c>
      <c r="AM53">
        <v>0.105</v>
      </c>
      <c r="AN53">
        <v>9.0839999999999996</v>
      </c>
      <c r="AO53">
        <v>8.57</v>
      </c>
      <c r="AP53">
        <v>4.0000000000000001E-3</v>
      </c>
      <c r="AQ53">
        <v>5.6369999999999996</v>
      </c>
      <c r="AR53">
        <v>9.9000000000000005E-2</v>
      </c>
      <c r="AS53">
        <v>1</v>
      </c>
      <c r="AT53">
        <v>0</v>
      </c>
      <c r="AU53">
        <v>64</v>
      </c>
    </row>
    <row r="54" spans="2:47" x14ac:dyDescent="0.25">
      <c r="B54" s="9">
        <v>41</v>
      </c>
      <c r="C54" s="35">
        <v>1900</v>
      </c>
      <c r="D54" s="3"/>
      <c r="E54" s="9">
        <f t="shared" si="0"/>
        <v>581</v>
      </c>
      <c r="F54" s="54">
        <f t="shared" si="9"/>
        <v>2075</v>
      </c>
      <c r="G54" s="73">
        <f t="shared" si="1"/>
        <v>1.6479999999999999</v>
      </c>
      <c r="H54" s="56">
        <f t="shared" si="2"/>
        <v>0.88400000000000001</v>
      </c>
      <c r="I54" s="57">
        <f t="shared" si="3"/>
        <v>2827</v>
      </c>
      <c r="J54" s="58">
        <f t="shared" si="4"/>
        <v>5.8</v>
      </c>
      <c r="L54" s="31">
        <f t="shared" si="5"/>
        <v>7.6999999999999999E-2</v>
      </c>
      <c r="M54" s="32">
        <f t="shared" si="10"/>
        <v>0.3165</v>
      </c>
      <c r="N54" s="32">
        <f t="shared" si="6"/>
        <v>0.64800000000000002</v>
      </c>
      <c r="O54" s="32">
        <f t="shared" si="7"/>
        <v>-5.0999999999999997E-2</v>
      </c>
      <c r="P54" s="32">
        <f t="shared" si="11"/>
        <v>9.0030000000000001</v>
      </c>
      <c r="Q54" s="33">
        <f t="shared" si="11"/>
        <v>0.91100000000000003</v>
      </c>
      <c r="AB54">
        <v>1</v>
      </c>
      <c r="AC54">
        <v>4</v>
      </c>
      <c r="AD54">
        <v>39</v>
      </c>
      <c r="AE54">
        <v>-0.26100000000000001</v>
      </c>
      <c r="AF54">
        <v>-0.34</v>
      </c>
      <c r="AG54">
        <v>7.9000000000000001E-2</v>
      </c>
      <c r="AH54">
        <v>-0.05</v>
      </c>
      <c r="AI54">
        <v>0.64800000000000002</v>
      </c>
      <c r="AJ54">
        <v>8.9529999999999994</v>
      </c>
      <c r="AK54">
        <v>0.95299999999999996</v>
      </c>
      <c r="AL54">
        <v>6.077</v>
      </c>
      <c r="AM54">
        <v>0.106</v>
      </c>
      <c r="AN54">
        <v>9.0039999999999996</v>
      </c>
      <c r="AO54">
        <v>8.5310000000000006</v>
      </c>
      <c r="AP54">
        <v>4.0000000000000001E-3</v>
      </c>
      <c r="AQ54">
        <v>5.7050000000000001</v>
      </c>
      <c r="AR54">
        <v>0.1</v>
      </c>
      <c r="AS54">
        <v>1</v>
      </c>
      <c r="AT54">
        <v>0</v>
      </c>
      <c r="AU54">
        <v>64</v>
      </c>
    </row>
    <row r="55" spans="2:47" x14ac:dyDescent="0.25">
      <c r="B55" s="9">
        <v>42</v>
      </c>
      <c r="C55" s="35">
        <v>2000</v>
      </c>
      <c r="D55" s="3"/>
      <c r="E55" s="9">
        <f t="shared" si="0"/>
        <v>573</v>
      </c>
      <c r="F55" s="54">
        <f t="shared" si="9"/>
        <v>2139</v>
      </c>
      <c r="G55" s="73">
        <f t="shared" si="1"/>
        <v>1.6479999999999999</v>
      </c>
      <c r="H55" s="56">
        <f t="shared" si="2"/>
        <v>0.88300000000000001</v>
      </c>
      <c r="I55" s="57">
        <f t="shared" si="3"/>
        <v>2842</v>
      </c>
      <c r="J55" s="58">
        <f t="shared" si="4"/>
        <v>6.1</v>
      </c>
      <c r="L55" s="31">
        <f t="shared" si="5"/>
        <v>7.5999999999999998E-2</v>
      </c>
      <c r="M55" s="32">
        <f t="shared" si="10"/>
        <v>0.32499999999999996</v>
      </c>
      <c r="N55" s="32">
        <f t="shared" si="6"/>
        <v>0.64900000000000002</v>
      </c>
      <c r="O55" s="32">
        <f t="shared" si="7"/>
        <v>-0.05</v>
      </c>
      <c r="P55" s="32">
        <f t="shared" si="11"/>
        <v>9.0440000000000005</v>
      </c>
      <c r="Q55" s="33">
        <f t="shared" si="11"/>
        <v>0.97</v>
      </c>
      <c r="AB55">
        <v>1</v>
      </c>
      <c r="AC55">
        <v>4</v>
      </c>
      <c r="AD55">
        <v>40</v>
      </c>
      <c r="AE55">
        <v>-0.27</v>
      </c>
      <c r="AF55">
        <v>-0.34799999999999998</v>
      </c>
      <c r="AG55">
        <v>7.9000000000000001E-2</v>
      </c>
      <c r="AH55">
        <v>-5.1999999999999998E-2</v>
      </c>
      <c r="AI55">
        <v>0.64700000000000002</v>
      </c>
      <c r="AJ55">
        <v>9.01</v>
      </c>
      <c r="AK55">
        <v>0.90900000000000003</v>
      </c>
      <c r="AL55">
        <v>5.7590000000000003</v>
      </c>
      <c r="AM55">
        <v>0.10100000000000001</v>
      </c>
      <c r="AN55">
        <v>9.0559999999999992</v>
      </c>
      <c r="AO55">
        <v>8.6050000000000004</v>
      </c>
      <c r="AP55">
        <v>4.0000000000000001E-3</v>
      </c>
      <c r="AQ55">
        <v>5.4080000000000004</v>
      </c>
      <c r="AR55">
        <v>9.5000000000000001E-2</v>
      </c>
      <c r="AS55">
        <v>1</v>
      </c>
      <c r="AT55">
        <v>0</v>
      </c>
      <c r="AU55">
        <v>64</v>
      </c>
    </row>
    <row r="56" spans="2:47" x14ac:dyDescent="0.25">
      <c r="B56" s="9">
        <v>43</v>
      </c>
      <c r="C56" s="35">
        <v>2500</v>
      </c>
      <c r="D56" s="3"/>
      <c r="E56" s="9">
        <f t="shared" si="0"/>
        <v>589</v>
      </c>
      <c r="F56" s="54">
        <f t="shared" si="9"/>
        <v>2441</v>
      </c>
      <c r="G56" s="73">
        <f t="shared" si="1"/>
        <v>1.645</v>
      </c>
      <c r="H56" s="56">
        <f t="shared" si="2"/>
        <v>0.88300000000000001</v>
      </c>
      <c r="I56" s="57">
        <f t="shared" si="3"/>
        <v>2831</v>
      </c>
      <c r="J56" s="58">
        <f t="shared" si="4"/>
        <v>6.2</v>
      </c>
      <c r="L56" s="31">
        <f t="shared" si="5"/>
        <v>7.8E-2</v>
      </c>
      <c r="M56" s="32">
        <f t="shared" si="10"/>
        <v>0.36499999999999999</v>
      </c>
      <c r="N56" s="32">
        <f t="shared" si="6"/>
        <v>0.64700000000000002</v>
      </c>
      <c r="O56" s="32">
        <f t="shared" si="7"/>
        <v>-5.0999999999999997E-2</v>
      </c>
      <c r="P56" s="32">
        <f t="shared" si="11"/>
        <v>9.0069999999999997</v>
      </c>
      <c r="Q56" s="33">
        <f t="shared" si="11"/>
        <v>0.97499999999999998</v>
      </c>
      <c r="AB56">
        <v>1</v>
      </c>
      <c r="AC56">
        <v>4</v>
      </c>
      <c r="AD56">
        <v>41</v>
      </c>
      <c r="AE56">
        <v>-0.27800000000000002</v>
      </c>
      <c r="AF56">
        <v>-0.35599999999999998</v>
      </c>
      <c r="AG56">
        <v>7.6999999999999999E-2</v>
      </c>
      <c r="AH56">
        <v>-5.0999999999999997E-2</v>
      </c>
      <c r="AI56">
        <v>0.64800000000000002</v>
      </c>
      <c r="AJ56">
        <v>9.0030000000000001</v>
      </c>
      <c r="AK56">
        <v>0.91100000000000003</v>
      </c>
      <c r="AL56">
        <v>5.7729999999999997</v>
      </c>
      <c r="AM56">
        <v>0.10100000000000001</v>
      </c>
      <c r="AN56">
        <v>9.0500000000000007</v>
      </c>
      <c r="AO56">
        <v>8.6679999999999993</v>
      </c>
      <c r="AP56">
        <v>4.0000000000000001E-3</v>
      </c>
      <c r="AQ56">
        <v>5.4720000000000004</v>
      </c>
      <c r="AR56">
        <v>9.6000000000000002E-2</v>
      </c>
      <c r="AS56">
        <v>1</v>
      </c>
      <c r="AT56">
        <v>0</v>
      </c>
      <c r="AU56">
        <v>64</v>
      </c>
    </row>
    <row r="57" spans="2:47" x14ac:dyDescent="0.25">
      <c r="B57" s="9">
        <v>44</v>
      </c>
      <c r="C57" s="35">
        <v>3000</v>
      </c>
      <c r="D57" s="3"/>
      <c r="E57" s="9">
        <f t="shared" si="0"/>
        <v>581</v>
      </c>
      <c r="F57" s="54">
        <f t="shared" si="9"/>
        <v>2694</v>
      </c>
      <c r="G57" s="73">
        <f t="shared" si="1"/>
        <v>1.643</v>
      </c>
      <c r="H57" s="56">
        <f t="shared" si="2"/>
        <v>0.88200000000000001</v>
      </c>
      <c r="I57" s="57">
        <f t="shared" si="3"/>
        <v>2822</v>
      </c>
      <c r="J57" s="58">
        <f t="shared" si="4"/>
        <v>5.5</v>
      </c>
      <c r="L57" s="31">
        <f t="shared" si="5"/>
        <v>7.6999999999999999E-2</v>
      </c>
      <c r="M57" s="32">
        <f t="shared" si="10"/>
        <v>0.39849999999999997</v>
      </c>
      <c r="N57" s="32">
        <f t="shared" si="6"/>
        <v>0.64600000000000002</v>
      </c>
      <c r="O57" s="32">
        <f t="shared" si="7"/>
        <v>-5.0999999999999997E-2</v>
      </c>
      <c r="P57" s="32">
        <f t="shared" si="11"/>
        <v>8.99</v>
      </c>
      <c r="Q57" s="33">
        <f t="shared" si="11"/>
        <v>0.87</v>
      </c>
      <c r="AB57">
        <v>1</v>
      </c>
      <c r="AC57">
        <v>4</v>
      </c>
      <c r="AD57">
        <v>42</v>
      </c>
      <c r="AE57">
        <v>-0.28699999999999998</v>
      </c>
      <c r="AF57">
        <v>-0.36299999999999999</v>
      </c>
      <c r="AG57">
        <v>7.5999999999999998E-2</v>
      </c>
      <c r="AH57">
        <v>-0.05</v>
      </c>
      <c r="AI57">
        <v>0.64900000000000002</v>
      </c>
      <c r="AJ57">
        <v>9.0440000000000005</v>
      </c>
      <c r="AK57">
        <v>0.97</v>
      </c>
      <c r="AL57">
        <v>6.1210000000000004</v>
      </c>
      <c r="AM57">
        <v>0.107</v>
      </c>
      <c r="AN57">
        <v>9.0969999999999995</v>
      </c>
      <c r="AO57">
        <v>8.7089999999999996</v>
      </c>
      <c r="AP57">
        <v>4.0000000000000001E-3</v>
      </c>
      <c r="AQ57">
        <v>5.7720000000000002</v>
      </c>
      <c r="AR57">
        <v>0.10100000000000001</v>
      </c>
      <c r="AS57">
        <v>1</v>
      </c>
      <c r="AT57">
        <v>0</v>
      </c>
      <c r="AU57">
        <v>64</v>
      </c>
    </row>
    <row r="58" spans="2:47" x14ac:dyDescent="0.25">
      <c r="B58" s="9">
        <v>45</v>
      </c>
      <c r="C58" s="35">
        <v>3500</v>
      </c>
      <c r="D58" s="3"/>
      <c r="E58" s="9">
        <f t="shared" si="0"/>
        <v>596</v>
      </c>
      <c r="F58" s="54">
        <f t="shared" si="9"/>
        <v>2943</v>
      </c>
      <c r="G58" s="73">
        <f t="shared" si="1"/>
        <v>1.645</v>
      </c>
      <c r="H58" s="56">
        <f t="shared" si="2"/>
        <v>0.88300000000000001</v>
      </c>
      <c r="I58" s="57">
        <f t="shared" si="3"/>
        <v>2786</v>
      </c>
      <c r="J58" s="58">
        <f t="shared" si="4"/>
        <v>6.3</v>
      </c>
      <c r="L58" s="31">
        <f t="shared" si="5"/>
        <v>7.9000000000000001E-2</v>
      </c>
      <c r="M58" s="32">
        <f t="shared" si="10"/>
        <v>0.43149999999999999</v>
      </c>
      <c r="N58" s="32">
        <f t="shared" si="6"/>
        <v>0.64700000000000002</v>
      </c>
      <c r="O58" s="32">
        <f t="shared" si="7"/>
        <v>-5.0999999999999997E-2</v>
      </c>
      <c r="P58" s="32">
        <f t="shared" si="11"/>
        <v>8.8620000000000001</v>
      </c>
      <c r="Q58" s="33">
        <f t="shared" si="11"/>
        <v>0.98599999999999999</v>
      </c>
      <c r="AB58">
        <v>1</v>
      </c>
      <c r="AC58">
        <v>4</v>
      </c>
      <c r="AD58">
        <v>43</v>
      </c>
      <c r="AE58">
        <v>-0.32600000000000001</v>
      </c>
      <c r="AF58">
        <v>-0.40400000000000003</v>
      </c>
      <c r="AG58">
        <v>7.8E-2</v>
      </c>
      <c r="AH58">
        <v>-5.0999999999999997E-2</v>
      </c>
      <c r="AI58">
        <v>0.64700000000000002</v>
      </c>
      <c r="AJ58">
        <v>9.0069999999999997</v>
      </c>
      <c r="AK58">
        <v>0.97499999999999998</v>
      </c>
      <c r="AL58">
        <v>6.181</v>
      </c>
      <c r="AM58">
        <v>0.108</v>
      </c>
      <c r="AN58">
        <v>9.06</v>
      </c>
      <c r="AO58">
        <v>8.6020000000000003</v>
      </c>
      <c r="AP58">
        <v>4.0000000000000001E-3</v>
      </c>
      <c r="AQ58">
        <v>5.8280000000000003</v>
      </c>
      <c r="AR58">
        <v>0.10199999999999999</v>
      </c>
      <c r="AS58">
        <v>1</v>
      </c>
      <c r="AT58">
        <v>0</v>
      </c>
      <c r="AU58">
        <v>64</v>
      </c>
    </row>
    <row r="59" spans="2:47" x14ac:dyDescent="0.25">
      <c r="B59" s="9">
        <v>46</v>
      </c>
      <c r="C59" s="35">
        <v>4000</v>
      </c>
      <c r="D59" s="3"/>
      <c r="E59" s="9">
        <f t="shared" si="0"/>
        <v>589</v>
      </c>
      <c r="F59" s="54">
        <f t="shared" si="9"/>
        <v>3173</v>
      </c>
      <c r="G59" s="73">
        <f t="shared" si="1"/>
        <v>1.65</v>
      </c>
      <c r="H59" s="56">
        <f t="shared" si="2"/>
        <v>0.88600000000000001</v>
      </c>
      <c r="I59" s="57">
        <f t="shared" si="3"/>
        <v>2796</v>
      </c>
      <c r="J59" s="58">
        <f t="shared" si="4"/>
        <v>6.3</v>
      </c>
      <c r="L59" s="31">
        <f t="shared" si="5"/>
        <v>7.8E-2</v>
      </c>
      <c r="M59" s="32">
        <f t="shared" si="10"/>
        <v>0.46199999999999997</v>
      </c>
      <c r="N59" s="32">
        <f t="shared" si="6"/>
        <v>0.64800000000000002</v>
      </c>
      <c r="O59" s="32">
        <f t="shared" si="7"/>
        <v>-5.1999999999999998E-2</v>
      </c>
      <c r="P59" s="32">
        <f t="shared" si="11"/>
        <v>8.8960000000000008</v>
      </c>
      <c r="Q59" s="33">
        <f t="shared" si="11"/>
        <v>0.97499999999999998</v>
      </c>
      <c r="AB59">
        <v>1</v>
      </c>
      <c r="AC59">
        <v>4</v>
      </c>
      <c r="AD59">
        <v>44</v>
      </c>
      <c r="AE59">
        <v>-0.36</v>
      </c>
      <c r="AF59">
        <v>-0.437</v>
      </c>
      <c r="AG59">
        <v>7.6999999999999999E-2</v>
      </c>
      <c r="AH59">
        <v>-5.0999999999999997E-2</v>
      </c>
      <c r="AI59">
        <v>0.64600000000000002</v>
      </c>
      <c r="AJ59">
        <v>8.99</v>
      </c>
      <c r="AK59">
        <v>0.87</v>
      </c>
      <c r="AL59">
        <v>5.5250000000000004</v>
      </c>
      <c r="AM59">
        <v>9.7000000000000003E-2</v>
      </c>
      <c r="AN59">
        <v>9.032</v>
      </c>
      <c r="AO59">
        <v>8.5760000000000005</v>
      </c>
      <c r="AP59">
        <v>3.0000000000000001E-3</v>
      </c>
      <c r="AQ59">
        <v>5.202</v>
      </c>
      <c r="AR59">
        <v>9.0999999999999998E-2</v>
      </c>
      <c r="AS59">
        <v>1</v>
      </c>
      <c r="AT59">
        <v>0</v>
      </c>
      <c r="AU59">
        <v>64</v>
      </c>
    </row>
    <row r="60" spans="2:47" x14ac:dyDescent="0.25">
      <c r="B60" s="9">
        <v>47</v>
      </c>
      <c r="C60" s="35">
        <v>4500</v>
      </c>
      <c r="D60" s="3"/>
      <c r="E60" s="9">
        <f t="shared" si="0"/>
        <v>589</v>
      </c>
      <c r="F60" s="54">
        <f t="shared" si="9"/>
        <v>3407</v>
      </c>
      <c r="G60" s="73">
        <f t="shared" si="1"/>
        <v>1.65</v>
      </c>
      <c r="H60" s="56">
        <f t="shared" si="2"/>
        <v>0.88600000000000001</v>
      </c>
      <c r="I60" s="57">
        <f t="shared" si="3"/>
        <v>2794</v>
      </c>
      <c r="J60" s="58">
        <f t="shared" si="4"/>
        <v>6.3</v>
      </c>
      <c r="L60" s="31">
        <f t="shared" si="5"/>
        <v>7.8E-2</v>
      </c>
      <c r="M60" s="32">
        <f t="shared" si="10"/>
        <v>0.49299999999999999</v>
      </c>
      <c r="N60" s="32">
        <f t="shared" si="6"/>
        <v>0.64800000000000002</v>
      </c>
      <c r="O60" s="32">
        <f t="shared" si="7"/>
        <v>-5.1999999999999998E-2</v>
      </c>
      <c r="P60" s="32">
        <f t="shared" si="11"/>
        <v>8.8889999999999993</v>
      </c>
      <c r="Q60" s="33">
        <f t="shared" si="11"/>
        <v>0.97399999999999998</v>
      </c>
      <c r="AB60">
        <v>1</v>
      </c>
      <c r="AC60">
        <v>4</v>
      </c>
      <c r="AD60">
        <v>45</v>
      </c>
      <c r="AE60">
        <v>-0.39200000000000002</v>
      </c>
      <c r="AF60">
        <v>-0.47</v>
      </c>
      <c r="AG60">
        <v>7.9000000000000001E-2</v>
      </c>
      <c r="AH60">
        <v>-5.0999999999999997E-2</v>
      </c>
      <c r="AI60">
        <v>0.64700000000000002</v>
      </c>
      <c r="AJ60">
        <v>8.8620000000000001</v>
      </c>
      <c r="AK60">
        <v>0.98599999999999999</v>
      </c>
      <c r="AL60">
        <v>6.35</v>
      </c>
      <c r="AM60">
        <v>0.111</v>
      </c>
      <c r="AN60">
        <v>8.9169999999999998</v>
      </c>
      <c r="AO60">
        <v>8.4960000000000004</v>
      </c>
      <c r="AP60">
        <v>4.0000000000000001E-3</v>
      </c>
      <c r="AQ60">
        <v>5.9909999999999997</v>
      </c>
      <c r="AR60">
        <v>0.105</v>
      </c>
      <c r="AS60">
        <v>1</v>
      </c>
      <c r="AT60">
        <v>0</v>
      </c>
      <c r="AU60">
        <v>64</v>
      </c>
    </row>
    <row r="61" spans="2:47" x14ac:dyDescent="0.25">
      <c r="B61" s="9">
        <v>48</v>
      </c>
      <c r="C61" s="35">
        <v>5000</v>
      </c>
      <c r="D61" s="3"/>
      <c r="E61" s="9">
        <f t="shared" si="0"/>
        <v>611</v>
      </c>
      <c r="F61" s="54">
        <f t="shared" si="9"/>
        <v>3614</v>
      </c>
      <c r="G61" s="73">
        <f t="shared" si="1"/>
        <v>1.645</v>
      </c>
      <c r="H61" s="56">
        <f t="shared" si="2"/>
        <v>0.88300000000000001</v>
      </c>
      <c r="I61" s="57">
        <f t="shared" si="3"/>
        <v>2781</v>
      </c>
      <c r="J61" s="58">
        <f t="shared" si="4"/>
        <v>6.1</v>
      </c>
      <c r="L61" s="31">
        <f t="shared" si="5"/>
        <v>8.1000000000000003E-2</v>
      </c>
      <c r="M61" s="32">
        <f t="shared" si="10"/>
        <v>0.52049999999999996</v>
      </c>
      <c r="N61" s="32">
        <f t="shared" si="6"/>
        <v>0.64700000000000002</v>
      </c>
      <c r="O61" s="32">
        <f t="shared" si="7"/>
        <v>-5.0999999999999997E-2</v>
      </c>
      <c r="P61" s="32">
        <f t="shared" si="11"/>
        <v>8.85</v>
      </c>
      <c r="Q61" s="33">
        <f t="shared" si="11"/>
        <v>0.95199999999999996</v>
      </c>
      <c r="AB61">
        <v>1</v>
      </c>
      <c r="AC61">
        <v>4</v>
      </c>
      <c r="AD61">
        <v>46</v>
      </c>
      <c r="AE61">
        <v>-0.42299999999999999</v>
      </c>
      <c r="AF61">
        <v>-0.502</v>
      </c>
      <c r="AG61">
        <v>7.8E-2</v>
      </c>
      <c r="AH61">
        <v>-5.1999999999999998E-2</v>
      </c>
      <c r="AI61">
        <v>0.64800000000000002</v>
      </c>
      <c r="AJ61">
        <v>8.8960000000000008</v>
      </c>
      <c r="AK61">
        <v>0.97499999999999998</v>
      </c>
      <c r="AL61">
        <v>6.2510000000000003</v>
      </c>
      <c r="AM61">
        <v>0.11</v>
      </c>
      <c r="AN61">
        <v>8.9499999999999993</v>
      </c>
      <c r="AO61">
        <v>8.4849999999999994</v>
      </c>
      <c r="AP61">
        <v>4.0000000000000001E-3</v>
      </c>
      <c r="AQ61">
        <v>5.8630000000000004</v>
      </c>
      <c r="AR61">
        <v>0.10299999999999999</v>
      </c>
      <c r="AS61">
        <v>1</v>
      </c>
      <c r="AT61">
        <v>0</v>
      </c>
      <c r="AU61">
        <v>64</v>
      </c>
    </row>
    <row r="62" spans="2:47" x14ac:dyDescent="0.25">
      <c r="B62" s="9">
        <v>49</v>
      </c>
      <c r="C62" s="35">
        <v>5500</v>
      </c>
      <c r="D62" s="3"/>
      <c r="E62" s="9">
        <f t="shared" si="0"/>
        <v>573</v>
      </c>
      <c r="F62" s="54">
        <f t="shared" si="9"/>
        <v>3829</v>
      </c>
      <c r="G62" s="73">
        <f t="shared" si="1"/>
        <v>1.6479999999999999</v>
      </c>
      <c r="H62" s="56">
        <f t="shared" si="2"/>
        <v>0.88400000000000001</v>
      </c>
      <c r="I62" s="57">
        <f t="shared" si="3"/>
        <v>2764</v>
      </c>
      <c r="J62" s="58">
        <f t="shared" si="4"/>
        <v>6</v>
      </c>
      <c r="L62" s="31">
        <f t="shared" si="5"/>
        <v>7.5999999999999998E-2</v>
      </c>
      <c r="M62" s="32">
        <f t="shared" si="10"/>
        <v>0.54900000000000004</v>
      </c>
      <c r="N62" s="32">
        <f t="shared" si="6"/>
        <v>0.64800000000000002</v>
      </c>
      <c r="O62" s="32">
        <f t="shared" si="7"/>
        <v>-5.0999999999999997E-2</v>
      </c>
      <c r="P62" s="32">
        <f t="shared" si="11"/>
        <v>8.7959999999999994</v>
      </c>
      <c r="Q62" s="33">
        <f t="shared" si="11"/>
        <v>0.93</v>
      </c>
      <c r="AB62">
        <v>1</v>
      </c>
      <c r="AC62">
        <v>4</v>
      </c>
      <c r="AD62">
        <v>47</v>
      </c>
      <c r="AE62">
        <v>-0.45400000000000001</v>
      </c>
      <c r="AF62">
        <v>-0.53200000000000003</v>
      </c>
      <c r="AG62">
        <v>7.8E-2</v>
      </c>
      <c r="AH62">
        <v>-5.1999999999999998E-2</v>
      </c>
      <c r="AI62">
        <v>0.64800000000000002</v>
      </c>
      <c r="AJ62">
        <v>8.8889999999999993</v>
      </c>
      <c r="AK62">
        <v>0.97399999999999998</v>
      </c>
      <c r="AL62">
        <v>6.2530000000000001</v>
      </c>
      <c r="AM62">
        <v>0.11</v>
      </c>
      <c r="AN62">
        <v>8.9420000000000002</v>
      </c>
      <c r="AO62">
        <v>8.4350000000000005</v>
      </c>
      <c r="AP62">
        <v>4.0000000000000001E-3</v>
      </c>
      <c r="AQ62">
        <v>5.8460000000000001</v>
      </c>
      <c r="AR62">
        <v>0.10199999999999999</v>
      </c>
      <c r="AS62">
        <v>1</v>
      </c>
      <c r="AT62">
        <v>0</v>
      </c>
      <c r="AU62">
        <v>64</v>
      </c>
    </row>
    <row r="63" spans="2:47" x14ac:dyDescent="0.25">
      <c r="B63" s="9">
        <v>50</v>
      </c>
      <c r="C63" s="35">
        <v>6000</v>
      </c>
      <c r="D63" s="3"/>
      <c r="E63" s="9">
        <f t="shared" si="0"/>
        <v>596</v>
      </c>
      <c r="F63" s="54">
        <f t="shared" si="9"/>
        <v>4037</v>
      </c>
      <c r="G63" s="73">
        <f t="shared" si="1"/>
        <v>1.6479999999999999</v>
      </c>
      <c r="H63" s="56">
        <f t="shared" si="2"/>
        <v>0.88400000000000001</v>
      </c>
      <c r="I63" s="57">
        <f t="shared" si="3"/>
        <v>2753</v>
      </c>
      <c r="J63" s="58">
        <f t="shared" si="4"/>
        <v>6</v>
      </c>
      <c r="L63" s="31">
        <f t="shared" si="5"/>
        <v>7.9000000000000001E-2</v>
      </c>
      <c r="M63" s="32">
        <f t="shared" si="10"/>
        <v>0.57650000000000001</v>
      </c>
      <c r="N63" s="32">
        <f t="shared" si="6"/>
        <v>0.64800000000000002</v>
      </c>
      <c r="O63" s="32">
        <f t="shared" si="7"/>
        <v>-5.0999999999999997E-2</v>
      </c>
      <c r="P63" s="32">
        <f t="shared" si="11"/>
        <v>8.7639999999999993</v>
      </c>
      <c r="Q63" s="33">
        <f t="shared" si="11"/>
        <v>0.91700000000000004</v>
      </c>
      <c r="AB63">
        <v>1</v>
      </c>
      <c r="AC63">
        <v>4</v>
      </c>
      <c r="AD63">
        <v>48</v>
      </c>
      <c r="AE63">
        <v>-0.48</v>
      </c>
      <c r="AF63">
        <v>-0.56100000000000005</v>
      </c>
      <c r="AG63">
        <v>8.1000000000000003E-2</v>
      </c>
      <c r="AH63">
        <v>-5.0999999999999997E-2</v>
      </c>
      <c r="AI63">
        <v>0.64700000000000002</v>
      </c>
      <c r="AJ63">
        <v>8.85</v>
      </c>
      <c r="AK63">
        <v>0.95199999999999996</v>
      </c>
      <c r="AL63">
        <v>6.1379999999999999</v>
      </c>
      <c r="AM63">
        <v>0.108</v>
      </c>
      <c r="AN63">
        <v>8.9009999999999998</v>
      </c>
      <c r="AO63">
        <v>8.2739999999999991</v>
      </c>
      <c r="AP63">
        <v>4.0000000000000001E-3</v>
      </c>
      <c r="AQ63">
        <v>5.6420000000000003</v>
      </c>
      <c r="AR63">
        <v>9.9000000000000005E-2</v>
      </c>
      <c r="AS63">
        <v>1</v>
      </c>
      <c r="AT63">
        <v>0</v>
      </c>
      <c r="AU63">
        <v>64</v>
      </c>
    </row>
    <row r="64" spans="2:47" x14ac:dyDescent="0.25">
      <c r="B64" s="9">
        <v>51</v>
      </c>
      <c r="C64" s="35">
        <v>6500</v>
      </c>
      <c r="D64" s="3"/>
      <c r="E64" s="9">
        <f t="shared" si="0"/>
        <v>589</v>
      </c>
      <c r="F64" s="54">
        <f t="shared" si="9"/>
        <v>4229</v>
      </c>
      <c r="G64" s="73">
        <f t="shared" si="1"/>
        <v>1.6479999999999999</v>
      </c>
      <c r="H64" s="56">
        <f t="shared" si="2"/>
        <v>0.88400000000000001</v>
      </c>
      <c r="I64" s="57">
        <f t="shared" si="3"/>
        <v>2743</v>
      </c>
      <c r="J64" s="58">
        <f t="shared" si="4"/>
        <v>6</v>
      </c>
      <c r="L64" s="31">
        <f t="shared" si="5"/>
        <v>7.8E-2</v>
      </c>
      <c r="M64" s="32">
        <f t="shared" si="10"/>
        <v>0.60199999999999998</v>
      </c>
      <c r="N64" s="32">
        <f t="shared" si="6"/>
        <v>0.64800000000000002</v>
      </c>
      <c r="O64" s="32">
        <f t="shared" si="7"/>
        <v>-5.0999999999999997E-2</v>
      </c>
      <c r="P64" s="32">
        <f t="shared" si="11"/>
        <v>8.7309999999999999</v>
      </c>
      <c r="Q64" s="33">
        <f t="shared" si="11"/>
        <v>0.91400000000000003</v>
      </c>
      <c r="AB64">
        <v>1</v>
      </c>
      <c r="AC64">
        <v>4</v>
      </c>
      <c r="AD64">
        <v>49</v>
      </c>
      <c r="AE64">
        <v>-0.51100000000000001</v>
      </c>
      <c r="AF64">
        <v>-0.58699999999999997</v>
      </c>
      <c r="AG64">
        <v>7.5999999999999998E-2</v>
      </c>
      <c r="AH64">
        <v>-5.0999999999999997E-2</v>
      </c>
      <c r="AI64">
        <v>0.64800000000000002</v>
      </c>
      <c r="AJ64">
        <v>8.7959999999999994</v>
      </c>
      <c r="AK64">
        <v>0.93</v>
      </c>
      <c r="AL64">
        <v>6.0339999999999998</v>
      </c>
      <c r="AM64">
        <v>0.106</v>
      </c>
      <c r="AN64">
        <v>8.8460000000000001</v>
      </c>
      <c r="AO64">
        <v>8.6270000000000007</v>
      </c>
      <c r="AP64">
        <v>4.0000000000000001E-3</v>
      </c>
      <c r="AQ64">
        <v>5.806</v>
      </c>
      <c r="AR64">
        <v>0.10199999999999999</v>
      </c>
      <c r="AS64">
        <v>1</v>
      </c>
      <c r="AT64">
        <v>0</v>
      </c>
      <c r="AU64">
        <v>64</v>
      </c>
    </row>
    <row r="65" spans="2:47" x14ac:dyDescent="0.25">
      <c r="B65" s="9">
        <v>52</v>
      </c>
      <c r="C65" s="35">
        <v>7000</v>
      </c>
      <c r="D65" s="3"/>
      <c r="E65" s="9">
        <f t="shared" si="0"/>
        <v>611</v>
      </c>
      <c r="F65" s="54">
        <f t="shared" si="9"/>
        <v>4429</v>
      </c>
      <c r="G65" s="73">
        <f t="shared" si="1"/>
        <v>1.645</v>
      </c>
      <c r="H65" s="56">
        <f t="shared" si="2"/>
        <v>0.88300000000000001</v>
      </c>
      <c r="I65" s="57">
        <f t="shared" si="3"/>
        <v>2735</v>
      </c>
      <c r="J65" s="58">
        <f t="shared" si="4"/>
        <v>6.1</v>
      </c>
      <c r="L65" s="31">
        <f t="shared" si="5"/>
        <v>8.1000000000000003E-2</v>
      </c>
      <c r="M65" s="32">
        <f t="shared" si="10"/>
        <v>0.62849999999999995</v>
      </c>
      <c r="N65" s="32">
        <f t="shared" si="6"/>
        <v>0.64700000000000002</v>
      </c>
      <c r="O65" s="32">
        <f t="shared" si="7"/>
        <v>-5.0999999999999997E-2</v>
      </c>
      <c r="P65" s="32">
        <f t="shared" si="11"/>
        <v>8.7050000000000001</v>
      </c>
      <c r="Q65" s="33">
        <f t="shared" si="11"/>
        <v>0.92400000000000004</v>
      </c>
      <c r="AB65">
        <v>1</v>
      </c>
      <c r="AC65">
        <v>4</v>
      </c>
      <c r="AD65">
        <v>50</v>
      </c>
      <c r="AE65">
        <v>-0.53700000000000003</v>
      </c>
      <c r="AF65">
        <v>-0.61599999999999999</v>
      </c>
      <c r="AG65">
        <v>7.9000000000000001E-2</v>
      </c>
      <c r="AH65">
        <v>-5.0999999999999997E-2</v>
      </c>
      <c r="AI65">
        <v>0.64800000000000002</v>
      </c>
      <c r="AJ65">
        <v>8.7639999999999993</v>
      </c>
      <c r="AK65">
        <v>0.91700000000000004</v>
      </c>
      <c r="AL65">
        <v>5.9749999999999996</v>
      </c>
      <c r="AM65">
        <v>0.105</v>
      </c>
      <c r="AN65">
        <v>8.8119999999999994</v>
      </c>
      <c r="AO65">
        <v>8.4</v>
      </c>
      <c r="AP65">
        <v>4.0000000000000001E-3</v>
      </c>
      <c r="AQ65">
        <v>5.665</v>
      </c>
      <c r="AR65">
        <v>9.9000000000000005E-2</v>
      </c>
      <c r="AS65">
        <v>1</v>
      </c>
      <c r="AT65">
        <v>0</v>
      </c>
      <c r="AU65">
        <v>64</v>
      </c>
    </row>
    <row r="66" spans="2:47" x14ac:dyDescent="0.25">
      <c r="B66" s="9">
        <v>53</v>
      </c>
      <c r="C66" s="35">
        <v>7500</v>
      </c>
      <c r="D66" s="3"/>
      <c r="E66" s="9">
        <f t="shared" si="0"/>
        <v>596</v>
      </c>
      <c r="F66" s="54">
        <f t="shared" si="9"/>
        <v>4618</v>
      </c>
      <c r="G66" s="73">
        <f t="shared" si="1"/>
        <v>1.645</v>
      </c>
      <c r="H66" s="56">
        <f t="shared" si="2"/>
        <v>0.88300000000000001</v>
      </c>
      <c r="I66" s="57">
        <f t="shared" si="3"/>
        <v>2737</v>
      </c>
      <c r="J66" s="58">
        <f t="shared" si="4"/>
        <v>5.9</v>
      </c>
      <c r="L66" s="31">
        <f t="shared" si="5"/>
        <v>7.9000000000000001E-2</v>
      </c>
      <c r="M66" s="32">
        <f t="shared" si="10"/>
        <v>0.65349999999999997</v>
      </c>
      <c r="N66" s="32">
        <f t="shared" si="6"/>
        <v>0.64700000000000002</v>
      </c>
      <c r="O66" s="32">
        <f t="shared" si="7"/>
        <v>-5.0999999999999997E-2</v>
      </c>
      <c r="P66" s="32">
        <f t="shared" si="11"/>
        <v>8.7119999999999997</v>
      </c>
      <c r="Q66" s="33">
        <f t="shared" si="11"/>
        <v>0.90400000000000003</v>
      </c>
      <c r="AB66">
        <v>1</v>
      </c>
      <c r="AC66">
        <v>4</v>
      </c>
      <c r="AD66">
        <v>51</v>
      </c>
      <c r="AE66">
        <v>-0.56299999999999994</v>
      </c>
      <c r="AF66">
        <v>-0.64100000000000001</v>
      </c>
      <c r="AG66">
        <v>7.8E-2</v>
      </c>
      <c r="AH66">
        <v>-5.0999999999999997E-2</v>
      </c>
      <c r="AI66">
        <v>0.64800000000000002</v>
      </c>
      <c r="AJ66">
        <v>8.7309999999999999</v>
      </c>
      <c r="AK66">
        <v>0.91400000000000003</v>
      </c>
      <c r="AL66">
        <v>5.9790000000000001</v>
      </c>
      <c r="AM66">
        <v>0.105</v>
      </c>
      <c r="AN66">
        <v>8.7789999999999999</v>
      </c>
      <c r="AO66">
        <v>8.4559999999999995</v>
      </c>
      <c r="AP66">
        <v>4.0000000000000001E-3</v>
      </c>
      <c r="AQ66">
        <v>5.6980000000000004</v>
      </c>
      <c r="AR66">
        <v>0.1</v>
      </c>
      <c r="AS66">
        <v>1</v>
      </c>
      <c r="AT66">
        <v>0</v>
      </c>
      <c r="AU66">
        <v>64</v>
      </c>
    </row>
    <row r="67" spans="2:47" x14ac:dyDescent="0.25">
      <c r="B67" s="9">
        <v>54</v>
      </c>
      <c r="C67" s="35">
        <v>8000</v>
      </c>
      <c r="D67" s="3"/>
      <c r="E67" s="9">
        <f t="shared" si="0"/>
        <v>604</v>
      </c>
      <c r="F67" s="54">
        <f t="shared" si="9"/>
        <v>4810</v>
      </c>
      <c r="G67" s="73">
        <f t="shared" si="1"/>
        <v>1.6479999999999999</v>
      </c>
      <c r="H67" s="56">
        <f t="shared" si="2"/>
        <v>0.88300000000000001</v>
      </c>
      <c r="I67" s="57">
        <f t="shared" si="3"/>
        <v>2713</v>
      </c>
      <c r="J67" s="58">
        <f t="shared" si="4"/>
        <v>5.9</v>
      </c>
      <c r="L67" s="31">
        <f t="shared" si="5"/>
        <v>0.08</v>
      </c>
      <c r="M67" s="32">
        <f t="shared" si="10"/>
        <v>0.67900000000000005</v>
      </c>
      <c r="N67" s="32">
        <f t="shared" si="6"/>
        <v>0.64900000000000002</v>
      </c>
      <c r="O67" s="32">
        <f t="shared" si="7"/>
        <v>-0.05</v>
      </c>
      <c r="P67" s="32">
        <f t="shared" si="11"/>
        <v>8.6370000000000005</v>
      </c>
      <c r="Q67" s="33">
        <f t="shared" si="11"/>
        <v>0.89400000000000002</v>
      </c>
      <c r="AB67">
        <v>1</v>
      </c>
      <c r="AC67">
        <v>4</v>
      </c>
      <c r="AD67">
        <v>52</v>
      </c>
      <c r="AE67">
        <v>-0.58799999999999997</v>
      </c>
      <c r="AF67">
        <v>-0.66900000000000004</v>
      </c>
      <c r="AG67">
        <v>8.1000000000000003E-2</v>
      </c>
      <c r="AH67">
        <v>-5.0999999999999997E-2</v>
      </c>
      <c r="AI67">
        <v>0.64700000000000002</v>
      </c>
      <c r="AJ67">
        <v>8.7050000000000001</v>
      </c>
      <c r="AK67">
        <v>0.92400000000000004</v>
      </c>
      <c r="AL67">
        <v>6.0590000000000002</v>
      </c>
      <c r="AM67">
        <v>0.106</v>
      </c>
      <c r="AN67">
        <v>8.7539999999999996</v>
      </c>
      <c r="AO67">
        <v>8.24</v>
      </c>
      <c r="AP67">
        <v>4.0000000000000001E-3</v>
      </c>
      <c r="AQ67">
        <v>5.6280000000000001</v>
      </c>
      <c r="AR67">
        <v>9.9000000000000005E-2</v>
      </c>
      <c r="AS67">
        <v>1</v>
      </c>
      <c r="AT67">
        <v>0</v>
      </c>
      <c r="AU67">
        <v>64</v>
      </c>
    </row>
    <row r="68" spans="2:47" x14ac:dyDescent="0.25">
      <c r="B68" s="9">
        <v>55</v>
      </c>
      <c r="C68" s="35">
        <v>8500</v>
      </c>
      <c r="D68" s="3"/>
      <c r="E68" s="9">
        <f t="shared" si="0"/>
        <v>626</v>
      </c>
      <c r="F68" s="54">
        <f t="shared" si="9"/>
        <v>5017</v>
      </c>
      <c r="G68" s="73">
        <f t="shared" si="1"/>
        <v>1.6479999999999999</v>
      </c>
      <c r="H68" s="56">
        <f t="shared" si="2"/>
        <v>0.88500000000000001</v>
      </c>
      <c r="I68" s="57">
        <f t="shared" si="3"/>
        <v>2708</v>
      </c>
      <c r="J68" s="58">
        <f t="shared" si="4"/>
        <v>5.8</v>
      </c>
      <c r="L68" s="31">
        <f t="shared" si="5"/>
        <v>8.3000000000000004E-2</v>
      </c>
      <c r="M68" s="32">
        <f t="shared" si="10"/>
        <v>0.70650000000000002</v>
      </c>
      <c r="N68" s="32">
        <f t="shared" si="6"/>
        <v>0.64700000000000002</v>
      </c>
      <c r="O68" s="32">
        <f t="shared" si="7"/>
        <v>-5.1999999999999998E-2</v>
      </c>
      <c r="P68" s="32">
        <f t="shared" si="11"/>
        <v>8.6240000000000006</v>
      </c>
      <c r="Q68" s="33">
        <f t="shared" si="11"/>
        <v>0.876</v>
      </c>
      <c r="AB68">
        <v>1</v>
      </c>
      <c r="AC68">
        <v>4</v>
      </c>
      <c r="AD68">
        <v>53</v>
      </c>
      <c r="AE68">
        <v>-0.61399999999999999</v>
      </c>
      <c r="AF68">
        <v>-0.69299999999999995</v>
      </c>
      <c r="AG68">
        <v>7.9000000000000001E-2</v>
      </c>
      <c r="AH68">
        <v>-5.0999999999999997E-2</v>
      </c>
      <c r="AI68">
        <v>0.64700000000000002</v>
      </c>
      <c r="AJ68">
        <v>8.7119999999999997</v>
      </c>
      <c r="AK68">
        <v>0.90400000000000003</v>
      </c>
      <c r="AL68">
        <v>5.9219999999999997</v>
      </c>
      <c r="AM68">
        <v>0.104</v>
      </c>
      <c r="AN68">
        <v>8.7590000000000003</v>
      </c>
      <c r="AO68">
        <v>8.3439999999999994</v>
      </c>
      <c r="AP68">
        <v>4.0000000000000001E-3</v>
      </c>
      <c r="AQ68">
        <v>5.5839999999999996</v>
      </c>
      <c r="AR68">
        <v>9.8000000000000004E-2</v>
      </c>
      <c r="AS68">
        <v>1</v>
      </c>
      <c r="AT68">
        <v>0</v>
      </c>
      <c r="AU68">
        <v>64</v>
      </c>
    </row>
    <row r="69" spans="2:47" x14ac:dyDescent="0.25">
      <c r="B69" s="9">
        <v>56</v>
      </c>
      <c r="C69" s="35">
        <v>9000</v>
      </c>
      <c r="D69" s="3"/>
      <c r="E69" s="9">
        <f t="shared" si="0"/>
        <v>611</v>
      </c>
      <c r="F69" s="54">
        <f t="shared" si="9"/>
        <v>5191</v>
      </c>
      <c r="G69" s="73">
        <f t="shared" si="1"/>
        <v>1.643</v>
      </c>
      <c r="H69" s="56">
        <f t="shared" si="2"/>
        <v>0.88200000000000001</v>
      </c>
      <c r="I69" s="57">
        <f t="shared" si="3"/>
        <v>2713</v>
      </c>
      <c r="J69" s="58">
        <f t="shared" si="4"/>
        <v>5.8</v>
      </c>
      <c r="L69" s="31">
        <f t="shared" si="5"/>
        <v>8.1000000000000003E-2</v>
      </c>
      <c r="M69" s="32">
        <f t="shared" si="10"/>
        <v>0.72949999999999993</v>
      </c>
      <c r="N69" s="32">
        <f t="shared" si="6"/>
        <v>0.64600000000000002</v>
      </c>
      <c r="O69" s="32">
        <f t="shared" si="7"/>
        <v>-5.0999999999999997E-2</v>
      </c>
      <c r="P69" s="32">
        <f t="shared" si="11"/>
        <v>8.6389999999999993</v>
      </c>
      <c r="Q69" s="33">
        <f t="shared" si="11"/>
        <v>0.88</v>
      </c>
      <c r="AB69">
        <v>1</v>
      </c>
      <c r="AC69">
        <v>4</v>
      </c>
      <c r="AD69">
        <v>54</v>
      </c>
      <c r="AE69">
        <v>-0.63900000000000001</v>
      </c>
      <c r="AF69">
        <v>-0.72</v>
      </c>
      <c r="AG69">
        <v>0.08</v>
      </c>
      <c r="AH69">
        <v>-0.05</v>
      </c>
      <c r="AI69">
        <v>0.64900000000000002</v>
      </c>
      <c r="AJ69">
        <v>8.6370000000000005</v>
      </c>
      <c r="AK69">
        <v>0.89400000000000002</v>
      </c>
      <c r="AL69">
        <v>5.91</v>
      </c>
      <c r="AM69">
        <v>0.104</v>
      </c>
      <c r="AN69">
        <v>8.6839999999999993</v>
      </c>
      <c r="AO69">
        <v>8.1989999999999998</v>
      </c>
      <c r="AP69">
        <v>4.0000000000000001E-3</v>
      </c>
      <c r="AQ69">
        <v>5.516</v>
      </c>
      <c r="AR69">
        <v>9.7000000000000003E-2</v>
      </c>
      <c r="AS69">
        <v>1</v>
      </c>
      <c r="AT69">
        <v>0</v>
      </c>
      <c r="AU69">
        <v>64</v>
      </c>
    </row>
    <row r="70" spans="2:47" x14ac:dyDescent="0.25">
      <c r="B70" s="9">
        <v>57</v>
      </c>
      <c r="C70" s="35">
        <v>9500</v>
      </c>
      <c r="D70" s="3"/>
      <c r="E70" s="9">
        <f t="shared" si="0"/>
        <v>604</v>
      </c>
      <c r="F70" s="54">
        <f t="shared" si="9"/>
        <v>5398</v>
      </c>
      <c r="G70" s="73">
        <f t="shared" si="1"/>
        <v>1.645</v>
      </c>
      <c r="H70" s="56">
        <f t="shared" si="2"/>
        <v>0.88300000000000001</v>
      </c>
      <c r="I70" s="57">
        <f t="shared" si="3"/>
        <v>2702</v>
      </c>
      <c r="J70" s="58">
        <f t="shared" si="4"/>
        <v>5.8</v>
      </c>
      <c r="L70" s="31">
        <f t="shared" si="5"/>
        <v>0.08</v>
      </c>
      <c r="M70" s="32">
        <f t="shared" si="10"/>
        <v>0.75700000000000001</v>
      </c>
      <c r="N70" s="32">
        <f t="shared" si="6"/>
        <v>0.64700000000000002</v>
      </c>
      <c r="O70" s="32">
        <f t="shared" si="7"/>
        <v>-5.0999999999999997E-2</v>
      </c>
      <c r="P70" s="32">
        <f t="shared" si="11"/>
        <v>8.6039999999999992</v>
      </c>
      <c r="Q70" s="33">
        <f t="shared" si="11"/>
        <v>0.872</v>
      </c>
      <c r="AB70">
        <v>1</v>
      </c>
      <c r="AC70">
        <v>4</v>
      </c>
      <c r="AD70">
        <v>55</v>
      </c>
      <c r="AE70">
        <v>-0.66500000000000004</v>
      </c>
      <c r="AF70">
        <v>-0.747</v>
      </c>
      <c r="AG70">
        <v>8.3000000000000004E-2</v>
      </c>
      <c r="AH70">
        <v>-5.1999999999999998E-2</v>
      </c>
      <c r="AI70">
        <v>0.64700000000000002</v>
      </c>
      <c r="AJ70">
        <v>8.6240000000000006</v>
      </c>
      <c r="AK70">
        <v>0.876</v>
      </c>
      <c r="AL70">
        <v>5.7969999999999997</v>
      </c>
      <c r="AM70">
        <v>0.10199999999999999</v>
      </c>
      <c r="AN70">
        <v>8.6690000000000005</v>
      </c>
      <c r="AO70">
        <v>8.1329999999999991</v>
      </c>
      <c r="AP70">
        <v>4.0000000000000001E-3</v>
      </c>
      <c r="AQ70">
        <v>5.3780000000000001</v>
      </c>
      <c r="AR70">
        <v>9.4E-2</v>
      </c>
      <c r="AS70">
        <v>1</v>
      </c>
      <c r="AT70">
        <v>0</v>
      </c>
      <c r="AU70">
        <v>64</v>
      </c>
    </row>
    <row r="71" spans="2:47" x14ac:dyDescent="0.25">
      <c r="B71" s="9">
        <v>58</v>
      </c>
      <c r="C71" s="35">
        <v>10000</v>
      </c>
      <c r="D71" s="3"/>
      <c r="E71" s="9">
        <f t="shared" si="0"/>
        <v>611</v>
      </c>
      <c r="F71" s="54">
        <f t="shared" si="9"/>
        <v>5583</v>
      </c>
      <c r="G71" s="73">
        <f t="shared" si="1"/>
        <v>1.6479999999999999</v>
      </c>
      <c r="H71" s="56">
        <f t="shared" si="2"/>
        <v>0.88400000000000001</v>
      </c>
      <c r="I71" s="57">
        <f t="shared" si="3"/>
        <v>2698</v>
      </c>
      <c r="J71" s="58">
        <f t="shared" si="4"/>
        <v>6.1</v>
      </c>
      <c r="L71" s="31">
        <f t="shared" si="5"/>
        <v>8.1000000000000003E-2</v>
      </c>
      <c r="M71" s="32">
        <f t="shared" si="10"/>
        <v>0.78149999999999997</v>
      </c>
      <c r="N71" s="32">
        <f t="shared" si="6"/>
        <v>0.64800000000000002</v>
      </c>
      <c r="O71" s="32">
        <f t="shared" si="7"/>
        <v>-5.0999999999999997E-2</v>
      </c>
      <c r="P71" s="32">
        <f t="shared" si="11"/>
        <v>8.5860000000000003</v>
      </c>
      <c r="Q71" s="33">
        <f t="shared" si="11"/>
        <v>0.91600000000000004</v>
      </c>
      <c r="AB71">
        <v>1</v>
      </c>
      <c r="AC71">
        <v>4</v>
      </c>
      <c r="AD71">
        <v>56</v>
      </c>
      <c r="AE71">
        <v>-0.68899999999999995</v>
      </c>
      <c r="AF71">
        <v>-0.77</v>
      </c>
      <c r="AG71">
        <v>8.1000000000000003E-2</v>
      </c>
      <c r="AH71">
        <v>-5.0999999999999997E-2</v>
      </c>
      <c r="AI71">
        <v>0.64600000000000002</v>
      </c>
      <c r="AJ71">
        <v>8.6389999999999993</v>
      </c>
      <c r="AK71">
        <v>0.88</v>
      </c>
      <c r="AL71">
        <v>5.8129999999999997</v>
      </c>
      <c r="AM71">
        <v>0.10199999999999999</v>
      </c>
      <c r="AN71">
        <v>8.6839999999999993</v>
      </c>
      <c r="AO71">
        <v>8.2170000000000005</v>
      </c>
      <c r="AP71">
        <v>4.0000000000000001E-3</v>
      </c>
      <c r="AQ71">
        <v>5.4569999999999999</v>
      </c>
      <c r="AR71">
        <v>9.6000000000000002E-2</v>
      </c>
      <c r="AS71">
        <v>1</v>
      </c>
      <c r="AT71">
        <v>0</v>
      </c>
      <c r="AU71">
        <v>64</v>
      </c>
    </row>
    <row r="72" spans="2:47" x14ac:dyDescent="0.25">
      <c r="B72" s="9">
        <v>59</v>
      </c>
      <c r="C72" s="35">
        <v>10500</v>
      </c>
      <c r="D72" s="3"/>
      <c r="E72" s="9">
        <f t="shared" si="0"/>
        <v>619</v>
      </c>
      <c r="F72" s="54">
        <f t="shared" si="9"/>
        <v>5761</v>
      </c>
      <c r="G72" s="73">
        <f t="shared" si="1"/>
        <v>1.65</v>
      </c>
      <c r="H72" s="56">
        <f t="shared" si="2"/>
        <v>0.88500000000000001</v>
      </c>
      <c r="I72" s="57">
        <f t="shared" si="3"/>
        <v>2662</v>
      </c>
      <c r="J72" s="58">
        <f t="shared" si="4"/>
        <v>6.3</v>
      </c>
      <c r="L72" s="31">
        <f t="shared" si="5"/>
        <v>8.2000000000000003E-2</v>
      </c>
      <c r="M72" s="32">
        <f t="shared" si="10"/>
        <v>0.80500000000000005</v>
      </c>
      <c r="N72" s="32">
        <f t="shared" si="6"/>
        <v>0.64900000000000002</v>
      </c>
      <c r="O72" s="32">
        <f t="shared" si="7"/>
        <v>-5.0999999999999997E-2</v>
      </c>
      <c r="P72" s="32">
        <f t="shared" si="11"/>
        <v>8.468</v>
      </c>
      <c r="Q72" s="33">
        <f t="shared" si="11"/>
        <v>0.94099999999999995</v>
      </c>
      <c r="AB72">
        <v>1</v>
      </c>
      <c r="AC72">
        <v>4</v>
      </c>
      <c r="AD72">
        <v>57</v>
      </c>
      <c r="AE72">
        <v>-0.71699999999999997</v>
      </c>
      <c r="AF72">
        <v>-0.79700000000000004</v>
      </c>
      <c r="AG72">
        <v>0.08</v>
      </c>
      <c r="AH72">
        <v>-5.0999999999999997E-2</v>
      </c>
      <c r="AI72">
        <v>0.64700000000000002</v>
      </c>
      <c r="AJ72">
        <v>8.6039999999999992</v>
      </c>
      <c r="AK72">
        <v>0.872</v>
      </c>
      <c r="AL72">
        <v>5.7869999999999999</v>
      </c>
      <c r="AM72">
        <v>0.10100000000000001</v>
      </c>
      <c r="AN72">
        <v>8.6479999999999997</v>
      </c>
      <c r="AO72">
        <v>8.2430000000000003</v>
      </c>
      <c r="AP72">
        <v>4.0000000000000001E-3</v>
      </c>
      <c r="AQ72">
        <v>5.4720000000000004</v>
      </c>
      <c r="AR72">
        <v>9.6000000000000002E-2</v>
      </c>
      <c r="AS72">
        <v>1</v>
      </c>
      <c r="AT72">
        <v>0</v>
      </c>
      <c r="AU72">
        <v>64</v>
      </c>
    </row>
    <row r="73" spans="2:47" x14ac:dyDescent="0.25">
      <c r="B73" s="9">
        <v>60</v>
      </c>
      <c r="C73" s="35">
        <v>11000</v>
      </c>
      <c r="D73" s="3"/>
      <c r="E73" s="9">
        <f t="shared" si="0"/>
        <v>619</v>
      </c>
      <c r="F73" s="54">
        <f t="shared" si="9"/>
        <v>5972</v>
      </c>
      <c r="G73" s="73">
        <f t="shared" si="1"/>
        <v>1.645</v>
      </c>
      <c r="H73" s="56">
        <f t="shared" si="2"/>
        <v>0.88300000000000001</v>
      </c>
      <c r="I73" s="57">
        <f t="shared" si="3"/>
        <v>2659</v>
      </c>
      <c r="J73" s="58">
        <f t="shared" si="4"/>
        <v>6.4</v>
      </c>
      <c r="L73" s="31">
        <f t="shared" si="5"/>
        <v>8.2000000000000003E-2</v>
      </c>
      <c r="M73" s="32">
        <f t="shared" si="10"/>
        <v>0.83300000000000007</v>
      </c>
      <c r="N73" s="32">
        <f t="shared" si="6"/>
        <v>0.64700000000000002</v>
      </c>
      <c r="O73" s="32">
        <f t="shared" si="7"/>
        <v>-5.0999999999999997E-2</v>
      </c>
      <c r="P73" s="32">
        <f t="shared" si="11"/>
        <v>8.4589999999999996</v>
      </c>
      <c r="Q73" s="33">
        <f t="shared" si="11"/>
        <v>0.94199999999999995</v>
      </c>
      <c r="AB73">
        <v>1</v>
      </c>
      <c r="AC73">
        <v>4</v>
      </c>
      <c r="AD73">
        <v>58</v>
      </c>
      <c r="AE73">
        <v>-0.74099999999999999</v>
      </c>
      <c r="AF73">
        <v>-0.82099999999999995</v>
      </c>
      <c r="AG73">
        <v>8.1000000000000003E-2</v>
      </c>
      <c r="AH73">
        <v>-5.0999999999999997E-2</v>
      </c>
      <c r="AI73">
        <v>0.64800000000000002</v>
      </c>
      <c r="AJ73">
        <v>8.5860000000000003</v>
      </c>
      <c r="AK73">
        <v>0.91600000000000004</v>
      </c>
      <c r="AL73">
        <v>6.0910000000000002</v>
      </c>
      <c r="AM73">
        <v>0.107</v>
      </c>
      <c r="AN73">
        <v>8.6340000000000003</v>
      </c>
      <c r="AO73">
        <v>8.2409999999999997</v>
      </c>
      <c r="AP73">
        <v>4.0000000000000001E-3</v>
      </c>
      <c r="AQ73">
        <v>5.7489999999999997</v>
      </c>
      <c r="AR73">
        <v>0.10100000000000001</v>
      </c>
      <c r="AS73">
        <v>1</v>
      </c>
      <c r="AT73">
        <v>0</v>
      </c>
      <c r="AU73">
        <v>64</v>
      </c>
    </row>
    <row r="74" spans="2:47" x14ac:dyDescent="0.25">
      <c r="B74" s="9">
        <v>61</v>
      </c>
      <c r="C74" s="35">
        <v>11500</v>
      </c>
      <c r="D74" s="3"/>
      <c r="E74" s="9">
        <f t="shared" si="0"/>
        <v>626</v>
      </c>
      <c r="F74" s="54">
        <f t="shared" si="9"/>
        <v>6164</v>
      </c>
      <c r="G74" s="73">
        <f t="shared" si="1"/>
        <v>1.6479999999999999</v>
      </c>
      <c r="H74" s="56">
        <f t="shared" si="2"/>
        <v>0.88300000000000001</v>
      </c>
      <c r="I74" s="57">
        <f t="shared" si="3"/>
        <v>2652</v>
      </c>
      <c r="J74" s="58">
        <f t="shared" si="4"/>
        <v>6.5</v>
      </c>
      <c r="L74" s="31">
        <f t="shared" si="5"/>
        <v>8.3000000000000004E-2</v>
      </c>
      <c r="M74" s="32">
        <f t="shared" si="10"/>
        <v>0.85849999999999993</v>
      </c>
      <c r="N74" s="32">
        <f t="shared" si="6"/>
        <v>0.64900000000000002</v>
      </c>
      <c r="O74" s="32">
        <f t="shared" si="7"/>
        <v>-0.05</v>
      </c>
      <c r="P74" s="32">
        <f t="shared" si="11"/>
        <v>8.4339999999999993</v>
      </c>
      <c r="Q74" s="33">
        <f t="shared" si="11"/>
        <v>0.96</v>
      </c>
      <c r="AB74">
        <v>1</v>
      </c>
      <c r="AC74">
        <v>4</v>
      </c>
      <c r="AD74">
        <v>59</v>
      </c>
      <c r="AE74">
        <v>-0.76400000000000001</v>
      </c>
      <c r="AF74">
        <v>-0.84499999999999997</v>
      </c>
      <c r="AG74">
        <v>8.2000000000000003E-2</v>
      </c>
      <c r="AH74">
        <v>-5.0999999999999997E-2</v>
      </c>
      <c r="AI74">
        <v>0.64900000000000002</v>
      </c>
      <c r="AJ74">
        <v>8.468</v>
      </c>
      <c r="AK74">
        <v>0.94099999999999995</v>
      </c>
      <c r="AL74">
        <v>6.3440000000000003</v>
      </c>
      <c r="AM74">
        <v>0.111</v>
      </c>
      <c r="AN74">
        <v>8.5210000000000008</v>
      </c>
      <c r="AO74">
        <v>8.1669999999999998</v>
      </c>
      <c r="AP74">
        <v>4.0000000000000001E-3</v>
      </c>
      <c r="AQ74">
        <v>6.008</v>
      </c>
      <c r="AR74">
        <v>0.105</v>
      </c>
      <c r="AS74">
        <v>1</v>
      </c>
      <c r="AT74">
        <v>0</v>
      </c>
      <c r="AU74">
        <v>64</v>
      </c>
    </row>
    <row r="75" spans="2:47" x14ac:dyDescent="0.25">
      <c r="B75" s="9">
        <v>62</v>
      </c>
      <c r="C75" s="35">
        <v>12000</v>
      </c>
      <c r="D75" s="3"/>
      <c r="E75" s="9">
        <f t="shared" si="0"/>
        <v>626</v>
      </c>
      <c r="F75" s="54">
        <f t="shared" si="9"/>
        <v>6360</v>
      </c>
      <c r="G75" s="73">
        <f t="shared" si="1"/>
        <v>1.643</v>
      </c>
      <c r="H75" s="56">
        <f t="shared" si="2"/>
        <v>0.88300000000000001</v>
      </c>
      <c r="I75" s="57">
        <f t="shared" si="3"/>
        <v>2621</v>
      </c>
      <c r="J75" s="58">
        <f t="shared" si="4"/>
        <v>6.3</v>
      </c>
      <c r="L75" s="31">
        <f t="shared" si="5"/>
        <v>8.3000000000000004E-2</v>
      </c>
      <c r="M75" s="32">
        <f t="shared" si="10"/>
        <v>0.88449999999999995</v>
      </c>
      <c r="N75" s="32">
        <f t="shared" si="6"/>
        <v>0.64500000000000002</v>
      </c>
      <c r="O75" s="32">
        <f t="shared" si="7"/>
        <v>-5.1999999999999998E-2</v>
      </c>
      <c r="P75" s="32">
        <f t="shared" si="11"/>
        <v>8.3379999999999992</v>
      </c>
      <c r="Q75" s="33">
        <f t="shared" si="11"/>
        <v>0.92</v>
      </c>
      <c r="AB75">
        <v>1</v>
      </c>
      <c r="AC75">
        <v>4</v>
      </c>
      <c r="AD75">
        <v>60</v>
      </c>
      <c r="AE75">
        <v>-0.79200000000000004</v>
      </c>
      <c r="AF75">
        <v>-0.873</v>
      </c>
      <c r="AG75">
        <v>8.2000000000000003E-2</v>
      </c>
      <c r="AH75">
        <v>-5.0999999999999997E-2</v>
      </c>
      <c r="AI75">
        <v>0.64700000000000002</v>
      </c>
      <c r="AJ75">
        <v>8.4589999999999996</v>
      </c>
      <c r="AK75">
        <v>0.94199999999999995</v>
      </c>
      <c r="AL75">
        <v>6.3550000000000004</v>
      </c>
      <c r="AM75">
        <v>0.111</v>
      </c>
      <c r="AN75">
        <v>8.5120000000000005</v>
      </c>
      <c r="AO75">
        <v>8.08</v>
      </c>
      <c r="AP75">
        <v>4.0000000000000001E-3</v>
      </c>
      <c r="AQ75">
        <v>5.9889999999999999</v>
      </c>
      <c r="AR75">
        <v>0.105</v>
      </c>
      <c r="AS75">
        <v>1</v>
      </c>
      <c r="AT75">
        <v>0</v>
      </c>
      <c r="AU75">
        <v>64</v>
      </c>
    </row>
    <row r="76" spans="2:47" x14ac:dyDescent="0.25">
      <c r="B76" s="9">
        <v>63</v>
      </c>
      <c r="C76" s="35">
        <v>12500</v>
      </c>
      <c r="D76" s="3"/>
      <c r="E76" s="9">
        <f t="shared" si="0"/>
        <v>626</v>
      </c>
      <c r="F76" s="54">
        <f t="shared" si="9"/>
        <v>6564</v>
      </c>
      <c r="G76" s="73">
        <f t="shared" si="1"/>
        <v>1.65</v>
      </c>
      <c r="H76" s="56">
        <f t="shared" si="2"/>
        <v>0.88600000000000001</v>
      </c>
      <c r="I76" s="57">
        <f t="shared" si="3"/>
        <v>2622</v>
      </c>
      <c r="J76" s="58">
        <f t="shared" si="4"/>
        <v>6.4</v>
      </c>
      <c r="L76" s="31">
        <f t="shared" si="5"/>
        <v>8.3000000000000004E-2</v>
      </c>
      <c r="M76" s="32">
        <f t="shared" si="10"/>
        <v>0.91149999999999998</v>
      </c>
      <c r="N76" s="32">
        <f t="shared" si="6"/>
        <v>0.64800000000000002</v>
      </c>
      <c r="O76" s="32">
        <f t="shared" si="7"/>
        <v>-5.1999999999999998E-2</v>
      </c>
      <c r="P76" s="32">
        <f t="shared" si="11"/>
        <v>8.3390000000000004</v>
      </c>
      <c r="Q76" s="33">
        <f t="shared" si="11"/>
        <v>0.94</v>
      </c>
      <c r="AB76">
        <v>1</v>
      </c>
      <c r="AC76">
        <v>4</v>
      </c>
      <c r="AD76">
        <v>61</v>
      </c>
      <c r="AE76">
        <v>-0.81699999999999995</v>
      </c>
      <c r="AF76">
        <v>-0.9</v>
      </c>
      <c r="AG76">
        <v>8.3000000000000004E-2</v>
      </c>
      <c r="AH76">
        <v>-0.05</v>
      </c>
      <c r="AI76">
        <v>0.64900000000000002</v>
      </c>
      <c r="AJ76">
        <v>8.4339999999999993</v>
      </c>
      <c r="AK76">
        <v>0.96</v>
      </c>
      <c r="AL76">
        <v>6.4939999999999998</v>
      </c>
      <c r="AM76">
        <v>0.114</v>
      </c>
      <c r="AN76">
        <v>8.4890000000000008</v>
      </c>
      <c r="AO76">
        <v>8.0540000000000003</v>
      </c>
      <c r="AP76">
        <v>4.0000000000000001E-3</v>
      </c>
      <c r="AQ76">
        <v>6.0659999999999998</v>
      </c>
      <c r="AR76">
        <v>0.106</v>
      </c>
      <c r="AS76">
        <v>1</v>
      </c>
      <c r="AT76">
        <v>0</v>
      </c>
      <c r="AU76">
        <v>64</v>
      </c>
    </row>
    <row r="77" spans="2:47" x14ac:dyDescent="0.25">
      <c r="B77" s="9">
        <v>64</v>
      </c>
      <c r="C77" s="35">
        <v>13000</v>
      </c>
      <c r="D77" s="3"/>
      <c r="E77" s="9">
        <f t="shared" si="0"/>
        <v>641</v>
      </c>
      <c r="F77" s="54">
        <f t="shared" si="9"/>
        <v>6791</v>
      </c>
      <c r="G77" s="73">
        <f t="shared" si="1"/>
        <v>1.645</v>
      </c>
      <c r="H77" s="56">
        <f t="shared" si="2"/>
        <v>0.88200000000000001</v>
      </c>
      <c r="I77" s="57">
        <f t="shared" si="3"/>
        <v>2617</v>
      </c>
      <c r="J77" s="58">
        <f t="shared" si="4"/>
        <v>6.3</v>
      </c>
      <c r="L77" s="31">
        <f t="shared" si="5"/>
        <v>8.5000000000000006E-2</v>
      </c>
      <c r="M77" s="32">
        <f t="shared" si="10"/>
        <v>0.9415</v>
      </c>
      <c r="N77" s="32">
        <f t="shared" si="6"/>
        <v>0.64800000000000002</v>
      </c>
      <c r="O77" s="32">
        <f t="shared" si="7"/>
        <v>-0.05</v>
      </c>
      <c r="P77" s="32">
        <f t="shared" si="11"/>
        <v>8.3260000000000005</v>
      </c>
      <c r="Q77" s="33">
        <f t="shared" si="11"/>
        <v>0.92400000000000004</v>
      </c>
      <c r="AB77">
        <v>1</v>
      </c>
      <c r="AC77">
        <v>4</v>
      </c>
      <c r="AD77">
        <v>62</v>
      </c>
      <c r="AE77">
        <v>-0.84299999999999997</v>
      </c>
      <c r="AF77">
        <v>-0.92600000000000005</v>
      </c>
      <c r="AG77">
        <v>8.3000000000000004E-2</v>
      </c>
      <c r="AH77">
        <v>-5.1999999999999998E-2</v>
      </c>
      <c r="AI77">
        <v>0.64500000000000002</v>
      </c>
      <c r="AJ77">
        <v>8.3379999999999992</v>
      </c>
      <c r="AK77">
        <v>0.92</v>
      </c>
      <c r="AL77">
        <v>6.2969999999999997</v>
      </c>
      <c r="AM77">
        <v>0.11</v>
      </c>
      <c r="AN77">
        <v>8.3889999999999993</v>
      </c>
      <c r="AO77">
        <v>7.9509999999999996</v>
      </c>
      <c r="AP77">
        <v>4.0000000000000001E-3</v>
      </c>
      <c r="AQ77">
        <v>5.9169999999999998</v>
      </c>
      <c r="AR77">
        <v>0.104</v>
      </c>
      <c r="AS77">
        <v>1</v>
      </c>
      <c r="AT77">
        <v>0</v>
      </c>
      <c r="AU77">
        <v>64</v>
      </c>
    </row>
    <row r="78" spans="2:47" x14ac:dyDescent="0.25">
      <c r="B78" s="9">
        <v>65</v>
      </c>
      <c r="C78" s="35">
        <v>13500</v>
      </c>
      <c r="D78" s="3"/>
      <c r="E78" s="9">
        <f t="shared" ref="E78:E141" si="12">IF(L78="","",ROUND(12*C$7/(2*H$7^2+2*H$6*H$7-H$6^2)*L78*1000000,0))</f>
        <v>619</v>
      </c>
      <c r="F78" s="54">
        <f t="shared" si="9"/>
        <v>6983</v>
      </c>
      <c r="G78" s="73">
        <f t="shared" ref="G78:G141" si="13">IF(L78="","",ROUND(1.5*((N78-O78)*1000*H$7)/(C$6*C$7^2),3))</f>
        <v>1.645</v>
      </c>
      <c r="H78" s="56">
        <f t="shared" ref="H78:H141" si="14">IF(L78="","",ROUND(1.5*((N78/2-O78)*1000*H$7)/(C$6*C$7^2),3))</f>
        <v>0.88300000000000001</v>
      </c>
      <c r="I78" s="57">
        <f t="shared" ref="I78:I141" si="15">IF(L78="","",IF(P78&lt;=0,"foute meting",ROUND(0.000001*V$4*SQRT((1000000*Q78)^2+(1000000*P78+V$5*(2*PI()*H$5)^2)^2),0)))</f>
        <v>2583</v>
      </c>
      <c r="J78" s="58">
        <f t="shared" ref="J78:J141" si="16">IF(L78="","",ROUND(ATAN(Q78/P78)/PI()*180,1))</f>
        <v>6.1</v>
      </c>
      <c r="L78" s="31">
        <f t="shared" ref="L78:L141" si="17">IF(AG80&lt;=0,"",AG80)</f>
        <v>8.2000000000000003E-2</v>
      </c>
      <c r="M78" s="32">
        <f t="shared" si="10"/>
        <v>0.96700000000000008</v>
      </c>
      <c r="N78" s="32">
        <f t="shared" ref="N78:N141" si="18">IF(AI80="","",AI80)</f>
        <v>0.64700000000000002</v>
      </c>
      <c r="O78" s="32">
        <f t="shared" ref="O78:O141" si="19">IF(AH80="","",AH80)</f>
        <v>-5.0999999999999997E-2</v>
      </c>
      <c r="P78" s="32">
        <f t="shared" ref="P78:Q109" si="20">IF(AJ80="","",AJ80)</f>
        <v>8.2219999999999995</v>
      </c>
      <c r="Q78" s="33">
        <f t="shared" si="20"/>
        <v>0.874</v>
      </c>
      <c r="AB78">
        <v>1</v>
      </c>
      <c r="AC78">
        <v>4</v>
      </c>
      <c r="AD78">
        <v>63</v>
      </c>
      <c r="AE78">
        <v>-0.87</v>
      </c>
      <c r="AF78">
        <v>-0.95299999999999996</v>
      </c>
      <c r="AG78">
        <v>8.3000000000000004E-2</v>
      </c>
      <c r="AH78">
        <v>-5.1999999999999998E-2</v>
      </c>
      <c r="AI78">
        <v>0.64800000000000002</v>
      </c>
      <c r="AJ78">
        <v>8.3390000000000004</v>
      </c>
      <c r="AK78">
        <v>0.94</v>
      </c>
      <c r="AL78">
        <v>6.4340000000000002</v>
      </c>
      <c r="AM78">
        <v>0.113</v>
      </c>
      <c r="AN78">
        <v>8.3919999999999995</v>
      </c>
      <c r="AO78">
        <v>7.98</v>
      </c>
      <c r="AP78">
        <v>4.0000000000000001E-3</v>
      </c>
      <c r="AQ78">
        <v>6.048</v>
      </c>
      <c r="AR78">
        <v>0.106</v>
      </c>
      <c r="AS78">
        <v>1</v>
      </c>
      <c r="AT78">
        <v>0</v>
      </c>
      <c r="AU78">
        <v>64</v>
      </c>
    </row>
    <row r="79" spans="2:47" x14ac:dyDescent="0.25">
      <c r="B79" s="9">
        <v>66</v>
      </c>
      <c r="C79" s="35">
        <v>14000</v>
      </c>
      <c r="D79" s="3"/>
      <c r="E79" s="9">
        <f t="shared" si="12"/>
        <v>626</v>
      </c>
      <c r="F79" s="54">
        <f t="shared" ref="F79:F142" si="21">IF(L79="","",ABS(ROUND(12*C$7/(2*(H$7/1000)^2+2*(H$6/1000)*(H$7/1000)-(H$6/1000)^2)*(M79-M$14)*1,0)))</f>
        <v>7198</v>
      </c>
      <c r="G79" s="73">
        <f t="shared" si="13"/>
        <v>1.6479999999999999</v>
      </c>
      <c r="H79" s="56">
        <f t="shared" si="14"/>
        <v>0.88500000000000001</v>
      </c>
      <c r="I79" s="57">
        <f t="shared" si="15"/>
        <v>2577</v>
      </c>
      <c r="J79" s="58">
        <f t="shared" si="16"/>
        <v>6.5</v>
      </c>
      <c r="L79" s="31">
        <f t="shared" si="17"/>
        <v>8.3000000000000004E-2</v>
      </c>
      <c r="M79" s="32">
        <f t="shared" ref="M79:M142" si="22">IF(AG81="","",AG81/2-AE81)</f>
        <v>0.99549999999999994</v>
      </c>
      <c r="N79" s="32">
        <f t="shared" si="18"/>
        <v>0.64700000000000002</v>
      </c>
      <c r="O79" s="32">
        <f t="shared" si="19"/>
        <v>-5.1999999999999998E-2</v>
      </c>
      <c r="P79" s="32">
        <f t="shared" si="20"/>
        <v>8.1959999999999997</v>
      </c>
      <c r="Q79" s="33">
        <f t="shared" si="20"/>
        <v>0.93600000000000005</v>
      </c>
      <c r="AB79">
        <v>1</v>
      </c>
      <c r="AC79">
        <v>4</v>
      </c>
      <c r="AD79">
        <v>64</v>
      </c>
      <c r="AE79">
        <v>-0.89900000000000002</v>
      </c>
      <c r="AF79">
        <v>-0.98399999999999999</v>
      </c>
      <c r="AG79">
        <v>8.5000000000000006E-2</v>
      </c>
      <c r="AH79">
        <v>-0.05</v>
      </c>
      <c r="AI79">
        <v>0.64800000000000002</v>
      </c>
      <c r="AJ79">
        <v>8.3260000000000005</v>
      </c>
      <c r="AK79">
        <v>0.92400000000000004</v>
      </c>
      <c r="AL79">
        <v>6.3339999999999996</v>
      </c>
      <c r="AM79">
        <v>0.111</v>
      </c>
      <c r="AN79">
        <v>8.3780000000000001</v>
      </c>
      <c r="AO79">
        <v>7.8520000000000003</v>
      </c>
      <c r="AP79">
        <v>4.0000000000000001E-3</v>
      </c>
      <c r="AQ79">
        <v>5.8540000000000001</v>
      </c>
      <c r="AR79">
        <v>0.10299999999999999</v>
      </c>
      <c r="AS79">
        <v>1</v>
      </c>
      <c r="AT79">
        <v>0</v>
      </c>
      <c r="AU79">
        <v>64</v>
      </c>
    </row>
    <row r="80" spans="2:47" x14ac:dyDescent="0.25">
      <c r="B80" s="9">
        <v>67</v>
      </c>
      <c r="C80" s="35">
        <v>14500</v>
      </c>
      <c r="D80" s="3"/>
      <c r="E80" s="9">
        <f t="shared" si="12"/>
        <v>649</v>
      </c>
      <c r="F80" s="54">
        <f t="shared" si="21"/>
        <v>7436</v>
      </c>
      <c r="G80" s="73">
        <f t="shared" si="13"/>
        <v>1.643</v>
      </c>
      <c r="H80" s="56">
        <f t="shared" si="14"/>
        <v>0.88200000000000001</v>
      </c>
      <c r="I80" s="57">
        <f t="shared" si="15"/>
        <v>2558</v>
      </c>
      <c r="J80" s="58">
        <f t="shared" si="16"/>
        <v>6.7</v>
      </c>
      <c r="L80" s="31">
        <f t="shared" si="17"/>
        <v>8.5999999999999993E-2</v>
      </c>
      <c r="M80" s="32">
        <f t="shared" si="22"/>
        <v>1.0269999999999999</v>
      </c>
      <c r="N80" s="32">
        <f t="shared" si="18"/>
        <v>0.64600000000000002</v>
      </c>
      <c r="O80" s="32">
        <f t="shared" si="19"/>
        <v>-5.0999999999999997E-2</v>
      </c>
      <c r="P80" s="32">
        <f t="shared" si="20"/>
        <v>8.1310000000000002</v>
      </c>
      <c r="Q80" s="33">
        <f t="shared" si="20"/>
        <v>0.95199999999999996</v>
      </c>
      <c r="AB80">
        <v>1</v>
      </c>
      <c r="AC80">
        <v>4</v>
      </c>
      <c r="AD80">
        <v>65</v>
      </c>
      <c r="AE80">
        <v>-0.92600000000000005</v>
      </c>
      <c r="AF80">
        <v>-1.0089999999999999</v>
      </c>
      <c r="AG80">
        <v>8.2000000000000003E-2</v>
      </c>
      <c r="AH80">
        <v>-5.0999999999999997E-2</v>
      </c>
      <c r="AI80">
        <v>0.64700000000000002</v>
      </c>
      <c r="AJ80">
        <v>8.2219999999999995</v>
      </c>
      <c r="AK80">
        <v>0.874</v>
      </c>
      <c r="AL80">
        <v>6.069</v>
      </c>
      <c r="AM80">
        <v>0.106</v>
      </c>
      <c r="AN80">
        <v>8.2690000000000001</v>
      </c>
      <c r="AO80">
        <v>7.9189999999999996</v>
      </c>
      <c r="AP80">
        <v>4.0000000000000001E-3</v>
      </c>
      <c r="AQ80">
        <v>5.7489999999999997</v>
      </c>
      <c r="AR80">
        <v>0.10100000000000001</v>
      </c>
      <c r="AS80">
        <v>1</v>
      </c>
      <c r="AT80">
        <v>0</v>
      </c>
      <c r="AU80">
        <v>64</v>
      </c>
    </row>
    <row r="81" spans="2:47" x14ac:dyDescent="0.25">
      <c r="B81" s="9">
        <v>68</v>
      </c>
      <c r="C81" s="35">
        <v>15000</v>
      </c>
      <c r="D81" s="3"/>
      <c r="E81" s="9">
        <f t="shared" si="12"/>
        <v>626</v>
      </c>
      <c r="F81" s="54">
        <f t="shared" si="21"/>
        <v>7681</v>
      </c>
      <c r="G81" s="73">
        <f t="shared" si="13"/>
        <v>1.643</v>
      </c>
      <c r="H81" s="56">
        <f t="shared" si="14"/>
        <v>0.88200000000000001</v>
      </c>
      <c r="I81" s="57">
        <f t="shared" si="15"/>
        <v>2539</v>
      </c>
      <c r="J81" s="58">
        <f t="shared" si="16"/>
        <v>6.9</v>
      </c>
      <c r="L81" s="31">
        <f t="shared" si="17"/>
        <v>8.3000000000000004E-2</v>
      </c>
      <c r="M81" s="32">
        <f t="shared" si="22"/>
        <v>1.0595000000000001</v>
      </c>
      <c r="N81" s="32">
        <f t="shared" si="18"/>
        <v>0.64600000000000002</v>
      </c>
      <c r="O81" s="32">
        <f t="shared" si="19"/>
        <v>-5.0999999999999997E-2</v>
      </c>
      <c r="P81" s="32">
        <f t="shared" si="20"/>
        <v>8.0660000000000007</v>
      </c>
      <c r="Q81" s="33">
        <f t="shared" si="20"/>
        <v>0.97599999999999998</v>
      </c>
      <c r="AB81">
        <v>1</v>
      </c>
      <c r="AC81">
        <v>4</v>
      </c>
      <c r="AD81">
        <v>66</v>
      </c>
      <c r="AE81">
        <v>-0.95399999999999996</v>
      </c>
      <c r="AF81">
        <v>-1.0369999999999999</v>
      </c>
      <c r="AG81">
        <v>8.3000000000000004E-2</v>
      </c>
      <c r="AH81">
        <v>-5.1999999999999998E-2</v>
      </c>
      <c r="AI81">
        <v>0.64700000000000002</v>
      </c>
      <c r="AJ81">
        <v>8.1959999999999997</v>
      </c>
      <c r="AK81">
        <v>0.93600000000000005</v>
      </c>
      <c r="AL81">
        <v>6.5170000000000003</v>
      </c>
      <c r="AM81">
        <v>0.114</v>
      </c>
      <c r="AN81">
        <v>8.25</v>
      </c>
      <c r="AO81">
        <v>7.96</v>
      </c>
      <c r="AP81">
        <v>4.0000000000000001E-3</v>
      </c>
      <c r="AQ81">
        <v>6.2270000000000003</v>
      </c>
      <c r="AR81">
        <v>0.109</v>
      </c>
      <c r="AS81">
        <v>1</v>
      </c>
      <c r="AT81">
        <v>0</v>
      </c>
      <c r="AU81">
        <v>64</v>
      </c>
    </row>
    <row r="82" spans="2:47" x14ac:dyDescent="0.25">
      <c r="B82" s="9">
        <v>69</v>
      </c>
      <c r="C82" s="35">
        <v>15500</v>
      </c>
      <c r="D82" s="3"/>
      <c r="E82" s="9">
        <f t="shared" si="12"/>
        <v>656</v>
      </c>
      <c r="F82" s="54">
        <f t="shared" si="21"/>
        <v>7907</v>
      </c>
      <c r="G82" s="73">
        <f t="shared" si="13"/>
        <v>1.645</v>
      </c>
      <c r="H82" s="56">
        <f t="shared" si="14"/>
        <v>0.88300000000000001</v>
      </c>
      <c r="I82" s="57">
        <f t="shared" si="15"/>
        <v>2524</v>
      </c>
      <c r="J82" s="58">
        <f t="shared" si="16"/>
        <v>7</v>
      </c>
      <c r="L82" s="31">
        <f t="shared" si="17"/>
        <v>8.6999999999999994E-2</v>
      </c>
      <c r="M82" s="32">
        <f t="shared" si="22"/>
        <v>1.0895000000000001</v>
      </c>
      <c r="N82" s="32">
        <f t="shared" si="18"/>
        <v>0.64700000000000002</v>
      </c>
      <c r="O82" s="32">
        <f t="shared" si="19"/>
        <v>-5.0999999999999997E-2</v>
      </c>
      <c r="P82" s="32">
        <f t="shared" si="20"/>
        <v>8.0190000000000001</v>
      </c>
      <c r="Q82" s="33">
        <f t="shared" si="20"/>
        <v>0.98</v>
      </c>
      <c r="AB82">
        <v>1</v>
      </c>
      <c r="AC82">
        <v>4</v>
      </c>
      <c r="AD82">
        <v>67</v>
      </c>
      <c r="AE82">
        <v>-0.98399999999999999</v>
      </c>
      <c r="AF82">
        <v>-1.07</v>
      </c>
      <c r="AG82">
        <v>8.5999999999999993E-2</v>
      </c>
      <c r="AH82">
        <v>-5.0999999999999997E-2</v>
      </c>
      <c r="AI82">
        <v>0.64600000000000002</v>
      </c>
      <c r="AJ82">
        <v>8.1310000000000002</v>
      </c>
      <c r="AK82">
        <v>0.95199999999999996</v>
      </c>
      <c r="AL82">
        <v>6.6820000000000004</v>
      </c>
      <c r="AM82">
        <v>0.11700000000000001</v>
      </c>
      <c r="AN82">
        <v>8.1869999999999994</v>
      </c>
      <c r="AO82">
        <v>7.7430000000000003</v>
      </c>
      <c r="AP82">
        <v>5.0000000000000001E-3</v>
      </c>
      <c r="AQ82">
        <v>6.2590000000000003</v>
      </c>
      <c r="AR82">
        <v>0.11</v>
      </c>
      <c r="AS82">
        <v>1</v>
      </c>
      <c r="AT82">
        <v>0</v>
      </c>
      <c r="AU82">
        <v>64</v>
      </c>
    </row>
    <row r="83" spans="2:47" x14ac:dyDescent="0.25">
      <c r="B83" s="9">
        <v>70</v>
      </c>
      <c r="C83" s="35">
        <v>16000</v>
      </c>
      <c r="D83" s="3"/>
      <c r="E83" s="9">
        <f t="shared" si="12"/>
        <v>664</v>
      </c>
      <c r="F83" s="54">
        <f t="shared" si="21"/>
        <v>8183</v>
      </c>
      <c r="G83" s="73">
        <f t="shared" si="13"/>
        <v>1.6479999999999999</v>
      </c>
      <c r="H83" s="56">
        <f t="shared" si="14"/>
        <v>0.88500000000000001</v>
      </c>
      <c r="I83" s="57">
        <f t="shared" si="15"/>
        <v>2477</v>
      </c>
      <c r="J83" s="58">
        <f t="shared" si="16"/>
        <v>7.2</v>
      </c>
      <c r="L83" s="31">
        <f t="shared" si="17"/>
        <v>8.7999999999999995E-2</v>
      </c>
      <c r="M83" s="32">
        <f t="shared" si="22"/>
        <v>1.1260000000000001</v>
      </c>
      <c r="N83" s="32">
        <f t="shared" si="18"/>
        <v>0.64700000000000002</v>
      </c>
      <c r="O83" s="32">
        <f t="shared" si="19"/>
        <v>-5.1999999999999998E-2</v>
      </c>
      <c r="P83" s="32">
        <f t="shared" si="20"/>
        <v>7.8650000000000002</v>
      </c>
      <c r="Q83" s="33">
        <f t="shared" si="20"/>
        <v>0.997</v>
      </c>
      <c r="AB83">
        <v>1</v>
      </c>
      <c r="AC83">
        <v>4</v>
      </c>
      <c r="AD83">
        <v>68</v>
      </c>
      <c r="AE83">
        <v>-1.018</v>
      </c>
      <c r="AF83">
        <v>-1.101</v>
      </c>
      <c r="AG83">
        <v>8.3000000000000004E-2</v>
      </c>
      <c r="AH83">
        <v>-5.0999999999999997E-2</v>
      </c>
      <c r="AI83">
        <v>0.64600000000000002</v>
      </c>
      <c r="AJ83">
        <v>8.0660000000000007</v>
      </c>
      <c r="AK83">
        <v>0.97599999999999998</v>
      </c>
      <c r="AL83">
        <v>6.8970000000000002</v>
      </c>
      <c r="AM83">
        <v>0.121</v>
      </c>
      <c r="AN83">
        <v>8.125</v>
      </c>
      <c r="AO83">
        <v>7.83</v>
      </c>
      <c r="AP83">
        <v>5.0000000000000001E-3</v>
      </c>
      <c r="AQ83">
        <v>6.5949999999999998</v>
      </c>
      <c r="AR83">
        <v>0.11600000000000001</v>
      </c>
      <c r="AS83">
        <v>1</v>
      </c>
      <c r="AT83">
        <v>0</v>
      </c>
      <c r="AU83">
        <v>64</v>
      </c>
    </row>
    <row r="84" spans="2:47" x14ac:dyDescent="0.25">
      <c r="B84" s="9">
        <v>71</v>
      </c>
      <c r="C84" s="35">
        <v>16500</v>
      </c>
      <c r="D84" s="3"/>
      <c r="E84" s="9">
        <f t="shared" si="12"/>
        <v>664</v>
      </c>
      <c r="F84" s="54">
        <f t="shared" si="21"/>
        <v>8462</v>
      </c>
      <c r="G84" s="73">
        <f t="shared" si="13"/>
        <v>1.65</v>
      </c>
      <c r="H84" s="56">
        <f t="shared" si="14"/>
        <v>0.88600000000000001</v>
      </c>
      <c r="I84" s="57">
        <f t="shared" si="15"/>
        <v>2459</v>
      </c>
      <c r="J84" s="58">
        <f t="shared" si="16"/>
        <v>7.4</v>
      </c>
      <c r="L84" s="31">
        <f t="shared" si="17"/>
        <v>8.7999999999999995E-2</v>
      </c>
      <c r="M84" s="32">
        <f t="shared" si="22"/>
        <v>1.163</v>
      </c>
      <c r="N84" s="32">
        <f t="shared" si="18"/>
        <v>0.64800000000000002</v>
      </c>
      <c r="O84" s="32">
        <f t="shared" si="19"/>
        <v>-5.1999999999999998E-2</v>
      </c>
      <c r="P84" s="32">
        <f t="shared" si="20"/>
        <v>7.806</v>
      </c>
      <c r="Q84" s="33">
        <f t="shared" si="20"/>
        <v>1.014</v>
      </c>
      <c r="AB84">
        <v>1</v>
      </c>
      <c r="AC84">
        <v>4</v>
      </c>
      <c r="AD84">
        <v>69</v>
      </c>
      <c r="AE84">
        <v>-1.046</v>
      </c>
      <c r="AF84">
        <v>-1.1319999999999999</v>
      </c>
      <c r="AG84">
        <v>8.6999999999999994E-2</v>
      </c>
      <c r="AH84">
        <v>-5.0999999999999997E-2</v>
      </c>
      <c r="AI84">
        <v>0.64700000000000002</v>
      </c>
      <c r="AJ84">
        <v>8.0190000000000001</v>
      </c>
      <c r="AK84">
        <v>0.98</v>
      </c>
      <c r="AL84">
        <v>6.968</v>
      </c>
      <c r="AM84">
        <v>0.122</v>
      </c>
      <c r="AN84">
        <v>8.0790000000000006</v>
      </c>
      <c r="AO84">
        <v>7.7050000000000001</v>
      </c>
      <c r="AP84">
        <v>5.0000000000000001E-3</v>
      </c>
      <c r="AQ84">
        <v>6.5679999999999996</v>
      </c>
      <c r="AR84">
        <v>0.115</v>
      </c>
      <c r="AS84">
        <v>1</v>
      </c>
      <c r="AT84">
        <v>0</v>
      </c>
      <c r="AU84">
        <v>64</v>
      </c>
    </row>
    <row r="85" spans="2:47" x14ac:dyDescent="0.25">
      <c r="B85" s="9">
        <v>72</v>
      </c>
      <c r="C85" s="35">
        <v>17000</v>
      </c>
      <c r="D85" s="3"/>
      <c r="E85" s="9">
        <f t="shared" si="12"/>
        <v>664</v>
      </c>
      <c r="F85" s="54">
        <f t="shared" si="21"/>
        <v>8748</v>
      </c>
      <c r="G85" s="73">
        <f t="shared" si="13"/>
        <v>1.645</v>
      </c>
      <c r="H85" s="56">
        <f t="shared" si="14"/>
        <v>0.88300000000000001</v>
      </c>
      <c r="I85" s="57">
        <f t="shared" si="15"/>
        <v>2439</v>
      </c>
      <c r="J85" s="58">
        <f t="shared" si="16"/>
        <v>7.4</v>
      </c>
      <c r="L85" s="31">
        <f t="shared" si="17"/>
        <v>8.7999999999999995E-2</v>
      </c>
      <c r="M85" s="32">
        <f t="shared" si="22"/>
        <v>1.2010000000000001</v>
      </c>
      <c r="N85" s="32">
        <f t="shared" si="18"/>
        <v>0.64700000000000002</v>
      </c>
      <c r="O85" s="32">
        <f t="shared" si="19"/>
        <v>-5.0999999999999997E-2</v>
      </c>
      <c r="P85" s="32">
        <f t="shared" si="20"/>
        <v>7.7430000000000003</v>
      </c>
      <c r="Q85" s="33">
        <f t="shared" si="20"/>
        <v>1.0049999999999999</v>
      </c>
      <c r="AB85">
        <v>1</v>
      </c>
      <c r="AC85">
        <v>4</v>
      </c>
      <c r="AD85">
        <v>70</v>
      </c>
      <c r="AE85">
        <v>-1.0820000000000001</v>
      </c>
      <c r="AF85">
        <v>-1.17</v>
      </c>
      <c r="AG85">
        <v>8.7999999999999995E-2</v>
      </c>
      <c r="AH85">
        <v>-5.1999999999999998E-2</v>
      </c>
      <c r="AI85">
        <v>0.64700000000000002</v>
      </c>
      <c r="AJ85">
        <v>7.8650000000000002</v>
      </c>
      <c r="AK85">
        <v>0.997</v>
      </c>
      <c r="AL85">
        <v>7.2210000000000001</v>
      </c>
      <c r="AM85">
        <v>0.127</v>
      </c>
      <c r="AN85">
        <v>7.9279999999999999</v>
      </c>
      <c r="AO85">
        <v>7.4989999999999997</v>
      </c>
      <c r="AP85">
        <v>5.0000000000000001E-3</v>
      </c>
      <c r="AQ85">
        <v>6.7889999999999997</v>
      </c>
      <c r="AR85">
        <v>0.11899999999999999</v>
      </c>
      <c r="AS85">
        <v>1</v>
      </c>
      <c r="AT85">
        <v>0</v>
      </c>
      <c r="AU85">
        <v>64</v>
      </c>
    </row>
    <row r="86" spans="2:47" x14ac:dyDescent="0.25">
      <c r="B86" s="9">
        <v>73</v>
      </c>
      <c r="C86" s="35">
        <v>17500</v>
      </c>
      <c r="D86" s="3"/>
      <c r="E86" s="9">
        <f t="shared" si="12"/>
        <v>679</v>
      </c>
      <c r="F86" s="54">
        <f t="shared" si="21"/>
        <v>9073</v>
      </c>
      <c r="G86" s="73">
        <f t="shared" si="13"/>
        <v>1.65</v>
      </c>
      <c r="H86" s="56">
        <f t="shared" si="14"/>
        <v>0.88600000000000001</v>
      </c>
      <c r="I86" s="57">
        <f t="shared" si="15"/>
        <v>2402</v>
      </c>
      <c r="J86" s="58">
        <f t="shared" si="16"/>
        <v>7.6</v>
      </c>
      <c r="L86" s="31">
        <f t="shared" si="17"/>
        <v>0.09</v>
      </c>
      <c r="M86" s="32">
        <f t="shared" si="22"/>
        <v>1.244</v>
      </c>
      <c r="N86" s="32">
        <f t="shared" si="18"/>
        <v>0.64800000000000002</v>
      </c>
      <c r="O86" s="32">
        <f t="shared" si="19"/>
        <v>-5.1999999999999998E-2</v>
      </c>
      <c r="P86" s="32">
        <f t="shared" si="20"/>
        <v>7.6210000000000004</v>
      </c>
      <c r="Q86" s="33">
        <f t="shared" si="20"/>
        <v>1.0209999999999999</v>
      </c>
      <c r="AB86">
        <v>1</v>
      </c>
      <c r="AC86">
        <v>4</v>
      </c>
      <c r="AD86">
        <v>71</v>
      </c>
      <c r="AE86">
        <v>-1.119</v>
      </c>
      <c r="AF86">
        <v>-1.208</v>
      </c>
      <c r="AG86">
        <v>8.7999999999999995E-2</v>
      </c>
      <c r="AH86">
        <v>-5.1999999999999998E-2</v>
      </c>
      <c r="AI86">
        <v>0.64800000000000002</v>
      </c>
      <c r="AJ86">
        <v>7.806</v>
      </c>
      <c r="AK86">
        <v>1.014</v>
      </c>
      <c r="AL86">
        <v>7.399</v>
      </c>
      <c r="AM86">
        <v>0.13</v>
      </c>
      <c r="AN86">
        <v>7.8710000000000004</v>
      </c>
      <c r="AO86">
        <v>7.5279999999999996</v>
      </c>
      <c r="AP86">
        <v>5.0000000000000001E-3</v>
      </c>
      <c r="AQ86">
        <v>7.0060000000000002</v>
      </c>
      <c r="AR86">
        <v>0.123</v>
      </c>
      <c r="AS86">
        <v>1</v>
      </c>
      <c r="AT86">
        <v>0</v>
      </c>
      <c r="AU86">
        <v>64</v>
      </c>
    </row>
    <row r="87" spans="2:47" x14ac:dyDescent="0.25">
      <c r="B87" s="9">
        <v>74</v>
      </c>
      <c r="C87" s="35">
        <v>18000</v>
      </c>
      <c r="D87" s="3"/>
      <c r="E87" s="9">
        <f t="shared" si="12"/>
        <v>694</v>
      </c>
      <c r="F87" s="54">
        <f t="shared" si="21"/>
        <v>9427</v>
      </c>
      <c r="G87" s="73">
        <f t="shared" si="13"/>
        <v>1.65</v>
      </c>
      <c r="H87" s="56">
        <f t="shared" si="14"/>
        <v>0.88600000000000001</v>
      </c>
      <c r="I87" s="57">
        <f t="shared" si="15"/>
        <v>2350</v>
      </c>
      <c r="J87" s="58">
        <f t="shared" si="16"/>
        <v>7.8</v>
      </c>
      <c r="L87" s="31">
        <f t="shared" si="17"/>
        <v>9.1999999999999998E-2</v>
      </c>
      <c r="M87" s="32">
        <f t="shared" si="22"/>
        <v>1.2910000000000001</v>
      </c>
      <c r="N87" s="32">
        <f t="shared" si="18"/>
        <v>0.64800000000000002</v>
      </c>
      <c r="O87" s="32">
        <f t="shared" si="19"/>
        <v>-5.1999999999999998E-2</v>
      </c>
      <c r="P87" s="32">
        <f t="shared" si="20"/>
        <v>7.4509999999999996</v>
      </c>
      <c r="Q87" s="33">
        <f t="shared" si="20"/>
        <v>1.024</v>
      </c>
      <c r="AB87">
        <v>1</v>
      </c>
      <c r="AC87">
        <v>4</v>
      </c>
      <c r="AD87">
        <v>72</v>
      </c>
      <c r="AE87">
        <v>-1.157</v>
      </c>
      <c r="AF87">
        <v>-1.246</v>
      </c>
      <c r="AG87">
        <v>8.7999999999999995E-2</v>
      </c>
      <c r="AH87">
        <v>-5.0999999999999997E-2</v>
      </c>
      <c r="AI87">
        <v>0.64700000000000002</v>
      </c>
      <c r="AJ87">
        <v>7.7430000000000003</v>
      </c>
      <c r="AK87">
        <v>1.0049999999999999</v>
      </c>
      <c r="AL87">
        <v>7.391</v>
      </c>
      <c r="AM87">
        <v>0.13</v>
      </c>
      <c r="AN87">
        <v>7.8090000000000002</v>
      </c>
      <c r="AO87">
        <v>7.5140000000000002</v>
      </c>
      <c r="AP87">
        <v>5.0000000000000001E-3</v>
      </c>
      <c r="AQ87">
        <v>7.0350000000000001</v>
      </c>
      <c r="AR87">
        <v>0.123</v>
      </c>
      <c r="AS87">
        <v>1</v>
      </c>
      <c r="AT87">
        <v>0</v>
      </c>
      <c r="AU87">
        <v>64</v>
      </c>
    </row>
    <row r="88" spans="2:47" x14ac:dyDescent="0.25">
      <c r="B88" s="9">
        <v>75</v>
      </c>
      <c r="C88" s="35">
        <v>18500</v>
      </c>
      <c r="D88" s="3"/>
      <c r="E88" s="9">
        <f t="shared" si="12"/>
        <v>709</v>
      </c>
      <c r="F88" s="54">
        <f t="shared" si="21"/>
        <v>9842</v>
      </c>
      <c r="G88" s="73">
        <f t="shared" si="13"/>
        <v>1.645</v>
      </c>
      <c r="H88" s="56">
        <f t="shared" si="14"/>
        <v>0.88300000000000001</v>
      </c>
      <c r="I88" s="57">
        <f t="shared" si="15"/>
        <v>2299</v>
      </c>
      <c r="J88" s="58">
        <f t="shared" si="16"/>
        <v>7.9</v>
      </c>
      <c r="L88" s="31">
        <f t="shared" si="17"/>
        <v>9.4E-2</v>
      </c>
      <c r="M88" s="32">
        <f t="shared" si="22"/>
        <v>1.3459999999999999</v>
      </c>
      <c r="N88" s="32">
        <f t="shared" si="18"/>
        <v>0.64700000000000002</v>
      </c>
      <c r="O88" s="32">
        <f t="shared" si="19"/>
        <v>-5.0999999999999997E-2</v>
      </c>
      <c r="P88" s="32">
        <f t="shared" si="20"/>
        <v>7.2880000000000003</v>
      </c>
      <c r="Q88" s="33">
        <f t="shared" si="20"/>
        <v>1.0169999999999999</v>
      </c>
      <c r="AB88">
        <v>1</v>
      </c>
      <c r="AC88">
        <v>4</v>
      </c>
      <c r="AD88">
        <v>73</v>
      </c>
      <c r="AE88">
        <v>-1.1990000000000001</v>
      </c>
      <c r="AF88">
        <v>-1.2889999999999999</v>
      </c>
      <c r="AG88">
        <v>0.09</v>
      </c>
      <c r="AH88">
        <v>-5.1999999999999998E-2</v>
      </c>
      <c r="AI88">
        <v>0.64800000000000002</v>
      </c>
      <c r="AJ88">
        <v>7.6210000000000004</v>
      </c>
      <c r="AK88">
        <v>1.0209999999999999</v>
      </c>
      <c r="AL88">
        <v>7.6289999999999996</v>
      </c>
      <c r="AM88">
        <v>0.13400000000000001</v>
      </c>
      <c r="AN88">
        <v>7.6890000000000001</v>
      </c>
      <c r="AO88">
        <v>7.3730000000000002</v>
      </c>
      <c r="AP88">
        <v>6.0000000000000001E-3</v>
      </c>
      <c r="AQ88">
        <v>7.2130000000000001</v>
      </c>
      <c r="AR88">
        <v>0.127</v>
      </c>
      <c r="AS88">
        <v>1</v>
      </c>
      <c r="AT88">
        <v>0</v>
      </c>
      <c r="AU88">
        <v>64</v>
      </c>
    </row>
    <row r="89" spans="2:47" x14ac:dyDescent="0.25">
      <c r="B89" s="9">
        <v>76</v>
      </c>
      <c r="C89" s="35">
        <v>19000</v>
      </c>
      <c r="D89" s="3"/>
      <c r="E89" s="9">
        <f t="shared" si="12"/>
        <v>724</v>
      </c>
      <c r="F89" s="54">
        <f t="shared" si="21"/>
        <v>10356</v>
      </c>
      <c r="G89" s="73">
        <f t="shared" si="13"/>
        <v>1.643</v>
      </c>
      <c r="H89" s="56">
        <f t="shared" si="14"/>
        <v>0.88</v>
      </c>
      <c r="I89" s="57">
        <f t="shared" si="15"/>
        <v>2235</v>
      </c>
      <c r="J89" s="58">
        <f t="shared" si="16"/>
        <v>8.3000000000000007</v>
      </c>
      <c r="L89" s="31">
        <f t="shared" si="17"/>
        <v>9.6000000000000002E-2</v>
      </c>
      <c r="M89" s="32">
        <f t="shared" si="22"/>
        <v>1.4140000000000001</v>
      </c>
      <c r="N89" s="32">
        <f t="shared" si="18"/>
        <v>0.64700000000000002</v>
      </c>
      <c r="O89" s="32">
        <f t="shared" si="19"/>
        <v>-0.05</v>
      </c>
      <c r="P89" s="32">
        <f t="shared" si="20"/>
        <v>7.08</v>
      </c>
      <c r="Q89" s="33">
        <f t="shared" si="20"/>
        <v>1.0309999999999999</v>
      </c>
      <c r="AB89">
        <v>1</v>
      </c>
      <c r="AC89">
        <v>4</v>
      </c>
      <c r="AD89">
        <v>74</v>
      </c>
      <c r="AE89">
        <v>-1.2450000000000001</v>
      </c>
      <c r="AF89">
        <v>-1.3380000000000001</v>
      </c>
      <c r="AG89">
        <v>9.1999999999999998E-2</v>
      </c>
      <c r="AH89">
        <v>-5.1999999999999998E-2</v>
      </c>
      <c r="AI89">
        <v>0.64800000000000002</v>
      </c>
      <c r="AJ89">
        <v>7.4509999999999996</v>
      </c>
      <c r="AK89">
        <v>1.024</v>
      </c>
      <c r="AL89">
        <v>7.8280000000000003</v>
      </c>
      <c r="AM89">
        <v>0.13700000000000001</v>
      </c>
      <c r="AN89">
        <v>7.5209999999999999</v>
      </c>
      <c r="AO89">
        <v>7.0839999999999996</v>
      </c>
      <c r="AP89">
        <v>6.0000000000000001E-3</v>
      </c>
      <c r="AQ89">
        <v>7.3289999999999997</v>
      </c>
      <c r="AR89">
        <v>0.129</v>
      </c>
      <c r="AS89">
        <v>1</v>
      </c>
      <c r="AT89">
        <v>0</v>
      </c>
      <c r="AU89">
        <v>64</v>
      </c>
    </row>
    <row r="90" spans="2:47" x14ac:dyDescent="0.25">
      <c r="B90" s="9">
        <v>77</v>
      </c>
      <c r="C90" s="35">
        <v>19500</v>
      </c>
      <c r="D90" s="3"/>
      <c r="E90" s="9">
        <f t="shared" si="12"/>
        <v>732</v>
      </c>
      <c r="F90" s="54">
        <f t="shared" si="21"/>
        <v>10970</v>
      </c>
      <c r="G90" s="73">
        <f t="shared" si="13"/>
        <v>1.6479999999999999</v>
      </c>
      <c r="H90" s="56">
        <f t="shared" si="14"/>
        <v>0.88500000000000001</v>
      </c>
      <c r="I90" s="57">
        <f t="shared" si="15"/>
        <v>2193</v>
      </c>
      <c r="J90" s="58">
        <f t="shared" si="16"/>
        <v>9.5</v>
      </c>
      <c r="L90" s="31">
        <f t="shared" si="17"/>
        <v>9.7000000000000003E-2</v>
      </c>
      <c r="M90" s="32">
        <f t="shared" si="22"/>
        <v>1.4955000000000001</v>
      </c>
      <c r="N90" s="32">
        <f t="shared" si="18"/>
        <v>0.64700000000000002</v>
      </c>
      <c r="O90" s="32">
        <f t="shared" si="19"/>
        <v>-5.1999999999999998E-2</v>
      </c>
      <c r="P90" s="32">
        <f t="shared" si="20"/>
        <v>6.923</v>
      </c>
      <c r="Q90" s="33">
        <f t="shared" si="20"/>
        <v>1.153</v>
      </c>
      <c r="AB90">
        <v>1</v>
      </c>
      <c r="AC90">
        <v>4</v>
      </c>
      <c r="AD90">
        <v>75</v>
      </c>
      <c r="AE90">
        <v>-1.2989999999999999</v>
      </c>
      <c r="AF90">
        <v>-1.393</v>
      </c>
      <c r="AG90">
        <v>9.4E-2</v>
      </c>
      <c r="AH90">
        <v>-5.0999999999999997E-2</v>
      </c>
      <c r="AI90">
        <v>0.64700000000000002</v>
      </c>
      <c r="AJ90">
        <v>7.2880000000000003</v>
      </c>
      <c r="AK90">
        <v>1.0169999999999999</v>
      </c>
      <c r="AL90">
        <v>7.944</v>
      </c>
      <c r="AM90">
        <v>0.14000000000000001</v>
      </c>
      <c r="AN90">
        <v>7.359</v>
      </c>
      <c r="AO90">
        <v>7.0590000000000002</v>
      </c>
      <c r="AP90">
        <v>6.0000000000000001E-3</v>
      </c>
      <c r="AQ90">
        <v>7.5449999999999999</v>
      </c>
      <c r="AR90">
        <v>0.13200000000000001</v>
      </c>
      <c r="AS90">
        <v>1</v>
      </c>
      <c r="AT90">
        <v>0</v>
      </c>
      <c r="AU90">
        <v>64</v>
      </c>
    </row>
    <row r="91" spans="2:47" x14ac:dyDescent="0.25">
      <c r="B91" s="9">
        <v>78</v>
      </c>
      <c r="C91" s="35">
        <v>20000</v>
      </c>
      <c r="D91" s="3"/>
      <c r="E91" s="9">
        <f t="shared" si="12"/>
        <v>785</v>
      </c>
      <c r="F91" s="54">
        <f t="shared" si="21"/>
        <v>11849</v>
      </c>
      <c r="G91" s="73">
        <f t="shared" si="13"/>
        <v>1.6479999999999999</v>
      </c>
      <c r="H91" s="56">
        <f t="shared" si="14"/>
        <v>0.88400000000000001</v>
      </c>
      <c r="I91" s="57">
        <f t="shared" si="15"/>
        <v>2018</v>
      </c>
      <c r="J91" s="58">
        <f t="shared" si="16"/>
        <v>9.6999999999999993</v>
      </c>
      <c r="L91" s="31">
        <f t="shared" si="17"/>
        <v>0.104</v>
      </c>
      <c r="M91" s="32">
        <f t="shared" si="22"/>
        <v>1.6120000000000001</v>
      </c>
      <c r="N91" s="32">
        <f t="shared" si="18"/>
        <v>0.64800000000000002</v>
      </c>
      <c r="O91" s="32">
        <f t="shared" si="19"/>
        <v>-5.0999999999999997E-2</v>
      </c>
      <c r="P91" s="32">
        <f t="shared" si="20"/>
        <v>6.3680000000000003</v>
      </c>
      <c r="Q91" s="33">
        <f t="shared" si="20"/>
        <v>1.083</v>
      </c>
      <c r="AB91">
        <v>1</v>
      </c>
      <c r="AC91">
        <v>4</v>
      </c>
      <c r="AD91">
        <v>76</v>
      </c>
      <c r="AE91">
        <v>-1.3660000000000001</v>
      </c>
      <c r="AF91">
        <v>-1.462</v>
      </c>
      <c r="AG91">
        <v>9.6000000000000002E-2</v>
      </c>
      <c r="AH91">
        <v>-0.05</v>
      </c>
      <c r="AI91">
        <v>0.64700000000000002</v>
      </c>
      <c r="AJ91">
        <v>7.08</v>
      </c>
      <c r="AK91">
        <v>1.0309999999999999</v>
      </c>
      <c r="AL91">
        <v>8.2880000000000003</v>
      </c>
      <c r="AM91">
        <v>0.14599999999999999</v>
      </c>
      <c r="AN91">
        <v>7.1539999999999999</v>
      </c>
      <c r="AO91">
        <v>6.8620000000000001</v>
      </c>
      <c r="AP91">
        <v>7.0000000000000001E-3</v>
      </c>
      <c r="AQ91">
        <v>7.88</v>
      </c>
      <c r="AR91">
        <v>0.13800000000000001</v>
      </c>
      <c r="AS91">
        <v>1</v>
      </c>
      <c r="AT91">
        <v>0</v>
      </c>
      <c r="AU91">
        <v>64</v>
      </c>
    </row>
    <row r="92" spans="2:47" x14ac:dyDescent="0.25">
      <c r="B92" s="9">
        <v>79</v>
      </c>
      <c r="C92" s="35">
        <v>20500</v>
      </c>
      <c r="D92" s="3"/>
      <c r="E92" s="9">
        <f t="shared" si="12"/>
        <v>1117</v>
      </c>
      <c r="F92" s="54">
        <f t="shared" si="21"/>
        <v>14468</v>
      </c>
      <c r="G92" s="73">
        <f t="shared" si="13"/>
        <v>1.6479999999999999</v>
      </c>
      <c r="H92" s="56">
        <f t="shared" si="14"/>
        <v>0.88600000000000001</v>
      </c>
      <c r="I92" s="57">
        <f t="shared" si="15"/>
        <v>1501</v>
      </c>
      <c r="J92" s="58">
        <f t="shared" si="16"/>
        <v>15.5</v>
      </c>
      <c r="L92" s="31">
        <f t="shared" si="17"/>
        <v>0.14799999999999999</v>
      </c>
      <c r="M92" s="32">
        <f t="shared" si="22"/>
        <v>1.9590000000000001</v>
      </c>
      <c r="N92" s="32">
        <f t="shared" si="18"/>
        <v>0.64600000000000002</v>
      </c>
      <c r="O92" s="32">
        <f t="shared" si="19"/>
        <v>-5.2999999999999999E-2</v>
      </c>
      <c r="P92" s="32">
        <f t="shared" si="20"/>
        <v>4.63</v>
      </c>
      <c r="Q92" s="33">
        <f t="shared" si="20"/>
        <v>1.2869999999999999</v>
      </c>
      <c r="AB92">
        <v>1</v>
      </c>
      <c r="AC92">
        <v>4</v>
      </c>
      <c r="AD92">
        <v>77</v>
      </c>
      <c r="AE92">
        <v>-1.4470000000000001</v>
      </c>
      <c r="AF92">
        <v>-1.544</v>
      </c>
      <c r="AG92">
        <v>9.7000000000000003E-2</v>
      </c>
      <c r="AH92">
        <v>-5.1999999999999998E-2</v>
      </c>
      <c r="AI92">
        <v>0.64700000000000002</v>
      </c>
      <c r="AJ92">
        <v>6.923</v>
      </c>
      <c r="AK92">
        <v>1.153</v>
      </c>
      <c r="AL92">
        <v>9.4550000000000001</v>
      </c>
      <c r="AM92">
        <v>0.16700000000000001</v>
      </c>
      <c r="AN92">
        <v>7.0179999999999998</v>
      </c>
      <c r="AO92">
        <v>6.7670000000000003</v>
      </c>
      <c r="AP92">
        <v>8.0000000000000002E-3</v>
      </c>
      <c r="AQ92">
        <v>9</v>
      </c>
      <c r="AR92">
        <v>0.158</v>
      </c>
      <c r="AS92">
        <v>1</v>
      </c>
      <c r="AT92">
        <v>0</v>
      </c>
      <c r="AU92">
        <v>64</v>
      </c>
    </row>
    <row r="93" spans="2:47" x14ac:dyDescent="0.25">
      <c r="B93" s="9">
        <v>80</v>
      </c>
      <c r="C93" s="35">
        <v>21000</v>
      </c>
      <c r="D93" s="3"/>
      <c r="E93" s="9">
        <f t="shared" si="12"/>
        <v>24536</v>
      </c>
      <c r="F93" s="54">
        <f t="shared" si="21"/>
        <v>50125</v>
      </c>
      <c r="G93" s="73">
        <f t="shared" si="13"/>
        <v>1.6479999999999999</v>
      </c>
      <c r="H93" s="56">
        <f t="shared" si="14"/>
        <v>0.88500000000000001</v>
      </c>
      <c r="I93" s="57">
        <f t="shared" si="15"/>
        <v>70</v>
      </c>
      <c r="J93" s="58">
        <f t="shared" si="16"/>
        <v>17.8</v>
      </c>
      <c r="L93" s="31">
        <f t="shared" si="17"/>
        <v>3.2519999999999998</v>
      </c>
      <c r="M93" s="32">
        <f t="shared" si="22"/>
        <v>6.6850000000000005</v>
      </c>
      <c r="N93" s="32">
        <f t="shared" si="18"/>
        <v>0.64700000000000002</v>
      </c>
      <c r="O93" s="32">
        <f t="shared" si="19"/>
        <v>-5.1999999999999998E-2</v>
      </c>
      <c r="P93" s="32">
        <f t="shared" si="20"/>
        <v>0.21199999999999999</v>
      </c>
      <c r="Q93" s="33">
        <f t="shared" si="20"/>
        <v>6.8000000000000005E-2</v>
      </c>
      <c r="AB93">
        <v>1</v>
      </c>
      <c r="AC93">
        <v>4</v>
      </c>
      <c r="AD93">
        <v>78</v>
      </c>
      <c r="AE93">
        <v>-1.56</v>
      </c>
      <c r="AF93">
        <v>-1.6639999999999999</v>
      </c>
      <c r="AG93">
        <v>0.104</v>
      </c>
      <c r="AH93">
        <v>-5.0999999999999997E-2</v>
      </c>
      <c r="AI93">
        <v>0.64800000000000002</v>
      </c>
      <c r="AJ93">
        <v>6.3680000000000003</v>
      </c>
      <c r="AK93">
        <v>1.083</v>
      </c>
      <c r="AL93">
        <v>9.6519999999999992</v>
      </c>
      <c r="AM93">
        <v>0.17</v>
      </c>
      <c r="AN93">
        <v>6.4589999999999996</v>
      </c>
      <c r="AO93">
        <v>6.2709999999999999</v>
      </c>
      <c r="AP93">
        <v>8.0000000000000002E-3</v>
      </c>
      <c r="AQ93">
        <v>9.2870000000000008</v>
      </c>
      <c r="AR93">
        <v>0.16400000000000001</v>
      </c>
      <c r="AS93">
        <v>1</v>
      </c>
      <c r="AT93">
        <v>0</v>
      </c>
      <c r="AU93">
        <v>64</v>
      </c>
    </row>
    <row r="94" spans="2:47" x14ac:dyDescent="0.25">
      <c r="B94" s="9">
        <v>81</v>
      </c>
      <c r="C94" s="35">
        <v>21500</v>
      </c>
      <c r="D94" s="3"/>
      <c r="E94" s="9" t="str">
        <f t="shared" si="12"/>
        <v/>
      </c>
      <c r="F94" s="54" t="str">
        <f t="shared" si="21"/>
        <v/>
      </c>
      <c r="G94" s="73" t="str">
        <f t="shared" si="13"/>
        <v/>
      </c>
      <c r="H94" s="56" t="str">
        <f t="shared" si="14"/>
        <v/>
      </c>
      <c r="I94" s="57" t="str">
        <f t="shared" si="15"/>
        <v/>
      </c>
      <c r="J94" s="58" t="str">
        <f t="shared" si="16"/>
        <v/>
      </c>
      <c r="L94" s="31" t="str">
        <f t="shared" si="17"/>
        <v/>
      </c>
      <c r="M94" s="32" t="str">
        <f t="shared" si="22"/>
        <v/>
      </c>
      <c r="N94" s="32" t="str">
        <f t="shared" si="18"/>
        <v/>
      </c>
      <c r="O94" s="32" t="str">
        <f t="shared" si="19"/>
        <v/>
      </c>
      <c r="P94" s="32" t="str">
        <f t="shared" si="20"/>
        <v/>
      </c>
      <c r="Q94" s="33" t="str">
        <f t="shared" si="20"/>
        <v/>
      </c>
      <c r="AB94">
        <v>1</v>
      </c>
      <c r="AC94">
        <v>4</v>
      </c>
      <c r="AD94">
        <v>79</v>
      </c>
      <c r="AE94">
        <v>-1.885</v>
      </c>
      <c r="AF94">
        <v>-2.0329999999999999</v>
      </c>
      <c r="AG94">
        <v>0.14799999999999999</v>
      </c>
      <c r="AH94">
        <v>-5.2999999999999999E-2</v>
      </c>
      <c r="AI94">
        <v>0.64600000000000002</v>
      </c>
      <c r="AJ94">
        <v>4.63</v>
      </c>
      <c r="AK94">
        <v>1.2869999999999999</v>
      </c>
      <c r="AL94">
        <v>15.532999999999999</v>
      </c>
      <c r="AM94">
        <v>0.27800000000000002</v>
      </c>
      <c r="AN94">
        <v>4.806</v>
      </c>
      <c r="AO94">
        <v>4.6139999999999999</v>
      </c>
      <c r="AP94">
        <v>1.7999999999999999E-2</v>
      </c>
      <c r="AQ94">
        <v>14.791</v>
      </c>
      <c r="AR94">
        <v>0.26400000000000001</v>
      </c>
      <c r="AS94">
        <v>1</v>
      </c>
      <c r="AT94">
        <v>0</v>
      </c>
      <c r="AU94">
        <v>64</v>
      </c>
    </row>
    <row r="95" spans="2:47" x14ac:dyDescent="0.25">
      <c r="B95" s="9">
        <v>82</v>
      </c>
      <c r="C95" s="35">
        <v>22000</v>
      </c>
      <c r="D95" s="3"/>
      <c r="E95" s="9" t="str">
        <f t="shared" si="12"/>
        <v/>
      </c>
      <c r="F95" s="54" t="str">
        <f t="shared" si="21"/>
        <v/>
      </c>
      <c r="G95" s="73" t="str">
        <f t="shared" si="13"/>
        <v/>
      </c>
      <c r="H95" s="56" t="str">
        <f t="shared" si="14"/>
        <v/>
      </c>
      <c r="I95" s="57" t="str">
        <f t="shared" si="15"/>
        <v/>
      </c>
      <c r="J95" s="58" t="str">
        <f t="shared" si="16"/>
        <v/>
      </c>
      <c r="L95" s="31" t="str">
        <f t="shared" si="17"/>
        <v/>
      </c>
      <c r="M95" s="32" t="str">
        <f t="shared" si="22"/>
        <v/>
      </c>
      <c r="N95" s="32" t="str">
        <f t="shared" si="18"/>
        <v/>
      </c>
      <c r="O95" s="32" t="str">
        <f t="shared" si="19"/>
        <v/>
      </c>
      <c r="P95" s="32" t="str">
        <f t="shared" si="20"/>
        <v/>
      </c>
      <c r="Q95" s="33" t="str">
        <f t="shared" si="20"/>
        <v/>
      </c>
      <c r="AB95">
        <v>1</v>
      </c>
      <c r="AC95">
        <v>4</v>
      </c>
      <c r="AD95">
        <v>80</v>
      </c>
      <c r="AE95">
        <v>-5.0590000000000002</v>
      </c>
      <c r="AF95">
        <v>-8.3109999999999999</v>
      </c>
      <c r="AG95">
        <v>3.2519999999999998</v>
      </c>
      <c r="AH95">
        <v>-5.1999999999999998E-2</v>
      </c>
      <c r="AI95">
        <v>0.64700000000000002</v>
      </c>
      <c r="AJ95">
        <v>0.21199999999999999</v>
      </c>
      <c r="AK95">
        <v>6.8000000000000005E-2</v>
      </c>
      <c r="AL95">
        <v>17.869</v>
      </c>
      <c r="AM95">
        <v>0.32200000000000001</v>
      </c>
      <c r="AN95">
        <v>0.223</v>
      </c>
      <c r="AO95">
        <v>0.19900000000000001</v>
      </c>
      <c r="AP95">
        <v>0.17299999999999999</v>
      </c>
      <c r="AQ95">
        <v>6.0389999999999997</v>
      </c>
      <c r="AR95">
        <v>0.106</v>
      </c>
      <c r="AS95">
        <v>1</v>
      </c>
      <c r="AT95">
        <v>0</v>
      </c>
      <c r="AU95">
        <v>64</v>
      </c>
    </row>
    <row r="96" spans="2:47" x14ac:dyDescent="0.25">
      <c r="B96" s="9">
        <v>83</v>
      </c>
      <c r="C96" s="35">
        <v>22500</v>
      </c>
      <c r="D96" s="3"/>
      <c r="E96" s="9" t="str">
        <f t="shared" si="12"/>
        <v/>
      </c>
      <c r="F96" s="54" t="str">
        <f t="shared" si="21"/>
        <v/>
      </c>
      <c r="G96" s="73" t="str">
        <f t="shared" si="13"/>
        <v/>
      </c>
      <c r="H96" s="56" t="str">
        <f t="shared" si="14"/>
        <v/>
      </c>
      <c r="I96" s="57" t="str">
        <f t="shared" si="15"/>
        <v/>
      </c>
      <c r="J96" s="58" t="str">
        <f t="shared" si="16"/>
        <v/>
      </c>
      <c r="L96" s="31" t="str">
        <f t="shared" si="17"/>
        <v/>
      </c>
      <c r="M96" s="32" t="str">
        <f t="shared" si="22"/>
        <v/>
      </c>
      <c r="N96" s="32" t="str">
        <f t="shared" si="18"/>
        <v/>
      </c>
      <c r="O96" s="32" t="str">
        <f t="shared" si="19"/>
        <v/>
      </c>
      <c r="P96" s="32" t="str">
        <f t="shared" si="20"/>
        <v/>
      </c>
      <c r="Q96" s="33" t="str">
        <f t="shared" si="20"/>
        <v/>
      </c>
    </row>
    <row r="97" spans="2:17" x14ac:dyDescent="0.25">
      <c r="B97" s="9">
        <v>84</v>
      </c>
      <c r="C97" s="35">
        <v>23000</v>
      </c>
      <c r="D97" s="3"/>
      <c r="E97" s="9" t="str">
        <f t="shared" si="12"/>
        <v/>
      </c>
      <c r="F97" s="54" t="str">
        <f t="shared" si="21"/>
        <v/>
      </c>
      <c r="G97" s="73" t="str">
        <f t="shared" si="13"/>
        <v/>
      </c>
      <c r="H97" s="56" t="str">
        <f t="shared" si="14"/>
        <v/>
      </c>
      <c r="I97" s="57" t="str">
        <f t="shared" si="15"/>
        <v/>
      </c>
      <c r="J97" s="58" t="str">
        <f t="shared" si="16"/>
        <v/>
      </c>
      <c r="L97" s="31" t="str">
        <f t="shared" si="17"/>
        <v/>
      </c>
      <c r="M97" s="32" t="str">
        <f t="shared" si="22"/>
        <v/>
      </c>
      <c r="N97" s="32" t="str">
        <f t="shared" si="18"/>
        <v/>
      </c>
      <c r="O97" s="32" t="str">
        <f t="shared" si="19"/>
        <v/>
      </c>
      <c r="P97" s="32" t="str">
        <f t="shared" si="20"/>
        <v/>
      </c>
      <c r="Q97" s="33" t="str">
        <f t="shared" si="20"/>
        <v/>
      </c>
    </row>
    <row r="98" spans="2:17" x14ac:dyDescent="0.25">
      <c r="B98" s="9">
        <v>85</v>
      </c>
      <c r="C98" s="35">
        <v>23500</v>
      </c>
      <c r="D98" s="3"/>
      <c r="E98" s="9" t="str">
        <f t="shared" si="12"/>
        <v/>
      </c>
      <c r="F98" s="54" t="str">
        <f t="shared" si="21"/>
        <v/>
      </c>
      <c r="G98" s="73" t="str">
        <f t="shared" si="13"/>
        <v/>
      </c>
      <c r="H98" s="56" t="str">
        <f t="shared" si="14"/>
        <v/>
      </c>
      <c r="I98" s="57" t="str">
        <f t="shared" si="15"/>
        <v/>
      </c>
      <c r="J98" s="58" t="str">
        <f t="shared" si="16"/>
        <v/>
      </c>
      <c r="L98" s="31" t="str">
        <f t="shared" si="17"/>
        <v/>
      </c>
      <c r="M98" s="32" t="str">
        <f t="shared" si="22"/>
        <v/>
      </c>
      <c r="N98" s="32" t="str">
        <f t="shared" si="18"/>
        <v/>
      </c>
      <c r="O98" s="32" t="str">
        <f t="shared" si="19"/>
        <v/>
      </c>
      <c r="P98" s="32" t="str">
        <f t="shared" si="20"/>
        <v/>
      </c>
      <c r="Q98" s="33" t="str">
        <f t="shared" si="20"/>
        <v/>
      </c>
    </row>
    <row r="99" spans="2:17" x14ac:dyDescent="0.25">
      <c r="B99" s="9">
        <v>86</v>
      </c>
      <c r="C99" s="35">
        <v>24000</v>
      </c>
      <c r="D99" s="3"/>
      <c r="E99" s="9" t="str">
        <f t="shared" si="12"/>
        <v/>
      </c>
      <c r="F99" s="54" t="str">
        <f t="shared" si="21"/>
        <v/>
      </c>
      <c r="G99" s="73" t="str">
        <f t="shared" si="13"/>
        <v/>
      </c>
      <c r="H99" s="56" t="str">
        <f t="shared" si="14"/>
        <v/>
      </c>
      <c r="I99" s="57" t="str">
        <f t="shared" si="15"/>
        <v/>
      </c>
      <c r="J99" s="58" t="str">
        <f t="shared" si="16"/>
        <v/>
      </c>
      <c r="L99" s="31" t="str">
        <f t="shared" si="17"/>
        <v/>
      </c>
      <c r="M99" s="32" t="str">
        <f t="shared" si="22"/>
        <v/>
      </c>
      <c r="N99" s="32" t="str">
        <f t="shared" si="18"/>
        <v/>
      </c>
      <c r="O99" s="32" t="str">
        <f t="shared" si="19"/>
        <v/>
      </c>
      <c r="P99" s="32" t="str">
        <f t="shared" si="20"/>
        <v/>
      </c>
      <c r="Q99" s="33" t="str">
        <f t="shared" si="20"/>
        <v/>
      </c>
    </row>
    <row r="100" spans="2:17" x14ac:dyDescent="0.25">
      <c r="B100" s="9">
        <v>87</v>
      </c>
      <c r="C100" s="35">
        <v>24500</v>
      </c>
      <c r="D100" s="3"/>
      <c r="E100" s="9" t="str">
        <f t="shared" si="12"/>
        <v/>
      </c>
      <c r="F100" s="54" t="str">
        <f t="shared" si="21"/>
        <v/>
      </c>
      <c r="G100" s="73" t="str">
        <f t="shared" si="13"/>
        <v/>
      </c>
      <c r="H100" s="56" t="str">
        <f t="shared" si="14"/>
        <v/>
      </c>
      <c r="I100" s="57" t="str">
        <f t="shared" si="15"/>
        <v/>
      </c>
      <c r="J100" s="58" t="str">
        <f t="shared" si="16"/>
        <v/>
      </c>
      <c r="L100" s="31" t="str">
        <f t="shared" si="17"/>
        <v/>
      </c>
      <c r="M100" s="32" t="str">
        <f t="shared" si="22"/>
        <v/>
      </c>
      <c r="N100" s="32" t="str">
        <f t="shared" si="18"/>
        <v/>
      </c>
      <c r="O100" s="32" t="str">
        <f t="shared" si="19"/>
        <v/>
      </c>
      <c r="P100" s="32" t="str">
        <f t="shared" si="20"/>
        <v/>
      </c>
      <c r="Q100" s="33" t="str">
        <f t="shared" si="20"/>
        <v/>
      </c>
    </row>
    <row r="101" spans="2:17" x14ac:dyDescent="0.25">
      <c r="B101" s="9">
        <v>88</v>
      </c>
      <c r="C101" s="35">
        <v>25000</v>
      </c>
      <c r="D101" s="3"/>
      <c r="E101" s="9" t="str">
        <f t="shared" si="12"/>
        <v/>
      </c>
      <c r="F101" s="54" t="str">
        <f t="shared" si="21"/>
        <v/>
      </c>
      <c r="G101" s="73" t="str">
        <f t="shared" si="13"/>
        <v/>
      </c>
      <c r="H101" s="56" t="str">
        <f t="shared" si="14"/>
        <v/>
      </c>
      <c r="I101" s="57" t="str">
        <f t="shared" si="15"/>
        <v/>
      </c>
      <c r="J101" s="58" t="str">
        <f t="shared" si="16"/>
        <v/>
      </c>
      <c r="L101" s="31" t="str">
        <f t="shared" si="17"/>
        <v/>
      </c>
      <c r="M101" s="32" t="str">
        <f t="shared" si="22"/>
        <v/>
      </c>
      <c r="N101" s="32" t="str">
        <f t="shared" si="18"/>
        <v/>
      </c>
      <c r="O101" s="32" t="str">
        <f t="shared" si="19"/>
        <v/>
      </c>
      <c r="P101" s="32" t="str">
        <f t="shared" si="20"/>
        <v/>
      </c>
      <c r="Q101" s="33" t="str">
        <f t="shared" si="20"/>
        <v/>
      </c>
    </row>
    <row r="102" spans="2:17" x14ac:dyDescent="0.25">
      <c r="B102" s="9">
        <v>89</v>
      </c>
      <c r="C102" s="35">
        <v>25500</v>
      </c>
      <c r="D102" s="3"/>
      <c r="E102" s="9" t="str">
        <f t="shared" si="12"/>
        <v/>
      </c>
      <c r="F102" s="54" t="str">
        <f t="shared" si="21"/>
        <v/>
      </c>
      <c r="G102" s="73" t="str">
        <f t="shared" si="13"/>
        <v/>
      </c>
      <c r="H102" s="56" t="str">
        <f t="shared" si="14"/>
        <v/>
      </c>
      <c r="I102" s="57" t="str">
        <f t="shared" si="15"/>
        <v/>
      </c>
      <c r="J102" s="58" t="str">
        <f t="shared" si="16"/>
        <v/>
      </c>
      <c r="L102" s="31" t="str">
        <f t="shared" si="17"/>
        <v/>
      </c>
      <c r="M102" s="32" t="str">
        <f t="shared" si="22"/>
        <v/>
      </c>
      <c r="N102" s="32" t="str">
        <f t="shared" si="18"/>
        <v/>
      </c>
      <c r="O102" s="32" t="str">
        <f t="shared" si="19"/>
        <v/>
      </c>
      <c r="P102" s="32" t="str">
        <f t="shared" si="20"/>
        <v/>
      </c>
      <c r="Q102" s="33" t="str">
        <f t="shared" si="20"/>
        <v/>
      </c>
    </row>
    <row r="103" spans="2:17" x14ac:dyDescent="0.25">
      <c r="B103" s="9">
        <v>90</v>
      </c>
      <c r="C103" s="35">
        <v>26000</v>
      </c>
      <c r="D103" s="3"/>
      <c r="E103" s="9" t="str">
        <f t="shared" si="12"/>
        <v/>
      </c>
      <c r="F103" s="54" t="str">
        <f t="shared" si="21"/>
        <v/>
      </c>
      <c r="G103" s="73" t="str">
        <f t="shared" si="13"/>
        <v/>
      </c>
      <c r="H103" s="56" t="str">
        <f t="shared" si="14"/>
        <v/>
      </c>
      <c r="I103" s="57" t="str">
        <f t="shared" si="15"/>
        <v/>
      </c>
      <c r="J103" s="58" t="str">
        <f t="shared" si="16"/>
        <v/>
      </c>
      <c r="L103" s="31" t="str">
        <f t="shared" si="17"/>
        <v/>
      </c>
      <c r="M103" s="32" t="str">
        <f t="shared" si="22"/>
        <v/>
      </c>
      <c r="N103" s="32" t="str">
        <f t="shared" si="18"/>
        <v/>
      </c>
      <c r="O103" s="32" t="str">
        <f t="shared" si="19"/>
        <v/>
      </c>
      <c r="P103" s="32" t="str">
        <f t="shared" si="20"/>
        <v/>
      </c>
      <c r="Q103" s="33" t="str">
        <f t="shared" si="20"/>
        <v/>
      </c>
    </row>
    <row r="104" spans="2:17" x14ac:dyDescent="0.25">
      <c r="B104" s="9">
        <v>91</v>
      </c>
      <c r="C104" s="35">
        <v>26500</v>
      </c>
      <c r="D104" s="3"/>
      <c r="E104" s="9" t="str">
        <f t="shared" si="12"/>
        <v/>
      </c>
      <c r="F104" s="54" t="str">
        <f t="shared" si="21"/>
        <v/>
      </c>
      <c r="G104" s="73" t="str">
        <f t="shared" si="13"/>
        <v/>
      </c>
      <c r="H104" s="56" t="str">
        <f t="shared" si="14"/>
        <v/>
      </c>
      <c r="I104" s="57" t="str">
        <f t="shared" si="15"/>
        <v/>
      </c>
      <c r="J104" s="58" t="str">
        <f t="shared" si="16"/>
        <v/>
      </c>
      <c r="L104" s="31" t="str">
        <f t="shared" si="17"/>
        <v/>
      </c>
      <c r="M104" s="32" t="str">
        <f t="shared" si="22"/>
        <v/>
      </c>
      <c r="N104" s="32" t="str">
        <f t="shared" si="18"/>
        <v/>
      </c>
      <c r="O104" s="32" t="str">
        <f t="shared" si="19"/>
        <v/>
      </c>
      <c r="P104" s="32" t="str">
        <f t="shared" si="20"/>
        <v/>
      </c>
      <c r="Q104" s="33" t="str">
        <f t="shared" si="20"/>
        <v/>
      </c>
    </row>
    <row r="105" spans="2:17" x14ac:dyDescent="0.25">
      <c r="B105" s="9">
        <v>92</v>
      </c>
      <c r="C105" s="35">
        <v>27000</v>
      </c>
      <c r="D105" s="3"/>
      <c r="E105" s="9" t="str">
        <f t="shared" si="12"/>
        <v/>
      </c>
      <c r="F105" s="54" t="str">
        <f t="shared" si="21"/>
        <v/>
      </c>
      <c r="G105" s="73" t="str">
        <f t="shared" si="13"/>
        <v/>
      </c>
      <c r="H105" s="56" t="str">
        <f t="shared" si="14"/>
        <v/>
      </c>
      <c r="I105" s="57" t="str">
        <f t="shared" si="15"/>
        <v/>
      </c>
      <c r="J105" s="58" t="str">
        <f t="shared" si="16"/>
        <v/>
      </c>
      <c r="L105" s="31" t="str">
        <f t="shared" si="17"/>
        <v/>
      </c>
      <c r="M105" s="32" t="str">
        <f t="shared" si="22"/>
        <v/>
      </c>
      <c r="N105" s="32" t="str">
        <f t="shared" si="18"/>
        <v/>
      </c>
      <c r="O105" s="32" t="str">
        <f t="shared" si="19"/>
        <v/>
      </c>
      <c r="P105" s="32" t="str">
        <f t="shared" si="20"/>
        <v/>
      </c>
      <c r="Q105" s="33" t="str">
        <f t="shared" si="20"/>
        <v/>
      </c>
    </row>
    <row r="106" spans="2:17" x14ac:dyDescent="0.25">
      <c r="B106" s="9">
        <v>93</v>
      </c>
      <c r="C106" s="35">
        <v>27500</v>
      </c>
      <c r="D106" s="3"/>
      <c r="E106" s="9" t="str">
        <f t="shared" si="12"/>
        <v/>
      </c>
      <c r="F106" s="54" t="str">
        <f t="shared" si="21"/>
        <v/>
      </c>
      <c r="G106" s="73" t="str">
        <f t="shared" si="13"/>
        <v/>
      </c>
      <c r="H106" s="56" t="str">
        <f t="shared" si="14"/>
        <v/>
      </c>
      <c r="I106" s="57" t="str">
        <f t="shared" si="15"/>
        <v/>
      </c>
      <c r="J106" s="58" t="str">
        <f t="shared" si="16"/>
        <v/>
      </c>
      <c r="L106" s="31" t="str">
        <f t="shared" si="17"/>
        <v/>
      </c>
      <c r="M106" s="32" t="str">
        <f t="shared" si="22"/>
        <v/>
      </c>
      <c r="N106" s="32" t="str">
        <f t="shared" si="18"/>
        <v/>
      </c>
      <c r="O106" s="32" t="str">
        <f t="shared" si="19"/>
        <v/>
      </c>
      <c r="P106" s="32" t="str">
        <f t="shared" si="20"/>
        <v/>
      </c>
      <c r="Q106" s="33" t="str">
        <f t="shared" si="20"/>
        <v/>
      </c>
    </row>
    <row r="107" spans="2:17" x14ac:dyDescent="0.25">
      <c r="B107" s="9">
        <v>94</v>
      </c>
      <c r="C107" s="35">
        <v>28000</v>
      </c>
      <c r="D107" s="3"/>
      <c r="E107" s="9" t="str">
        <f t="shared" si="12"/>
        <v/>
      </c>
      <c r="F107" s="54" t="str">
        <f t="shared" si="21"/>
        <v/>
      </c>
      <c r="G107" s="73" t="str">
        <f t="shared" si="13"/>
        <v/>
      </c>
      <c r="H107" s="56" t="str">
        <f t="shared" si="14"/>
        <v/>
      </c>
      <c r="I107" s="57" t="str">
        <f t="shared" si="15"/>
        <v/>
      </c>
      <c r="J107" s="58" t="str">
        <f t="shared" si="16"/>
        <v/>
      </c>
      <c r="L107" s="31" t="str">
        <f t="shared" si="17"/>
        <v/>
      </c>
      <c r="M107" s="32" t="str">
        <f t="shared" si="22"/>
        <v/>
      </c>
      <c r="N107" s="32" t="str">
        <f t="shared" si="18"/>
        <v/>
      </c>
      <c r="O107" s="32" t="str">
        <f t="shared" si="19"/>
        <v/>
      </c>
      <c r="P107" s="32" t="str">
        <f t="shared" si="20"/>
        <v/>
      </c>
      <c r="Q107" s="33" t="str">
        <f t="shared" si="20"/>
        <v/>
      </c>
    </row>
    <row r="108" spans="2:17" x14ac:dyDescent="0.25">
      <c r="B108" s="9">
        <v>95</v>
      </c>
      <c r="C108" s="35">
        <v>28500</v>
      </c>
      <c r="D108" s="3"/>
      <c r="E108" s="9" t="str">
        <f t="shared" si="12"/>
        <v/>
      </c>
      <c r="F108" s="54" t="str">
        <f t="shared" si="21"/>
        <v/>
      </c>
      <c r="G108" s="73" t="str">
        <f t="shared" si="13"/>
        <v/>
      </c>
      <c r="H108" s="56" t="str">
        <f t="shared" si="14"/>
        <v/>
      </c>
      <c r="I108" s="57" t="str">
        <f t="shared" si="15"/>
        <v/>
      </c>
      <c r="J108" s="58" t="str">
        <f t="shared" si="16"/>
        <v/>
      </c>
      <c r="L108" s="31" t="str">
        <f t="shared" si="17"/>
        <v/>
      </c>
      <c r="M108" s="32" t="str">
        <f t="shared" si="22"/>
        <v/>
      </c>
      <c r="N108" s="32" t="str">
        <f t="shared" si="18"/>
        <v/>
      </c>
      <c r="O108" s="32" t="str">
        <f t="shared" si="19"/>
        <v/>
      </c>
      <c r="P108" s="32" t="str">
        <f t="shared" si="20"/>
        <v/>
      </c>
      <c r="Q108" s="33" t="str">
        <f t="shared" si="20"/>
        <v/>
      </c>
    </row>
    <row r="109" spans="2:17" x14ac:dyDescent="0.25">
      <c r="B109" s="9">
        <v>96</v>
      </c>
      <c r="C109" s="35">
        <v>29000</v>
      </c>
      <c r="D109" s="3"/>
      <c r="E109" s="9" t="str">
        <f t="shared" si="12"/>
        <v/>
      </c>
      <c r="F109" s="54" t="str">
        <f t="shared" si="21"/>
        <v/>
      </c>
      <c r="G109" s="73" t="str">
        <f t="shared" si="13"/>
        <v/>
      </c>
      <c r="H109" s="56" t="str">
        <f t="shared" si="14"/>
        <v/>
      </c>
      <c r="I109" s="57" t="str">
        <f t="shared" si="15"/>
        <v/>
      </c>
      <c r="J109" s="58" t="str">
        <f t="shared" si="16"/>
        <v/>
      </c>
      <c r="L109" s="31" t="str">
        <f t="shared" si="17"/>
        <v/>
      </c>
      <c r="M109" s="32" t="str">
        <f t="shared" si="22"/>
        <v/>
      </c>
      <c r="N109" s="32" t="str">
        <f t="shared" si="18"/>
        <v/>
      </c>
      <c r="O109" s="32" t="str">
        <f t="shared" si="19"/>
        <v/>
      </c>
      <c r="P109" s="32" t="str">
        <f t="shared" si="20"/>
        <v/>
      </c>
      <c r="Q109" s="33" t="str">
        <f t="shared" si="20"/>
        <v/>
      </c>
    </row>
    <row r="110" spans="2:17" x14ac:dyDescent="0.25">
      <c r="B110" s="9">
        <v>97</v>
      </c>
      <c r="C110" s="35">
        <v>29500</v>
      </c>
      <c r="D110" s="3"/>
      <c r="E110" s="9" t="str">
        <f t="shared" si="12"/>
        <v/>
      </c>
      <c r="F110" s="54" t="str">
        <f t="shared" si="21"/>
        <v/>
      </c>
      <c r="G110" s="73" t="str">
        <f t="shared" si="13"/>
        <v/>
      </c>
      <c r="H110" s="56" t="str">
        <f t="shared" si="14"/>
        <v/>
      </c>
      <c r="I110" s="57" t="str">
        <f t="shared" si="15"/>
        <v/>
      </c>
      <c r="J110" s="58" t="str">
        <f t="shared" si="16"/>
        <v/>
      </c>
      <c r="L110" s="31" t="str">
        <f t="shared" si="17"/>
        <v/>
      </c>
      <c r="M110" s="32" t="str">
        <f t="shared" si="22"/>
        <v/>
      </c>
      <c r="N110" s="32" t="str">
        <f t="shared" si="18"/>
        <v/>
      </c>
      <c r="O110" s="32" t="str">
        <f t="shared" si="19"/>
        <v/>
      </c>
      <c r="P110" s="32" t="str">
        <f t="shared" ref="P110:Q141" si="23">IF(AJ112="","",AJ112)</f>
        <v/>
      </c>
      <c r="Q110" s="33" t="str">
        <f t="shared" si="23"/>
        <v/>
      </c>
    </row>
    <row r="111" spans="2:17" x14ac:dyDescent="0.25">
      <c r="B111" s="9">
        <v>98</v>
      </c>
      <c r="C111" s="35">
        <v>30000</v>
      </c>
      <c r="D111" s="3"/>
      <c r="E111" s="9" t="str">
        <f t="shared" si="12"/>
        <v/>
      </c>
      <c r="F111" s="54" t="str">
        <f t="shared" si="21"/>
        <v/>
      </c>
      <c r="G111" s="73" t="str">
        <f t="shared" si="13"/>
        <v/>
      </c>
      <c r="H111" s="56" t="str">
        <f t="shared" si="14"/>
        <v/>
      </c>
      <c r="I111" s="57" t="str">
        <f t="shared" si="15"/>
        <v/>
      </c>
      <c r="J111" s="58" t="str">
        <f t="shared" si="16"/>
        <v/>
      </c>
      <c r="L111" s="31" t="str">
        <f t="shared" si="17"/>
        <v/>
      </c>
      <c r="M111" s="32" t="str">
        <f t="shared" si="22"/>
        <v/>
      </c>
      <c r="N111" s="32" t="str">
        <f t="shared" si="18"/>
        <v/>
      </c>
      <c r="O111" s="32" t="str">
        <f t="shared" si="19"/>
        <v/>
      </c>
      <c r="P111" s="32" t="str">
        <f t="shared" si="23"/>
        <v/>
      </c>
      <c r="Q111" s="33" t="str">
        <f t="shared" si="23"/>
        <v/>
      </c>
    </row>
    <row r="112" spans="2:17" x14ac:dyDescent="0.25">
      <c r="B112" s="9">
        <v>99</v>
      </c>
      <c r="C112" s="35">
        <v>30500</v>
      </c>
      <c r="D112" s="3"/>
      <c r="E112" s="9" t="str">
        <f t="shared" si="12"/>
        <v/>
      </c>
      <c r="F112" s="54" t="str">
        <f t="shared" si="21"/>
        <v/>
      </c>
      <c r="G112" s="73" t="str">
        <f t="shared" si="13"/>
        <v/>
      </c>
      <c r="H112" s="56" t="str">
        <f t="shared" si="14"/>
        <v/>
      </c>
      <c r="I112" s="57" t="str">
        <f t="shared" si="15"/>
        <v/>
      </c>
      <c r="J112" s="58" t="str">
        <f t="shared" si="16"/>
        <v/>
      </c>
      <c r="L112" s="31" t="str">
        <f t="shared" si="17"/>
        <v/>
      </c>
      <c r="M112" s="32" t="str">
        <f t="shared" si="22"/>
        <v/>
      </c>
      <c r="N112" s="32" t="str">
        <f t="shared" si="18"/>
        <v/>
      </c>
      <c r="O112" s="32" t="str">
        <f t="shared" si="19"/>
        <v/>
      </c>
      <c r="P112" s="32" t="str">
        <f t="shared" si="23"/>
        <v/>
      </c>
      <c r="Q112" s="33" t="str">
        <f t="shared" si="23"/>
        <v/>
      </c>
    </row>
    <row r="113" spans="2:17" x14ac:dyDescent="0.25">
      <c r="B113" s="9">
        <v>100</v>
      </c>
      <c r="C113" s="35">
        <v>31000</v>
      </c>
      <c r="D113" s="3"/>
      <c r="E113" s="9" t="str">
        <f t="shared" si="12"/>
        <v/>
      </c>
      <c r="F113" s="54" t="str">
        <f t="shared" si="21"/>
        <v/>
      </c>
      <c r="G113" s="73" t="str">
        <f t="shared" si="13"/>
        <v/>
      </c>
      <c r="H113" s="56" t="str">
        <f t="shared" si="14"/>
        <v/>
      </c>
      <c r="I113" s="57" t="str">
        <f t="shared" si="15"/>
        <v/>
      </c>
      <c r="J113" s="58" t="str">
        <f t="shared" si="16"/>
        <v/>
      </c>
      <c r="L113" s="31" t="str">
        <f t="shared" si="17"/>
        <v/>
      </c>
      <c r="M113" s="32" t="str">
        <f t="shared" si="22"/>
        <v/>
      </c>
      <c r="N113" s="32" t="str">
        <f t="shared" si="18"/>
        <v/>
      </c>
      <c r="O113" s="32" t="str">
        <f t="shared" si="19"/>
        <v/>
      </c>
      <c r="P113" s="32" t="str">
        <f t="shared" si="23"/>
        <v/>
      </c>
      <c r="Q113" s="33" t="str">
        <f t="shared" si="23"/>
        <v/>
      </c>
    </row>
    <row r="114" spans="2:17" x14ac:dyDescent="0.25">
      <c r="B114" s="9">
        <v>101</v>
      </c>
      <c r="C114" s="35">
        <v>31500</v>
      </c>
      <c r="D114" s="3"/>
      <c r="E114" s="9" t="str">
        <f t="shared" si="12"/>
        <v/>
      </c>
      <c r="F114" s="54" t="str">
        <f t="shared" si="21"/>
        <v/>
      </c>
      <c r="G114" s="73" t="str">
        <f t="shared" si="13"/>
        <v/>
      </c>
      <c r="H114" s="56" t="str">
        <f t="shared" si="14"/>
        <v/>
      </c>
      <c r="I114" s="57" t="str">
        <f t="shared" si="15"/>
        <v/>
      </c>
      <c r="J114" s="58" t="str">
        <f t="shared" si="16"/>
        <v/>
      </c>
      <c r="L114" s="31" t="str">
        <f t="shared" si="17"/>
        <v/>
      </c>
      <c r="M114" s="32" t="str">
        <f t="shared" si="22"/>
        <v/>
      </c>
      <c r="N114" s="32" t="str">
        <f t="shared" si="18"/>
        <v/>
      </c>
      <c r="O114" s="32" t="str">
        <f t="shared" si="19"/>
        <v/>
      </c>
      <c r="P114" s="32" t="str">
        <f t="shared" si="23"/>
        <v/>
      </c>
      <c r="Q114" s="33" t="str">
        <f t="shared" si="23"/>
        <v/>
      </c>
    </row>
    <row r="115" spans="2:17" x14ac:dyDescent="0.25">
      <c r="B115" s="9">
        <v>102</v>
      </c>
      <c r="C115" s="35">
        <v>32000</v>
      </c>
      <c r="D115" s="3"/>
      <c r="E115" s="9" t="str">
        <f t="shared" si="12"/>
        <v/>
      </c>
      <c r="F115" s="54" t="str">
        <f t="shared" si="21"/>
        <v/>
      </c>
      <c r="G115" s="73" t="str">
        <f t="shared" si="13"/>
        <v/>
      </c>
      <c r="H115" s="56" t="str">
        <f t="shared" si="14"/>
        <v/>
      </c>
      <c r="I115" s="57" t="str">
        <f t="shared" si="15"/>
        <v/>
      </c>
      <c r="J115" s="58" t="str">
        <f t="shared" si="16"/>
        <v/>
      </c>
      <c r="L115" s="31" t="str">
        <f t="shared" si="17"/>
        <v/>
      </c>
      <c r="M115" s="32" t="str">
        <f t="shared" si="22"/>
        <v/>
      </c>
      <c r="N115" s="32" t="str">
        <f t="shared" si="18"/>
        <v/>
      </c>
      <c r="O115" s="32" t="str">
        <f t="shared" si="19"/>
        <v/>
      </c>
      <c r="P115" s="32" t="str">
        <f t="shared" si="23"/>
        <v/>
      </c>
      <c r="Q115" s="33" t="str">
        <f t="shared" si="23"/>
        <v/>
      </c>
    </row>
    <row r="116" spans="2:17" x14ac:dyDescent="0.25">
      <c r="B116" s="9">
        <v>103</v>
      </c>
      <c r="C116" s="35">
        <v>32500</v>
      </c>
      <c r="D116" s="3"/>
      <c r="E116" s="9" t="str">
        <f t="shared" si="12"/>
        <v/>
      </c>
      <c r="F116" s="54" t="str">
        <f t="shared" si="21"/>
        <v/>
      </c>
      <c r="G116" s="73" t="str">
        <f t="shared" si="13"/>
        <v/>
      </c>
      <c r="H116" s="56" t="str">
        <f t="shared" si="14"/>
        <v/>
      </c>
      <c r="I116" s="57" t="str">
        <f t="shared" si="15"/>
        <v/>
      </c>
      <c r="J116" s="58" t="str">
        <f t="shared" si="16"/>
        <v/>
      </c>
      <c r="L116" s="31" t="str">
        <f t="shared" si="17"/>
        <v/>
      </c>
      <c r="M116" s="32" t="str">
        <f t="shared" si="22"/>
        <v/>
      </c>
      <c r="N116" s="32" t="str">
        <f t="shared" si="18"/>
        <v/>
      </c>
      <c r="O116" s="32" t="str">
        <f t="shared" si="19"/>
        <v/>
      </c>
      <c r="P116" s="32" t="str">
        <f t="shared" si="23"/>
        <v/>
      </c>
      <c r="Q116" s="33" t="str">
        <f t="shared" si="23"/>
        <v/>
      </c>
    </row>
    <row r="117" spans="2:17" x14ac:dyDescent="0.25">
      <c r="B117" s="9">
        <v>104</v>
      </c>
      <c r="C117" s="35">
        <v>33000</v>
      </c>
      <c r="D117" s="3"/>
      <c r="E117" s="9" t="str">
        <f t="shared" si="12"/>
        <v/>
      </c>
      <c r="F117" s="54" t="str">
        <f t="shared" si="21"/>
        <v/>
      </c>
      <c r="G117" s="73" t="str">
        <f t="shared" si="13"/>
        <v/>
      </c>
      <c r="H117" s="56" t="str">
        <f t="shared" si="14"/>
        <v/>
      </c>
      <c r="I117" s="57" t="str">
        <f t="shared" si="15"/>
        <v/>
      </c>
      <c r="J117" s="58" t="str">
        <f t="shared" si="16"/>
        <v/>
      </c>
      <c r="L117" s="31" t="str">
        <f t="shared" si="17"/>
        <v/>
      </c>
      <c r="M117" s="32" t="str">
        <f t="shared" si="22"/>
        <v/>
      </c>
      <c r="N117" s="32" t="str">
        <f t="shared" si="18"/>
        <v/>
      </c>
      <c r="O117" s="32" t="str">
        <f t="shared" si="19"/>
        <v/>
      </c>
      <c r="P117" s="32" t="str">
        <f t="shared" si="23"/>
        <v/>
      </c>
      <c r="Q117" s="33" t="str">
        <f t="shared" si="23"/>
        <v/>
      </c>
    </row>
    <row r="118" spans="2:17" x14ac:dyDescent="0.25">
      <c r="B118" s="9">
        <v>105</v>
      </c>
      <c r="C118" s="35">
        <v>33500</v>
      </c>
      <c r="D118" s="3"/>
      <c r="E118" s="9" t="str">
        <f t="shared" si="12"/>
        <v/>
      </c>
      <c r="F118" s="54" t="str">
        <f t="shared" si="21"/>
        <v/>
      </c>
      <c r="G118" s="73" t="str">
        <f t="shared" si="13"/>
        <v/>
      </c>
      <c r="H118" s="56" t="str">
        <f t="shared" si="14"/>
        <v/>
      </c>
      <c r="I118" s="57" t="str">
        <f t="shared" si="15"/>
        <v/>
      </c>
      <c r="J118" s="58" t="str">
        <f t="shared" si="16"/>
        <v/>
      </c>
      <c r="L118" s="31" t="str">
        <f t="shared" si="17"/>
        <v/>
      </c>
      <c r="M118" s="32" t="str">
        <f t="shared" si="22"/>
        <v/>
      </c>
      <c r="N118" s="32" t="str">
        <f t="shared" si="18"/>
        <v/>
      </c>
      <c r="O118" s="32" t="str">
        <f t="shared" si="19"/>
        <v/>
      </c>
      <c r="P118" s="32" t="str">
        <f t="shared" si="23"/>
        <v/>
      </c>
      <c r="Q118" s="33" t="str">
        <f t="shared" si="23"/>
        <v/>
      </c>
    </row>
    <row r="119" spans="2:17" x14ac:dyDescent="0.25">
      <c r="B119" s="9">
        <v>106</v>
      </c>
      <c r="C119" s="35">
        <v>34000</v>
      </c>
      <c r="D119" s="3"/>
      <c r="E119" s="9" t="str">
        <f t="shared" si="12"/>
        <v/>
      </c>
      <c r="F119" s="54" t="str">
        <f t="shared" si="21"/>
        <v/>
      </c>
      <c r="G119" s="73" t="str">
        <f t="shared" si="13"/>
        <v/>
      </c>
      <c r="H119" s="56" t="str">
        <f t="shared" si="14"/>
        <v/>
      </c>
      <c r="I119" s="57" t="str">
        <f t="shared" si="15"/>
        <v/>
      </c>
      <c r="J119" s="58" t="str">
        <f t="shared" si="16"/>
        <v/>
      </c>
      <c r="L119" s="31" t="str">
        <f t="shared" si="17"/>
        <v/>
      </c>
      <c r="M119" s="32" t="str">
        <f t="shared" si="22"/>
        <v/>
      </c>
      <c r="N119" s="32" t="str">
        <f t="shared" si="18"/>
        <v/>
      </c>
      <c r="O119" s="32" t="str">
        <f t="shared" si="19"/>
        <v/>
      </c>
      <c r="P119" s="32" t="str">
        <f t="shared" si="23"/>
        <v/>
      </c>
      <c r="Q119" s="33" t="str">
        <f t="shared" si="23"/>
        <v/>
      </c>
    </row>
    <row r="120" spans="2:17" x14ac:dyDescent="0.25">
      <c r="B120" s="9">
        <v>107</v>
      </c>
      <c r="C120" s="35">
        <v>34500</v>
      </c>
      <c r="D120" s="3"/>
      <c r="E120" s="9" t="str">
        <f t="shared" si="12"/>
        <v/>
      </c>
      <c r="F120" s="54" t="str">
        <f t="shared" si="21"/>
        <v/>
      </c>
      <c r="G120" s="73" t="str">
        <f t="shared" si="13"/>
        <v/>
      </c>
      <c r="H120" s="56" t="str">
        <f t="shared" si="14"/>
        <v/>
      </c>
      <c r="I120" s="57" t="str">
        <f t="shared" si="15"/>
        <v/>
      </c>
      <c r="J120" s="58" t="str">
        <f t="shared" si="16"/>
        <v/>
      </c>
      <c r="L120" s="31" t="str">
        <f t="shared" si="17"/>
        <v/>
      </c>
      <c r="M120" s="32" t="str">
        <f t="shared" si="22"/>
        <v/>
      </c>
      <c r="N120" s="32" t="str">
        <f t="shared" si="18"/>
        <v/>
      </c>
      <c r="O120" s="32" t="str">
        <f t="shared" si="19"/>
        <v/>
      </c>
      <c r="P120" s="32" t="str">
        <f t="shared" si="23"/>
        <v/>
      </c>
      <c r="Q120" s="33" t="str">
        <f t="shared" si="23"/>
        <v/>
      </c>
    </row>
    <row r="121" spans="2:17" x14ac:dyDescent="0.25">
      <c r="B121" s="9">
        <v>108</v>
      </c>
      <c r="C121" s="35">
        <v>35000</v>
      </c>
      <c r="D121" s="3"/>
      <c r="E121" s="9" t="str">
        <f t="shared" si="12"/>
        <v/>
      </c>
      <c r="F121" s="54" t="str">
        <f t="shared" si="21"/>
        <v/>
      </c>
      <c r="G121" s="73" t="str">
        <f t="shared" si="13"/>
        <v/>
      </c>
      <c r="H121" s="56" t="str">
        <f t="shared" si="14"/>
        <v/>
      </c>
      <c r="I121" s="57" t="str">
        <f t="shared" si="15"/>
        <v/>
      </c>
      <c r="J121" s="58" t="str">
        <f t="shared" si="16"/>
        <v/>
      </c>
      <c r="L121" s="31" t="str">
        <f t="shared" si="17"/>
        <v/>
      </c>
      <c r="M121" s="32" t="str">
        <f t="shared" si="22"/>
        <v/>
      </c>
      <c r="N121" s="32" t="str">
        <f t="shared" si="18"/>
        <v/>
      </c>
      <c r="O121" s="32" t="str">
        <f t="shared" si="19"/>
        <v/>
      </c>
      <c r="P121" s="32" t="str">
        <f t="shared" si="23"/>
        <v/>
      </c>
      <c r="Q121" s="33" t="str">
        <f t="shared" si="23"/>
        <v/>
      </c>
    </row>
    <row r="122" spans="2:17" x14ac:dyDescent="0.25">
      <c r="B122" s="9">
        <v>109</v>
      </c>
      <c r="C122" s="35">
        <v>35500</v>
      </c>
      <c r="D122" s="3"/>
      <c r="E122" s="9" t="str">
        <f t="shared" si="12"/>
        <v/>
      </c>
      <c r="F122" s="54" t="str">
        <f t="shared" si="21"/>
        <v/>
      </c>
      <c r="G122" s="73" t="str">
        <f t="shared" si="13"/>
        <v/>
      </c>
      <c r="H122" s="56" t="str">
        <f t="shared" si="14"/>
        <v/>
      </c>
      <c r="I122" s="57" t="str">
        <f t="shared" si="15"/>
        <v/>
      </c>
      <c r="J122" s="58" t="str">
        <f t="shared" si="16"/>
        <v/>
      </c>
      <c r="L122" s="31" t="str">
        <f t="shared" si="17"/>
        <v/>
      </c>
      <c r="M122" s="32" t="str">
        <f t="shared" si="22"/>
        <v/>
      </c>
      <c r="N122" s="32" t="str">
        <f t="shared" si="18"/>
        <v/>
      </c>
      <c r="O122" s="32" t="str">
        <f t="shared" si="19"/>
        <v/>
      </c>
      <c r="P122" s="32" t="str">
        <f t="shared" si="23"/>
        <v/>
      </c>
      <c r="Q122" s="33" t="str">
        <f t="shared" si="23"/>
        <v/>
      </c>
    </row>
    <row r="123" spans="2:17" x14ac:dyDescent="0.25">
      <c r="B123" s="9">
        <v>110</v>
      </c>
      <c r="C123" s="35">
        <v>36000</v>
      </c>
      <c r="D123" s="3"/>
      <c r="E123" s="9" t="str">
        <f t="shared" si="12"/>
        <v/>
      </c>
      <c r="F123" s="54" t="str">
        <f t="shared" si="21"/>
        <v/>
      </c>
      <c r="G123" s="73" t="str">
        <f t="shared" si="13"/>
        <v/>
      </c>
      <c r="H123" s="56" t="str">
        <f t="shared" si="14"/>
        <v/>
      </c>
      <c r="I123" s="57" t="str">
        <f t="shared" si="15"/>
        <v/>
      </c>
      <c r="J123" s="58" t="str">
        <f t="shared" si="16"/>
        <v/>
      </c>
      <c r="L123" s="31" t="str">
        <f t="shared" si="17"/>
        <v/>
      </c>
      <c r="M123" s="32" t="str">
        <f t="shared" si="22"/>
        <v/>
      </c>
      <c r="N123" s="32" t="str">
        <f t="shared" si="18"/>
        <v/>
      </c>
      <c r="O123" s="32" t="str">
        <f t="shared" si="19"/>
        <v/>
      </c>
      <c r="P123" s="32" t="str">
        <f t="shared" si="23"/>
        <v/>
      </c>
      <c r="Q123" s="33" t="str">
        <f t="shared" si="23"/>
        <v/>
      </c>
    </row>
    <row r="124" spans="2:17" x14ac:dyDescent="0.25">
      <c r="B124" s="9">
        <v>111</v>
      </c>
      <c r="C124" s="35">
        <v>36500</v>
      </c>
      <c r="D124" s="3"/>
      <c r="E124" s="9" t="str">
        <f t="shared" si="12"/>
        <v/>
      </c>
      <c r="F124" s="54" t="str">
        <f t="shared" si="21"/>
        <v/>
      </c>
      <c r="G124" s="73" t="str">
        <f t="shared" si="13"/>
        <v/>
      </c>
      <c r="H124" s="56" t="str">
        <f t="shared" si="14"/>
        <v/>
      </c>
      <c r="I124" s="57" t="str">
        <f t="shared" si="15"/>
        <v/>
      </c>
      <c r="J124" s="58" t="str">
        <f t="shared" si="16"/>
        <v/>
      </c>
      <c r="L124" s="31" t="str">
        <f t="shared" si="17"/>
        <v/>
      </c>
      <c r="M124" s="32" t="str">
        <f t="shared" si="22"/>
        <v/>
      </c>
      <c r="N124" s="32" t="str">
        <f t="shared" si="18"/>
        <v/>
      </c>
      <c r="O124" s="32" t="str">
        <f t="shared" si="19"/>
        <v/>
      </c>
      <c r="P124" s="32" t="str">
        <f t="shared" si="23"/>
        <v/>
      </c>
      <c r="Q124" s="33" t="str">
        <f t="shared" si="23"/>
        <v/>
      </c>
    </row>
    <row r="125" spans="2:17" x14ac:dyDescent="0.25">
      <c r="B125" s="9">
        <v>112</v>
      </c>
      <c r="C125" s="35">
        <v>37000</v>
      </c>
      <c r="D125" s="3"/>
      <c r="E125" s="9" t="str">
        <f t="shared" si="12"/>
        <v/>
      </c>
      <c r="F125" s="54" t="str">
        <f t="shared" si="21"/>
        <v/>
      </c>
      <c r="G125" s="73" t="str">
        <f t="shared" si="13"/>
        <v/>
      </c>
      <c r="H125" s="56" t="str">
        <f t="shared" si="14"/>
        <v/>
      </c>
      <c r="I125" s="57" t="str">
        <f t="shared" si="15"/>
        <v/>
      </c>
      <c r="J125" s="58" t="str">
        <f t="shared" si="16"/>
        <v/>
      </c>
      <c r="L125" s="31" t="str">
        <f t="shared" si="17"/>
        <v/>
      </c>
      <c r="M125" s="32" t="str">
        <f t="shared" si="22"/>
        <v/>
      </c>
      <c r="N125" s="32" t="str">
        <f t="shared" si="18"/>
        <v/>
      </c>
      <c r="O125" s="32" t="str">
        <f t="shared" si="19"/>
        <v/>
      </c>
      <c r="P125" s="32" t="str">
        <f t="shared" si="23"/>
        <v/>
      </c>
      <c r="Q125" s="33" t="str">
        <f t="shared" si="23"/>
        <v/>
      </c>
    </row>
    <row r="126" spans="2:17" x14ac:dyDescent="0.25">
      <c r="B126" s="9">
        <v>113</v>
      </c>
      <c r="C126" s="35">
        <v>37500</v>
      </c>
      <c r="D126" s="3"/>
      <c r="E126" s="9" t="str">
        <f t="shared" si="12"/>
        <v/>
      </c>
      <c r="F126" s="54" t="str">
        <f t="shared" si="21"/>
        <v/>
      </c>
      <c r="G126" s="73" t="str">
        <f t="shared" si="13"/>
        <v/>
      </c>
      <c r="H126" s="56" t="str">
        <f t="shared" si="14"/>
        <v/>
      </c>
      <c r="I126" s="57" t="str">
        <f t="shared" si="15"/>
        <v/>
      </c>
      <c r="J126" s="58" t="str">
        <f t="shared" si="16"/>
        <v/>
      </c>
      <c r="L126" s="31" t="str">
        <f t="shared" si="17"/>
        <v/>
      </c>
      <c r="M126" s="32" t="str">
        <f t="shared" si="22"/>
        <v/>
      </c>
      <c r="N126" s="32" t="str">
        <f t="shared" si="18"/>
        <v/>
      </c>
      <c r="O126" s="32" t="str">
        <f t="shared" si="19"/>
        <v/>
      </c>
      <c r="P126" s="32" t="str">
        <f t="shared" si="23"/>
        <v/>
      </c>
      <c r="Q126" s="33" t="str">
        <f t="shared" si="23"/>
        <v/>
      </c>
    </row>
    <row r="127" spans="2:17" x14ac:dyDescent="0.25">
      <c r="B127" s="9">
        <v>114</v>
      </c>
      <c r="C127" s="35">
        <v>38000</v>
      </c>
      <c r="D127" s="3"/>
      <c r="E127" s="9" t="str">
        <f t="shared" si="12"/>
        <v/>
      </c>
      <c r="F127" s="54" t="str">
        <f t="shared" si="21"/>
        <v/>
      </c>
      <c r="G127" s="73" t="str">
        <f t="shared" si="13"/>
        <v/>
      </c>
      <c r="H127" s="56" t="str">
        <f t="shared" si="14"/>
        <v/>
      </c>
      <c r="I127" s="57" t="str">
        <f t="shared" si="15"/>
        <v/>
      </c>
      <c r="J127" s="58" t="str">
        <f t="shared" si="16"/>
        <v/>
      </c>
      <c r="L127" s="31" t="str">
        <f t="shared" si="17"/>
        <v/>
      </c>
      <c r="M127" s="32" t="str">
        <f t="shared" si="22"/>
        <v/>
      </c>
      <c r="N127" s="32" t="str">
        <f t="shared" si="18"/>
        <v/>
      </c>
      <c r="O127" s="32" t="str">
        <f t="shared" si="19"/>
        <v/>
      </c>
      <c r="P127" s="32" t="str">
        <f t="shared" si="23"/>
        <v/>
      </c>
      <c r="Q127" s="33" t="str">
        <f t="shared" si="23"/>
        <v/>
      </c>
    </row>
    <row r="128" spans="2:17" x14ac:dyDescent="0.25">
      <c r="B128" s="9">
        <v>115</v>
      </c>
      <c r="C128" s="35">
        <v>38500</v>
      </c>
      <c r="D128" s="3"/>
      <c r="E128" s="9" t="str">
        <f t="shared" si="12"/>
        <v/>
      </c>
      <c r="F128" s="54" t="str">
        <f t="shared" si="21"/>
        <v/>
      </c>
      <c r="G128" s="73" t="str">
        <f t="shared" si="13"/>
        <v/>
      </c>
      <c r="H128" s="56" t="str">
        <f t="shared" si="14"/>
        <v/>
      </c>
      <c r="I128" s="57" t="str">
        <f t="shared" si="15"/>
        <v/>
      </c>
      <c r="J128" s="58" t="str">
        <f t="shared" si="16"/>
        <v/>
      </c>
      <c r="L128" s="31" t="str">
        <f t="shared" si="17"/>
        <v/>
      </c>
      <c r="M128" s="32" t="str">
        <f t="shared" si="22"/>
        <v/>
      </c>
      <c r="N128" s="32" t="str">
        <f t="shared" si="18"/>
        <v/>
      </c>
      <c r="O128" s="32" t="str">
        <f t="shared" si="19"/>
        <v/>
      </c>
      <c r="P128" s="32" t="str">
        <f t="shared" si="23"/>
        <v/>
      </c>
      <c r="Q128" s="33" t="str">
        <f t="shared" si="23"/>
        <v/>
      </c>
    </row>
    <row r="129" spans="2:17" x14ac:dyDescent="0.25">
      <c r="B129" s="9">
        <v>116</v>
      </c>
      <c r="C129" s="35">
        <v>39000</v>
      </c>
      <c r="D129" s="3"/>
      <c r="E129" s="9" t="str">
        <f t="shared" si="12"/>
        <v/>
      </c>
      <c r="F129" s="54" t="str">
        <f t="shared" si="21"/>
        <v/>
      </c>
      <c r="G129" s="73" t="str">
        <f t="shared" si="13"/>
        <v/>
      </c>
      <c r="H129" s="56" t="str">
        <f t="shared" si="14"/>
        <v/>
      </c>
      <c r="I129" s="57" t="str">
        <f t="shared" si="15"/>
        <v/>
      </c>
      <c r="J129" s="58" t="str">
        <f t="shared" si="16"/>
        <v/>
      </c>
      <c r="L129" s="31" t="str">
        <f t="shared" si="17"/>
        <v/>
      </c>
      <c r="M129" s="32" t="str">
        <f t="shared" si="22"/>
        <v/>
      </c>
      <c r="N129" s="32" t="str">
        <f t="shared" si="18"/>
        <v/>
      </c>
      <c r="O129" s="32" t="str">
        <f t="shared" si="19"/>
        <v/>
      </c>
      <c r="P129" s="32" t="str">
        <f t="shared" si="23"/>
        <v/>
      </c>
      <c r="Q129" s="33" t="str">
        <f t="shared" si="23"/>
        <v/>
      </c>
    </row>
    <row r="130" spans="2:17" x14ac:dyDescent="0.25">
      <c r="B130" s="9">
        <v>117</v>
      </c>
      <c r="C130" s="35">
        <v>39500</v>
      </c>
      <c r="D130" s="3"/>
      <c r="E130" s="9" t="str">
        <f t="shared" si="12"/>
        <v/>
      </c>
      <c r="F130" s="54" t="str">
        <f t="shared" si="21"/>
        <v/>
      </c>
      <c r="G130" s="73" t="str">
        <f t="shared" si="13"/>
        <v/>
      </c>
      <c r="H130" s="56" t="str">
        <f t="shared" si="14"/>
        <v/>
      </c>
      <c r="I130" s="57" t="str">
        <f t="shared" si="15"/>
        <v/>
      </c>
      <c r="J130" s="58" t="str">
        <f t="shared" si="16"/>
        <v/>
      </c>
      <c r="L130" s="31" t="str">
        <f t="shared" si="17"/>
        <v/>
      </c>
      <c r="M130" s="32" t="str">
        <f t="shared" si="22"/>
        <v/>
      </c>
      <c r="N130" s="32" t="str">
        <f t="shared" si="18"/>
        <v/>
      </c>
      <c r="O130" s="32" t="str">
        <f t="shared" si="19"/>
        <v/>
      </c>
      <c r="P130" s="32" t="str">
        <f t="shared" si="23"/>
        <v/>
      </c>
      <c r="Q130" s="33" t="str">
        <f t="shared" si="23"/>
        <v/>
      </c>
    </row>
    <row r="131" spans="2:17" x14ac:dyDescent="0.25">
      <c r="B131" s="9">
        <v>118</v>
      </c>
      <c r="C131" s="35">
        <v>40000</v>
      </c>
      <c r="D131" s="3"/>
      <c r="E131" s="9" t="str">
        <f t="shared" si="12"/>
        <v/>
      </c>
      <c r="F131" s="54" t="str">
        <f t="shared" si="21"/>
        <v/>
      </c>
      <c r="G131" s="73" t="str">
        <f t="shared" si="13"/>
        <v/>
      </c>
      <c r="H131" s="56" t="str">
        <f t="shared" si="14"/>
        <v/>
      </c>
      <c r="I131" s="57" t="str">
        <f t="shared" si="15"/>
        <v/>
      </c>
      <c r="J131" s="58" t="str">
        <f t="shared" si="16"/>
        <v/>
      </c>
      <c r="L131" s="31" t="str">
        <f t="shared" si="17"/>
        <v/>
      </c>
      <c r="M131" s="32" t="str">
        <f t="shared" si="22"/>
        <v/>
      </c>
      <c r="N131" s="32" t="str">
        <f t="shared" si="18"/>
        <v/>
      </c>
      <c r="O131" s="32" t="str">
        <f t="shared" si="19"/>
        <v/>
      </c>
      <c r="P131" s="32" t="str">
        <f t="shared" si="23"/>
        <v/>
      </c>
      <c r="Q131" s="33" t="str">
        <f t="shared" si="23"/>
        <v/>
      </c>
    </row>
    <row r="132" spans="2:17" x14ac:dyDescent="0.25">
      <c r="B132" s="9">
        <v>119</v>
      </c>
      <c r="C132" s="35">
        <v>40500</v>
      </c>
      <c r="D132" s="3"/>
      <c r="E132" s="9" t="str">
        <f t="shared" si="12"/>
        <v/>
      </c>
      <c r="F132" s="54" t="str">
        <f t="shared" si="21"/>
        <v/>
      </c>
      <c r="G132" s="73" t="str">
        <f t="shared" si="13"/>
        <v/>
      </c>
      <c r="H132" s="56" t="str">
        <f t="shared" si="14"/>
        <v/>
      </c>
      <c r="I132" s="57" t="str">
        <f t="shared" si="15"/>
        <v/>
      </c>
      <c r="J132" s="58" t="str">
        <f t="shared" si="16"/>
        <v/>
      </c>
      <c r="L132" s="31" t="str">
        <f t="shared" si="17"/>
        <v/>
      </c>
      <c r="M132" s="32" t="str">
        <f t="shared" si="22"/>
        <v/>
      </c>
      <c r="N132" s="32" t="str">
        <f t="shared" si="18"/>
        <v/>
      </c>
      <c r="O132" s="32" t="str">
        <f t="shared" si="19"/>
        <v/>
      </c>
      <c r="P132" s="32" t="str">
        <f t="shared" si="23"/>
        <v/>
      </c>
      <c r="Q132" s="33" t="str">
        <f t="shared" si="23"/>
        <v/>
      </c>
    </row>
    <row r="133" spans="2:17" x14ac:dyDescent="0.25">
      <c r="B133" s="9">
        <v>120</v>
      </c>
      <c r="C133" s="35">
        <v>41000</v>
      </c>
      <c r="D133" s="3"/>
      <c r="E133" s="9" t="str">
        <f t="shared" si="12"/>
        <v/>
      </c>
      <c r="F133" s="54" t="str">
        <f t="shared" si="21"/>
        <v/>
      </c>
      <c r="G133" s="73" t="str">
        <f t="shared" si="13"/>
        <v/>
      </c>
      <c r="H133" s="56" t="str">
        <f t="shared" si="14"/>
        <v/>
      </c>
      <c r="I133" s="57" t="str">
        <f t="shared" si="15"/>
        <v/>
      </c>
      <c r="J133" s="58" t="str">
        <f t="shared" si="16"/>
        <v/>
      </c>
      <c r="L133" s="31" t="str">
        <f t="shared" si="17"/>
        <v/>
      </c>
      <c r="M133" s="32" t="str">
        <f t="shared" si="22"/>
        <v/>
      </c>
      <c r="N133" s="32" t="str">
        <f t="shared" si="18"/>
        <v/>
      </c>
      <c r="O133" s="32" t="str">
        <f t="shared" si="19"/>
        <v/>
      </c>
      <c r="P133" s="32" t="str">
        <f t="shared" si="23"/>
        <v/>
      </c>
      <c r="Q133" s="33" t="str">
        <f t="shared" si="23"/>
        <v/>
      </c>
    </row>
    <row r="134" spans="2:17" x14ac:dyDescent="0.25">
      <c r="B134" s="9">
        <v>121</v>
      </c>
      <c r="C134" s="35">
        <v>41500</v>
      </c>
      <c r="D134" s="3"/>
      <c r="E134" s="9" t="str">
        <f t="shared" si="12"/>
        <v/>
      </c>
      <c r="F134" s="54" t="str">
        <f t="shared" si="21"/>
        <v/>
      </c>
      <c r="G134" s="73" t="str">
        <f t="shared" si="13"/>
        <v/>
      </c>
      <c r="H134" s="56" t="str">
        <f t="shared" si="14"/>
        <v/>
      </c>
      <c r="I134" s="57" t="str">
        <f t="shared" si="15"/>
        <v/>
      </c>
      <c r="J134" s="58" t="str">
        <f t="shared" si="16"/>
        <v/>
      </c>
      <c r="L134" s="31" t="str">
        <f t="shared" si="17"/>
        <v/>
      </c>
      <c r="M134" s="32" t="str">
        <f t="shared" si="22"/>
        <v/>
      </c>
      <c r="N134" s="32" t="str">
        <f t="shared" si="18"/>
        <v/>
      </c>
      <c r="O134" s="32" t="str">
        <f t="shared" si="19"/>
        <v/>
      </c>
      <c r="P134" s="32" t="str">
        <f t="shared" si="23"/>
        <v/>
      </c>
      <c r="Q134" s="33" t="str">
        <f t="shared" si="23"/>
        <v/>
      </c>
    </row>
    <row r="135" spans="2:17" x14ac:dyDescent="0.25">
      <c r="B135" s="9">
        <v>122</v>
      </c>
      <c r="C135" s="35">
        <v>42000</v>
      </c>
      <c r="D135" s="3"/>
      <c r="E135" s="9" t="str">
        <f t="shared" si="12"/>
        <v/>
      </c>
      <c r="F135" s="54" t="str">
        <f t="shared" si="21"/>
        <v/>
      </c>
      <c r="G135" s="73" t="str">
        <f t="shared" si="13"/>
        <v/>
      </c>
      <c r="H135" s="56" t="str">
        <f t="shared" si="14"/>
        <v/>
      </c>
      <c r="I135" s="57" t="str">
        <f t="shared" si="15"/>
        <v/>
      </c>
      <c r="J135" s="58" t="str">
        <f t="shared" si="16"/>
        <v/>
      </c>
      <c r="L135" s="31" t="str">
        <f t="shared" si="17"/>
        <v/>
      </c>
      <c r="M135" s="32" t="str">
        <f t="shared" si="22"/>
        <v/>
      </c>
      <c r="N135" s="32" t="str">
        <f t="shared" si="18"/>
        <v/>
      </c>
      <c r="O135" s="32" t="str">
        <f t="shared" si="19"/>
        <v/>
      </c>
      <c r="P135" s="32" t="str">
        <f t="shared" si="23"/>
        <v/>
      </c>
      <c r="Q135" s="33" t="str">
        <f t="shared" si="23"/>
        <v/>
      </c>
    </row>
    <row r="136" spans="2:17" x14ac:dyDescent="0.25">
      <c r="B136" s="9">
        <v>123</v>
      </c>
      <c r="C136" s="35">
        <v>42500</v>
      </c>
      <c r="D136" s="3"/>
      <c r="E136" s="9" t="str">
        <f t="shared" si="12"/>
        <v/>
      </c>
      <c r="F136" s="54" t="str">
        <f t="shared" si="21"/>
        <v/>
      </c>
      <c r="G136" s="73" t="str">
        <f t="shared" si="13"/>
        <v/>
      </c>
      <c r="H136" s="56" t="str">
        <f t="shared" si="14"/>
        <v/>
      </c>
      <c r="I136" s="57" t="str">
        <f t="shared" si="15"/>
        <v/>
      </c>
      <c r="J136" s="58" t="str">
        <f t="shared" si="16"/>
        <v/>
      </c>
      <c r="L136" s="31" t="str">
        <f t="shared" si="17"/>
        <v/>
      </c>
      <c r="M136" s="32" t="str">
        <f t="shared" si="22"/>
        <v/>
      </c>
      <c r="N136" s="32" t="str">
        <f t="shared" si="18"/>
        <v/>
      </c>
      <c r="O136" s="32" t="str">
        <f t="shared" si="19"/>
        <v/>
      </c>
      <c r="P136" s="32" t="str">
        <f t="shared" si="23"/>
        <v/>
      </c>
      <c r="Q136" s="33" t="str">
        <f t="shared" si="23"/>
        <v/>
      </c>
    </row>
    <row r="137" spans="2:17" x14ac:dyDescent="0.25">
      <c r="B137" s="9">
        <v>124</v>
      </c>
      <c r="C137" s="35">
        <v>43000</v>
      </c>
      <c r="D137" s="3"/>
      <c r="E137" s="9" t="str">
        <f t="shared" si="12"/>
        <v/>
      </c>
      <c r="F137" s="54" t="str">
        <f t="shared" si="21"/>
        <v/>
      </c>
      <c r="G137" s="73" t="str">
        <f t="shared" si="13"/>
        <v/>
      </c>
      <c r="H137" s="56" t="str">
        <f t="shared" si="14"/>
        <v/>
      </c>
      <c r="I137" s="57" t="str">
        <f t="shared" si="15"/>
        <v/>
      </c>
      <c r="J137" s="58" t="str">
        <f t="shared" si="16"/>
        <v/>
      </c>
      <c r="L137" s="31" t="str">
        <f t="shared" si="17"/>
        <v/>
      </c>
      <c r="M137" s="32" t="str">
        <f t="shared" si="22"/>
        <v/>
      </c>
      <c r="N137" s="32" t="str">
        <f t="shared" si="18"/>
        <v/>
      </c>
      <c r="O137" s="32" t="str">
        <f t="shared" si="19"/>
        <v/>
      </c>
      <c r="P137" s="32" t="str">
        <f t="shared" si="23"/>
        <v/>
      </c>
      <c r="Q137" s="33" t="str">
        <f t="shared" si="23"/>
        <v/>
      </c>
    </row>
    <row r="138" spans="2:17" x14ac:dyDescent="0.25">
      <c r="B138" s="9">
        <v>125</v>
      </c>
      <c r="C138" s="35">
        <v>43500</v>
      </c>
      <c r="D138" s="3"/>
      <c r="E138" s="9" t="str">
        <f t="shared" si="12"/>
        <v/>
      </c>
      <c r="F138" s="54" t="str">
        <f t="shared" si="21"/>
        <v/>
      </c>
      <c r="G138" s="73" t="str">
        <f t="shared" si="13"/>
        <v/>
      </c>
      <c r="H138" s="56" t="str">
        <f t="shared" si="14"/>
        <v/>
      </c>
      <c r="I138" s="57" t="str">
        <f t="shared" si="15"/>
        <v/>
      </c>
      <c r="J138" s="58" t="str">
        <f t="shared" si="16"/>
        <v/>
      </c>
      <c r="L138" s="31" t="str">
        <f t="shared" si="17"/>
        <v/>
      </c>
      <c r="M138" s="32" t="str">
        <f t="shared" si="22"/>
        <v/>
      </c>
      <c r="N138" s="32" t="str">
        <f t="shared" si="18"/>
        <v/>
      </c>
      <c r="O138" s="32" t="str">
        <f t="shared" si="19"/>
        <v/>
      </c>
      <c r="P138" s="32" t="str">
        <f t="shared" si="23"/>
        <v/>
      </c>
      <c r="Q138" s="33" t="str">
        <f t="shared" si="23"/>
        <v/>
      </c>
    </row>
    <row r="139" spans="2:17" x14ac:dyDescent="0.25">
      <c r="B139" s="9">
        <v>126</v>
      </c>
      <c r="C139" s="35">
        <v>44000</v>
      </c>
      <c r="D139" s="3"/>
      <c r="E139" s="9" t="str">
        <f t="shared" si="12"/>
        <v/>
      </c>
      <c r="F139" s="54" t="str">
        <f t="shared" si="21"/>
        <v/>
      </c>
      <c r="G139" s="73" t="str">
        <f t="shared" si="13"/>
        <v/>
      </c>
      <c r="H139" s="56" t="str">
        <f t="shared" si="14"/>
        <v/>
      </c>
      <c r="I139" s="57" t="str">
        <f t="shared" si="15"/>
        <v/>
      </c>
      <c r="J139" s="58" t="str">
        <f t="shared" si="16"/>
        <v/>
      </c>
      <c r="L139" s="31" t="str">
        <f t="shared" si="17"/>
        <v/>
      </c>
      <c r="M139" s="32" t="str">
        <f t="shared" si="22"/>
        <v/>
      </c>
      <c r="N139" s="32" t="str">
        <f t="shared" si="18"/>
        <v/>
      </c>
      <c r="O139" s="32" t="str">
        <f t="shared" si="19"/>
        <v/>
      </c>
      <c r="P139" s="32" t="str">
        <f t="shared" si="23"/>
        <v/>
      </c>
      <c r="Q139" s="33" t="str">
        <f t="shared" si="23"/>
        <v/>
      </c>
    </row>
    <row r="140" spans="2:17" x14ac:dyDescent="0.25">
      <c r="B140" s="9">
        <v>127</v>
      </c>
      <c r="C140" s="35">
        <v>44500</v>
      </c>
      <c r="D140" s="3"/>
      <c r="E140" s="9" t="str">
        <f t="shared" si="12"/>
        <v/>
      </c>
      <c r="F140" s="54" t="str">
        <f t="shared" si="21"/>
        <v/>
      </c>
      <c r="G140" s="73" t="str">
        <f t="shared" si="13"/>
        <v/>
      </c>
      <c r="H140" s="56" t="str">
        <f t="shared" si="14"/>
        <v/>
      </c>
      <c r="I140" s="57" t="str">
        <f t="shared" si="15"/>
        <v/>
      </c>
      <c r="J140" s="58" t="str">
        <f t="shared" si="16"/>
        <v/>
      </c>
      <c r="L140" s="31" t="str">
        <f t="shared" si="17"/>
        <v/>
      </c>
      <c r="M140" s="32" t="str">
        <f t="shared" si="22"/>
        <v/>
      </c>
      <c r="N140" s="32" t="str">
        <f t="shared" si="18"/>
        <v/>
      </c>
      <c r="O140" s="32" t="str">
        <f t="shared" si="19"/>
        <v/>
      </c>
      <c r="P140" s="32" t="str">
        <f t="shared" si="23"/>
        <v/>
      </c>
      <c r="Q140" s="33" t="str">
        <f t="shared" si="23"/>
        <v/>
      </c>
    </row>
    <row r="141" spans="2:17" x14ac:dyDescent="0.25">
      <c r="B141" s="9">
        <v>128</v>
      </c>
      <c r="C141" s="35">
        <v>45000</v>
      </c>
      <c r="D141" s="3"/>
      <c r="E141" s="9" t="str">
        <f t="shared" si="12"/>
        <v/>
      </c>
      <c r="F141" s="54" t="str">
        <f t="shared" si="21"/>
        <v/>
      </c>
      <c r="G141" s="73" t="str">
        <f t="shared" si="13"/>
        <v/>
      </c>
      <c r="H141" s="56" t="str">
        <f t="shared" si="14"/>
        <v/>
      </c>
      <c r="I141" s="57" t="str">
        <f t="shared" si="15"/>
        <v/>
      </c>
      <c r="J141" s="58" t="str">
        <f t="shared" si="16"/>
        <v/>
      </c>
      <c r="L141" s="31" t="str">
        <f t="shared" si="17"/>
        <v/>
      </c>
      <c r="M141" s="32" t="str">
        <f t="shared" si="22"/>
        <v/>
      </c>
      <c r="N141" s="32" t="str">
        <f t="shared" si="18"/>
        <v/>
      </c>
      <c r="O141" s="32" t="str">
        <f t="shared" si="19"/>
        <v/>
      </c>
      <c r="P141" s="32" t="str">
        <f t="shared" si="23"/>
        <v/>
      </c>
      <c r="Q141" s="33" t="str">
        <f t="shared" si="23"/>
        <v/>
      </c>
    </row>
    <row r="142" spans="2:17" x14ac:dyDescent="0.25">
      <c r="B142" s="9">
        <v>129</v>
      </c>
      <c r="C142" s="35">
        <v>45500</v>
      </c>
      <c r="D142" s="3"/>
      <c r="E142" s="9" t="str">
        <f t="shared" ref="E142:E203" si="24">IF(L142="","",ROUND(12*C$7/(2*H$7^2+2*H$6*H$7-H$6^2)*L142*1000000,0))</f>
        <v/>
      </c>
      <c r="F142" s="54" t="str">
        <f t="shared" si="21"/>
        <v/>
      </c>
      <c r="G142" s="73" t="str">
        <f t="shared" ref="G142:G203" si="25">IF(L142="","",ROUND(1.5*((N142-O142)*1000*H$7)/(C$6*C$7^2),3))</f>
        <v/>
      </c>
      <c r="H142" s="56" t="str">
        <f t="shared" ref="H142:H203" si="26">IF(L142="","",ROUND(1.5*((N142/2-O142)*1000*H$7)/(C$6*C$7^2),3))</f>
        <v/>
      </c>
      <c r="I142" s="57" t="str">
        <f t="shared" ref="I142:I203" si="27">IF(L142="","",IF(P142&lt;=0,"foute meting",ROUND(0.000001*V$4*SQRT((1000000*Q142)^2+(1000000*P142+V$5*(2*PI()*H$5)^2)^2),0)))</f>
        <v/>
      </c>
      <c r="J142" s="58" t="str">
        <f t="shared" ref="J142:J203" si="28">IF(L142="","",ROUND(ATAN(Q142/P142)/PI()*180,1))</f>
        <v/>
      </c>
      <c r="L142" s="31" t="str">
        <f t="shared" ref="L142:L203" si="29">IF(AG144&lt;=0,"",AG144)</f>
        <v/>
      </c>
      <c r="M142" s="32" t="str">
        <f t="shared" si="22"/>
        <v/>
      </c>
      <c r="N142" s="32" t="str">
        <f t="shared" ref="N142:N203" si="30">IF(AI144="","",AI144)</f>
        <v/>
      </c>
      <c r="O142" s="32" t="str">
        <f t="shared" ref="O142:O203" si="31">IF(AH144="","",AH144)</f>
        <v/>
      </c>
      <c r="P142" s="32" t="str">
        <f t="shared" ref="P142:Q173" si="32">IF(AJ144="","",AJ144)</f>
        <v/>
      </c>
      <c r="Q142" s="33" t="str">
        <f t="shared" si="32"/>
        <v/>
      </c>
    </row>
    <row r="143" spans="2:17" x14ac:dyDescent="0.25">
      <c r="B143" s="9">
        <v>130</v>
      </c>
      <c r="C143" s="35">
        <v>46000</v>
      </c>
      <c r="D143" s="3"/>
      <c r="E143" s="9" t="str">
        <f t="shared" si="24"/>
        <v/>
      </c>
      <c r="F143" s="54" t="str">
        <f t="shared" ref="F143:F203" si="33">IF(L143="","",ABS(ROUND(12*C$7/(2*(H$7/1000)^2+2*(H$6/1000)*(H$7/1000)-(H$6/1000)^2)*(M143-M$14)*1,0)))</f>
        <v/>
      </c>
      <c r="G143" s="73" t="str">
        <f t="shared" si="25"/>
        <v/>
      </c>
      <c r="H143" s="56" t="str">
        <f t="shared" si="26"/>
        <v/>
      </c>
      <c r="I143" s="57" t="str">
        <f t="shared" si="27"/>
        <v/>
      </c>
      <c r="J143" s="58" t="str">
        <f t="shared" si="28"/>
        <v/>
      </c>
      <c r="L143" s="31" t="str">
        <f t="shared" si="29"/>
        <v/>
      </c>
      <c r="M143" s="32" t="str">
        <f t="shared" ref="M143:M203" si="34">IF(AG145="","",AG145/2-AE145)</f>
        <v/>
      </c>
      <c r="N143" s="32" t="str">
        <f t="shared" si="30"/>
        <v/>
      </c>
      <c r="O143" s="32" t="str">
        <f t="shared" si="31"/>
        <v/>
      </c>
      <c r="P143" s="32" t="str">
        <f t="shared" si="32"/>
        <v/>
      </c>
      <c r="Q143" s="33" t="str">
        <f t="shared" si="32"/>
        <v/>
      </c>
    </row>
    <row r="144" spans="2:17" x14ac:dyDescent="0.25">
      <c r="B144" s="9">
        <v>131</v>
      </c>
      <c r="C144" s="35">
        <v>46500</v>
      </c>
      <c r="D144" s="3"/>
      <c r="E144" s="9" t="str">
        <f t="shared" si="24"/>
        <v/>
      </c>
      <c r="F144" s="54" t="str">
        <f t="shared" si="33"/>
        <v/>
      </c>
      <c r="G144" s="73" t="str">
        <f t="shared" si="25"/>
        <v/>
      </c>
      <c r="H144" s="56" t="str">
        <f t="shared" si="26"/>
        <v/>
      </c>
      <c r="I144" s="57" t="str">
        <f t="shared" si="27"/>
        <v/>
      </c>
      <c r="J144" s="58" t="str">
        <f t="shared" si="28"/>
        <v/>
      </c>
      <c r="L144" s="31" t="str">
        <f t="shared" si="29"/>
        <v/>
      </c>
      <c r="M144" s="32" t="str">
        <f t="shared" si="34"/>
        <v/>
      </c>
      <c r="N144" s="32" t="str">
        <f t="shared" si="30"/>
        <v/>
      </c>
      <c r="O144" s="32" t="str">
        <f t="shared" si="31"/>
        <v/>
      </c>
      <c r="P144" s="32" t="str">
        <f t="shared" si="32"/>
        <v/>
      </c>
      <c r="Q144" s="33" t="str">
        <f t="shared" si="32"/>
        <v/>
      </c>
    </row>
    <row r="145" spans="2:17" x14ac:dyDescent="0.25">
      <c r="B145" s="9">
        <v>132</v>
      </c>
      <c r="C145" s="35">
        <v>47000</v>
      </c>
      <c r="D145" s="3"/>
      <c r="E145" s="9" t="str">
        <f t="shared" si="24"/>
        <v/>
      </c>
      <c r="F145" s="54" t="str">
        <f t="shared" si="33"/>
        <v/>
      </c>
      <c r="G145" s="73" t="str">
        <f t="shared" si="25"/>
        <v/>
      </c>
      <c r="H145" s="56" t="str">
        <f t="shared" si="26"/>
        <v/>
      </c>
      <c r="I145" s="57" t="str">
        <f t="shared" si="27"/>
        <v/>
      </c>
      <c r="J145" s="58" t="str">
        <f t="shared" si="28"/>
        <v/>
      </c>
      <c r="L145" s="31" t="str">
        <f t="shared" si="29"/>
        <v/>
      </c>
      <c r="M145" s="32" t="str">
        <f t="shared" si="34"/>
        <v/>
      </c>
      <c r="N145" s="32" t="str">
        <f t="shared" si="30"/>
        <v/>
      </c>
      <c r="O145" s="32" t="str">
        <f t="shared" si="31"/>
        <v/>
      </c>
      <c r="P145" s="32" t="str">
        <f t="shared" si="32"/>
        <v/>
      </c>
      <c r="Q145" s="33" t="str">
        <f t="shared" si="32"/>
        <v/>
      </c>
    </row>
    <row r="146" spans="2:17" x14ac:dyDescent="0.25">
      <c r="B146" s="9">
        <v>133</v>
      </c>
      <c r="C146" s="35">
        <v>47500</v>
      </c>
      <c r="D146" s="3"/>
      <c r="E146" s="9" t="str">
        <f t="shared" si="24"/>
        <v/>
      </c>
      <c r="F146" s="54" t="str">
        <f t="shared" si="33"/>
        <v/>
      </c>
      <c r="G146" s="73" t="str">
        <f t="shared" si="25"/>
        <v/>
      </c>
      <c r="H146" s="56" t="str">
        <f t="shared" si="26"/>
        <v/>
      </c>
      <c r="I146" s="57" t="str">
        <f t="shared" si="27"/>
        <v/>
      </c>
      <c r="J146" s="58" t="str">
        <f t="shared" si="28"/>
        <v/>
      </c>
      <c r="L146" s="31" t="str">
        <f t="shared" si="29"/>
        <v/>
      </c>
      <c r="M146" s="32" t="str">
        <f t="shared" si="34"/>
        <v/>
      </c>
      <c r="N146" s="32" t="str">
        <f t="shared" si="30"/>
        <v/>
      </c>
      <c r="O146" s="32" t="str">
        <f t="shared" si="31"/>
        <v/>
      </c>
      <c r="P146" s="32" t="str">
        <f t="shared" si="32"/>
        <v/>
      </c>
      <c r="Q146" s="33" t="str">
        <f t="shared" si="32"/>
        <v/>
      </c>
    </row>
    <row r="147" spans="2:17" x14ac:dyDescent="0.25">
      <c r="B147" s="9">
        <v>134</v>
      </c>
      <c r="C147" s="35">
        <v>48000</v>
      </c>
      <c r="D147" s="3"/>
      <c r="E147" s="9" t="str">
        <f t="shared" si="24"/>
        <v/>
      </c>
      <c r="F147" s="54" t="str">
        <f t="shared" si="33"/>
        <v/>
      </c>
      <c r="G147" s="73" t="str">
        <f t="shared" si="25"/>
        <v/>
      </c>
      <c r="H147" s="56" t="str">
        <f t="shared" si="26"/>
        <v/>
      </c>
      <c r="I147" s="57" t="str">
        <f t="shared" si="27"/>
        <v/>
      </c>
      <c r="J147" s="58" t="str">
        <f t="shared" si="28"/>
        <v/>
      </c>
      <c r="L147" s="31" t="str">
        <f t="shared" si="29"/>
        <v/>
      </c>
      <c r="M147" s="32" t="str">
        <f t="shared" si="34"/>
        <v/>
      </c>
      <c r="N147" s="32" t="str">
        <f t="shared" si="30"/>
        <v/>
      </c>
      <c r="O147" s="32" t="str">
        <f t="shared" si="31"/>
        <v/>
      </c>
      <c r="P147" s="32" t="str">
        <f t="shared" si="32"/>
        <v/>
      </c>
      <c r="Q147" s="33" t="str">
        <f t="shared" si="32"/>
        <v/>
      </c>
    </row>
    <row r="148" spans="2:17" x14ac:dyDescent="0.25">
      <c r="B148" s="9">
        <v>135</v>
      </c>
      <c r="C148" s="35">
        <v>48500</v>
      </c>
      <c r="D148" s="3"/>
      <c r="E148" s="9" t="str">
        <f t="shared" si="24"/>
        <v/>
      </c>
      <c r="F148" s="54" t="str">
        <f t="shared" si="33"/>
        <v/>
      </c>
      <c r="G148" s="73" t="str">
        <f t="shared" si="25"/>
        <v/>
      </c>
      <c r="H148" s="56" t="str">
        <f t="shared" si="26"/>
        <v/>
      </c>
      <c r="I148" s="57" t="str">
        <f t="shared" si="27"/>
        <v/>
      </c>
      <c r="J148" s="58" t="str">
        <f t="shared" si="28"/>
        <v/>
      </c>
      <c r="L148" s="31" t="str">
        <f t="shared" si="29"/>
        <v/>
      </c>
      <c r="M148" s="32" t="str">
        <f t="shared" si="34"/>
        <v/>
      </c>
      <c r="N148" s="32" t="str">
        <f t="shared" si="30"/>
        <v/>
      </c>
      <c r="O148" s="32" t="str">
        <f t="shared" si="31"/>
        <v/>
      </c>
      <c r="P148" s="32" t="str">
        <f t="shared" si="32"/>
        <v/>
      </c>
      <c r="Q148" s="33" t="str">
        <f t="shared" si="32"/>
        <v/>
      </c>
    </row>
    <row r="149" spans="2:17" x14ac:dyDescent="0.25">
      <c r="B149" s="9">
        <v>136</v>
      </c>
      <c r="C149" s="35">
        <v>49000</v>
      </c>
      <c r="D149" s="3"/>
      <c r="E149" s="9" t="str">
        <f t="shared" si="24"/>
        <v/>
      </c>
      <c r="F149" s="54" t="str">
        <f t="shared" si="33"/>
        <v/>
      </c>
      <c r="G149" s="73" t="str">
        <f t="shared" si="25"/>
        <v/>
      </c>
      <c r="H149" s="56" t="str">
        <f t="shared" si="26"/>
        <v/>
      </c>
      <c r="I149" s="57" t="str">
        <f t="shared" si="27"/>
        <v/>
      </c>
      <c r="J149" s="58" t="str">
        <f t="shared" si="28"/>
        <v/>
      </c>
      <c r="L149" s="31" t="str">
        <f t="shared" si="29"/>
        <v/>
      </c>
      <c r="M149" s="32" t="str">
        <f t="shared" si="34"/>
        <v/>
      </c>
      <c r="N149" s="32" t="str">
        <f t="shared" si="30"/>
        <v/>
      </c>
      <c r="O149" s="32" t="str">
        <f t="shared" si="31"/>
        <v/>
      </c>
      <c r="P149" s="32" t="str">
        <f t="shared" si="32"/>
        <v/>
      </c>
      <c r="Q149" s="33" t="str">
        <f t="shared" si="32"/>
        <v/>
      </c>
    </row>
    <row r="150" spans="2:17" x14ac:dyDescent="0.25">
      <c r="B150" s="9">
        <v>137</v>
      </c>
      <c r="C150" s="35">
        <v>49500</v>
      </c>
      <c r="D150" s="3"/>
      <c r="E150" s="9" t="str">
        <f t="shared" si="24"/>
        <v/>
      </c>
      <c r="F150" s="54" t="str">
        <f t="shared" si="33"/>
        <v/>
      </c>
      <c r="G150" s="73" t="str">
        <f t="shared" si="25"/>
        <v/>
      </c>
      <c r="H150" s="56" t="str">
        <f t="shared" si="26"/>
        <v/>
      </c>
      <c r="I150" s="57" t="str">
        <f t="shared" si="27"/>
        <v/>
      </c>
      <c r="J150" s="58" t="str">
        <f t="shared" si="28"/>
        <v/>
      </c>
      <c r="L150" s="31" t="str">
        <f t="shared" si="29"/>
        <v/>
      </c>
      <c r="M150" s="32" t="str">
        <f t="shared" si="34"/>
        <v/>
      </c>
      <c r="N150" s="32" t="str">
        <f t="shared" si="30"/>
        <v/>
      </c>
      <c r="O150" s="32" t="str">
        <f t="shared" si="31"/>
        <v/>
      </c>
      <c r="P150" s="32" t="str">
        <f t="shared" si="32"/>
        <v/>
      </c>
      <c r="Q150" s="33" t="str">
        <f t="shared" si="32"/>
        <v/>
      </c>
    </row>
    <row r="151" spans="2:17" x14ac:dyDescent="0.25">
      <c r="B151" s="9">
        <v>138</v>
      </c>
      <c r="C151" s="35">
        <v>50000</v>
      </c>
      <c r="D151" s="3"/>
      <c r="E151" s="9" t="str">
        <f t="shared" si="24"/>
        <v/>
      </c>
      <c r="F151" s="54" t="str">
        <f t="shared" si="33"/>
        <v/>
      </c>
      <c r="G151" s="73" t="str">
        <f t="shared" si="25"/>
        <v/>
      </c>
      <c r="H151" s="56" t="str">
        <f t="shared" si="26"/>
        <v/>
      </c>
      <c r="I151" s="57" t="str">
        <f t="shared" si="27"/>
        <v/>
      </c>
      <c r="J151" s="58" t="str">
        <f t="shared" si="28"/>
        <v/>
      </c>
      <c r="L151" s="31" t="str">
        <f t="shared" si="29"/>
        <v/>
      </c>
      <c r="M151" s="32" t="str">
        <f t="shared" si="34"/>
        <v/>
      </c>
      <c r="N151" s="32" t="str">
        <f t="shared" si="30"/>
        <v/>
      </c>
      <c r="O151" s="32" t="str">
        <f t="shared" si="31"/>
        <v/>
      </c>
      <c r="P151" s="32" t="str">
        <f t="shared" si="32"/>
        <v/>
      </c>
      <c r="Q151" s="33" t="str">
        <f t="shared" si="32"/>
        <v/>
      </c>
    </row>
    <row r="152" spans="2:17" x14ac:dyDescent="0.25">
      <c r="B152" s="9">
        <v>139</v>
      </c>
      <c r="C152" s="35">
        <v>51000</v>
      </c>
      <c r="D152" s="3"/>
      <c r="E152" s="9" t="str">
        <f t="shared" si="24"/>
        <v/>
      </c>
      <c r="F152" s="54" t="str">
        <f t="shared" si="33"/>
        <v/>
      </c>
      <c r="G152" s="73" t="str">
        <f t="shared" si="25"/>
        <v/>
      </c>
      <c r="H152" s="56" t="str">
        <f t="shared" si="26"/>
        <v/>
      </c>
      <c r="I152" s="57" t="str">
        <f t="shared" si="27"/>
        <v/>
      </c>
      <c r="J152" s="58" t="str">
        <f t="shared" si="28"/>
        <v/>
      </c>
      <c r="L152" s="31" t="str">
        <f t="shared" si="29"/>
        <v/>
      </c>
      <c r="M152" s="32" t="str">
        <f t="shared" si="34"/>
        <v/>
      </c>
      <c r="N152" s="32" t="str">
        <f t="shared" si="30"/>
        <v/>
      </c>
      <c r="O152" s="32" t="str">
        <f t="shared" si="31"/>
        <v/>
      </c>
      <c r="P152" s="32" t="str">
        <f t="shared" si="32"/>
        <v/>
      </c>
      <c r="Q152" s="33" t="str">
        <f t="shared" si="32"/>
        <v/>
      </c>
    </row>
    <row r="153" spans="2:17" x14ac:dyDescent="0.25">
      <c r="B153" s="9">
        <v>140</v>
      </c>
      <c r="C153" s="35">
        <v>52000</v>
      </c>
      <c r="D153" s="3"/>
      <c r="E153" s="9" t="str">
        <f t="shared" si="24"/>
        <v/>
      </c>
      <c r="F153" s="54" t="str">
        <f t="shared" si="33"/>
        <v/>
      </c>
      <c r="G153" s="73" t="str">
        <f t="shared" si="25"/>
        <v/>
      </c>
      <c r="H153" s="56" t="str">
        <f t="shared" si="26"/>
        <v/>
      </c>
      <c r="I153" s="57" t="str">
        <f t="shared" si="27"/>
        <v/>
      </c>
      <c r="J153" s="58" t="str">
        <f t="shared" si="28"/>
        <v/>
      </c>
      <c r="L153" s="31" t="str">
        <f t="shared" si="29"/>
        <v/>
      </c>
      <c r="M153" s="32" t="str">
        <f t="shared" si="34"/>
        <v/>
      </c>
      <c r="N153" s="32" t="str">
        <f t="shared" si="30"/>
        <v/>
      </c>
      <c r="O153" s="32" t="str">
        <f t="shared" si="31"/>
        <v/>
      </c>
      <c r="P153" s="32" t="str">
        <f t="shared" si="32"/>
        <v/>
      </c>
      <c r="Q153" s="33" t="str">
        <f t="shared" si="32"/>
        <v/>
      </c>
    </row>
    <row r="154" spans="2:17" x14ac:dyDescent="0.25">
      <c r="B154" s="9">
        <v>141</v>
      </c>
      <c r="C154" s="35">
        <v>53000</v>
      </c>
      <c r="D154" s="3"/>
      <c r="E154" s="9" t="str">
        <f t="shared" si="24"/>
        <v/>
      </c>
      <c r="F154" s="54" t="str">
        <f t="shared" si="33"/>
        <v/>
      </c>
      <c r="G154" s="73" t="str">
        <f t="shared" si="25"/>
        <v/>
      </c>
      <c r="H154" s="56" t="str">
        <f t="shared" si="26"/>
        <v/>
      </c>
      <c r="I154" s="57" t="str">
        <f t="shared" si="27"/>
        <v/>
      </c>
      <c r="J154" s="58" t="str">
        <f t="shared" si="28"/>
        <v/>
      </c>
      <c r="L154" s="31" t="str">
        <f t="shared" si="29"/>
        <v/>
      </c>
      <c r="M154" s="32" t="str">
        <f t="shared" si="34"/>
        <v/>
      </c>
      <c r="N154" s="32" t="str">
        <f t="shared" si="30"/>
        <v/>
      </c>
      <c r="O154" s="32" t="str">
        <f t="shared" si="31"/>
        <v/>
      </c>
      <c r="P154" s="32" t="str">
        <f t="shared" si="32"/>
        <v/>
      </c>
      <c r="Q154" s="33" t="str">
        <f t="shared" si="32"/>
        <v/>
      </c>
    </row>
    <row r="155" spans="2:17" x14ac:dyDescent="0.25">
      <c r="B155" s="9">
        <v>142</v>
      </c>
      <c r="C155" s="35">
        <v>54000</v>
      </c>
      <c r="D155" s="3"/>
      <c r="E155" s="9" t="str">
        <f t="shared" si="24"/>
        <v/>
      </c>
      <c r="F155" s="54" t="str">
        <f t="shared" si="33"/>
        <v/>
      </c>
      <c r="G155" s="73" t="str">
        <f t="shared" si="25"/>
        <v/>
      </c>
      <c r="H155" s="56" t="str">
        <f t="shared" si="26"/>
        <v/>
      </c>
      <c r="I155" s="57" t="str">
        <f t="shared" si="27"/>
        <v/>
      </c>
      <c r="J155" s="58" t="str">
        <f t="shared" si="28"/>
        <v/>
      </c>
      <c r="L155" s="31" t="str">
        <f t="shared" si="29"/>
        <v/>
      </c>
      <c r="M155" s="32" t="str">
        <f t="shared" si="34"/>
        <v/>
      </c>
      <c r="N155" s="32" t="str">
        <f t="shared" si="30"/>
        <v/>
      </c>
      <c r="O155" s="32" t="str">
        <f t="shared" si="31"/>
        <v/>
      </c>
      <c r="P155" s="32" t="str">
        <f t="shared" si="32"/>
        <v/>
      </c>
      <c r="Q155" s="33" t="str">
        <f t="shared" si="32"/>
        <v/>
      </c>
    </row>
    <row r="156" spans="2:17" x14ac:dyDescent="0.25">
      <c r="B156" s="9">
        <v>143</v>
      </c>
      <c r="C156" s="35">
        <v>55000</v>
      </c>
      <c r="D156" s="3"/>
      <c r="E156" s="9" t="str">
        <f t="shared" si="24"/>
        <v/>
      </c>
      <c r="F156" s="54" t="str">
        <f t="shared" si="33"/>
        <v/>
      </c>
      <c r="G156" s="73" t="str">
        <f t="shared" si="25"/>
        <v/>
      </c>
      <c r="H156" s="56" t="str">
        <f t="shared" si="26"/>
        <v/>
      </c>
      <c r="I156" s="57" t="str">
        <f t="shared" si="27"/>
        <v/>
      </c>
      <c r="J156" s="58" t="str">
        <f t="shared" si="28"/>
        <v/>
      </c>
      <c r="L156" s="31" t="str">
        <f t="shared" si="29"/>
        <v/>
      </c>
      <c r="M156" s="32" t="str">
        <f t="shared" si="34"/>
        <v/>
      </c>
      <c r="N156" s="32" t="str">
        <f t="shared" si="30"/>
        <v/>
      </c>
      <c r="O156" s="32" t="str">
        <f t="shared" si="31"/>
        <v/>
      </c>
      <c r="P156" s="32" t="str">
        <f t="shared" si="32"/>
        <v/>
      </c>
      <c r="Q156" s="33" t="str">
        <f t="shared" si="32"/>
        <v/>
      </c>
    </row>
    <row r="157" spans="2:17" x14ac:dyDescent="0.25">
      <c r="B157" s="9">
        <v>144</v>
      </c>
      <c r="C157" s="35">
        <v>56000</v>
      </c>
      <c r="D157" s="3"/>
      <c r="E157" s="9" t="str">
        <f t="shared" si="24"/>
        <v/>
      </c>
      <c r="F157" s="54" t="str">
        <f t="shared" si="33"/>
        <v/>
      </c>
      <c r="G157" s="73" t="str">
        <f t="shared" si="25"/>
        <v/>
      </c>
      <c r="H157" s="56" t="str">
        <f t="shared" si="26"/>
        <v/>
      </c>
      <c r="I157" s="57" t="str">
        <f t="shared" si="27"/>
        <v/>
      </c>
      <c r="J157" s="58" t="str">
        <f t="shared" si="28"/>
        <v/>
      </c>
      <c r="L157" s="31" t="str">
        <f t="shared" si="29"/>
        <v/>
      </c>
      <c r="M157" s="32" t="str">
        <f t="shared" si="34"/>
        <v/>
      </c>
      <c r="N157" s="32" t="str">
        <f t="shared" si="30"/>
        <v/>
      </c>
      <c r="O157" s="32" t="str">
        <f t="shared" si="31"/>
        <v/>
      </c>
      <c r="P157" s="32" t="str">
        <f t="shared" si="32"/>
        <v/>
      </c>
      <c r="Q157" s="33" t="str">
        <f t="shared" si="32"/>
        <v/>
      </c>
    </row>
    <row r="158" spans="2:17" x14ac:dyDescent="0.25">
      <c r="B158" s="9">
        <v>145</v>
      </c>
      <c r="C158" s="35">
        <v>57000</v>
      </c>
      <c r="D158" s="3"/>
      <c r="E158" s="9" t="str">
        <f t="shared" si="24"/>
        <v/>
      </c>
      <c r="F158" s="54" t="str">
        <f t="shared" si="33"/>
        <v/>
      </c>
      <c r="G158" s="73" t="str">
        <f t="shared" si="25"/>
        <v/>
      </c>
      <c r="H158" s="56" t="str">
        <f t="shared" si="26"/>
        <v/>
      </c>
      <c r="I158" s="57" t="str">
        <f t="shared" si="27"/>
        <v/>
      </c>
      <c r="J158" s="58" t="str">
        <f t="shared" si="28"/>
        <v/>
      </c>
      <c r="L158" s="31" t="str">
        <f t="shared" si="29"/>
        <v/>
      </c>
      <c r="M158" s="32" t="str">
        <f t="shared" si="34"/>
        <v/>
      </c>
      <c r="N158" s="32" t="str">
        <f t="shared" si="30"/>
        <v/>
      </c>
      <c r="O158" s="32" t="str">
        <f t="shared" si="31"/>
        <v/>
      </c>
      <c r="P158" s="32" t="str">
        <f t="shared" si="32"/>
        <v/>
      </c>
      <c r="Q158" s="33" t="str">
        <f t="shared" si="32"/>
        <v/>
      </c>
    </row>
    <row r="159" spans="2:17" x14ac:dyDescent="0.25">
      <c r="B159" s="9">
        <v>146</v>
      </c>
      <c r="C159" s="35">
        <v>58000</v>
      </c>
      <c r="D159" s="3"/>
      <c r="E159" s="9" t="str">
        <f t="shared" si="24"/>
        <v/>
      </c>
      <c r="F159" s="54" t="str">
        <f t="shared" si="33"/>
        <v/>
      </c>
      <c r="G159" s="73" t="str">
        <f t="shared" si="25"/>
        <v/>
      </c>
      <c r="H159" s="56" t="str">
        <f t="shared" si="26"/>
        <v/>
      </c>
      <c r="I159" s="57" t="str">
        <f t="shared" si="27"/>
        <v/>
      </c>
      <c r="J159" s="58" t="str">
        <f t="shared" si="28"/>
        <v/>
      </c>
      <c r="L159" s="31" t="str">
        <f t="shared" si="29"/>
        <v/>
      </c>
      <c r="M159" s="32" t="str">
        <f t="shared" si="34"/>
        <v/>
      </c>
      <c r="N159" s="32" t="str">
        <f t="shared" si="30"/>
        <v/>
      </c>
      <c r="O159" s="32" t="str">
        <f t="shared" si="31"/>
        <v/>
      </c>
      <c r="P159" s="32" t="str">
        <f t="shared" si="32"/>
        <v/>
      </c>
      <c r="Q159" s="33" t="str">
        <f t="shared" si="32"/>
        <v/>
      </c>
    </row>
    <row r="160" spans="2:17" x14ac:dyDescent="0.25">
      <c r="B160" s="9">
        <v>147</v>
      </c>
      <c r="C160" s="35">
        <v>59000</v>
      </c>
      <c r="D160" s="3"/>
      <c r="E160" s="9" t="str">
        <f t="shared" si="24"/>
        <v/>
      </c>
      <c r="F160" s="54" t="str">
        <f t="shared" si="33"/>
        <v/>
      </c>
      <c r="G160" s="73" t="str">
        <f t="shared" si="25"/>
        <v/>
      </c>
      <c r="H160" s="56" t="str">
        <f t="shared" si="26"/>
        <v/>
      </c>
      <c r="I160" s="57" t="str">
        <f t="shared" si="27"/>
        <v/>
      </c>
      <c r="J160" s="58" t="str">
        <f t="shared" si="28"/>
        <v/>
      </c>
      <c r="L160" s="31" t="str">
        <f t="shared" si="29"/>
        <v/>
      </c>
      <c r="M160" s="32" t="str">
        <f t="shared" si="34"/>
        <v/>
      </c>
      <c r="N160" s="32" t="str">
        <f t="shared" si="30"/>
        <v/>
      </c>
      <c r="O160" s="32" t="str">
        <f t="shared" si="31"/>
        <v/>
      </c>
      <c r="P160" s="32" t="str">
        <f t="shared" si="32"/>
        <v/>
      </c>
      <c r="Q160" s="33" t="str">
        <f t="shared" si="32"/>
        <v/>
      </c>
    </row>
    <row r="161" spans="2:17" x14ac:dyDescent="0.25">
      <c r="B161" s="9">
        <v>148</v>
      </c>
      <c r="C161" s="35">
        <v>60000</v>
      </c>
      <c r="D161" s="3"/>
      <c r="E161" s="9" t="str">
        <f t="shared" si="24"/>
        <v/>
      </c>
      <c r="F161" s="54" t="str">
        <f t="shared" si="33"/>
        <v/>
      </c>
      <c r="G161" s="73" t="str">
        <f t="shared" si="25"/>
        <v/>
      </c>
      <c r="H161" s="56" t="str">
        <f t="shared" si="26"/>
        <v/>
      </c>
      <c r="I161" s="57" t="str">
        <f t="shared" si="27"/>
        <v/>
      </c>
      <c r="J161" s="58" t="str">
        <f t="shared" si="28"/>
        <v/>
      </c>
      <c r="L161" s="31" t="str">
        <f t="shared" si="29"/>
        <v/>
      </c>
      <c r="M161" s="32" t="str">
        <f t="shared" si="34"/>
        <v/>
      </c>
      <c r="N161" s="32" t="str">
        <f t="shared" si="30"/>
        <v/>
      </c>
      <c r="O161" s="32" t="str">
        <f t="shared" si="31"/>
        <v/>
      </c>
      <c r="P161" s="32" t="str">
        <f t="shared" si="32"/>
        <v/>
      </c>
      <c r="Q161" s="33" t="str">
        <f t="shared" si="32"/>
        <v/>
      </c>
    </row>
    <row r="162" spans="2:17" x14ac:dyDescent="0.25">
      <c r="B162" s="9">
        <v>149</v>
      </c>
      <c r="C162" s="35">
        <v>62000</v>
      </c>
      <c r="D162" s="3"/>
      <c r="E162" s="9" t="str">
        <f t="shared" si="24"/>
        <v/>
      </c>
      <c r="F162" s="54" t="str">
        <f t="shared" si="33"/>
        <v/>
      </c>
      <c r="G162" s="73" t="str">
        <f t="shared" si="25"/>
        <v/>
      </c>
      <c r="H162" s="56" t="str">
        <f t="shared" si="26"/>
        <v/>
      </c>
      <c r="I162" s="57" t="str">
        <f t="shared" si="27"/>
        <v/>
      </c>
      <c r="J162" s="58" t="str">
        <f t="shared" si="28"/>
        <v/>
      </c>
      <c r="L162" s="31" t="str">
        <f t="shared" si="29"/>
        <v/>
      </c>
      <c r="M162" s="32" t="str">
        <f t="shared" si="34"/>
        <v/>
      </c>
      <c r="N162" s="32" t="str">
        <f t="shared" si="30"/>
        <v/>
      </c>
      <c r="O162" s="32" t="str">
        <f t="shared" si="31"/>
        <v/>
      </c>
      <c r="P162" s="32" t="str">
        <f t="shared" si="32"/>
        <v/>
      </c>
      <c r="Q162" s="33" t="str">
        <f t="shared" si="32"/>
        <v/>
      </c>
    </row>
    <row r="163" spans="2:17" x14ac:dyDescent="0.25">
      <c r="B163" s="9">
        <v>150</v>
      </c>
      <c r="C163" s="35">
        <v>64000</v>
      </c>
      <c r="D163" s="2"/>
      <c r="E163" s="9" t="str">
        <f t="shared" si="24"/>
        <v/>
      </c>
      <c r="F163" s="54" t="str">
        <f t="shared" si="33"/>
        <v/>
      </c>
      <c r="G163" s="73" t="str">
        <f t="shared" si="25"/>
        <v/>
      </c>
      <c r="H163" s="56" t="str">
        <f t="shared" si="26"/>
        <v/>
      </c>
      <c r="I163" s="57" t="str">
        <f t="shared" si="27"/>
        <v/>
      </c>
      <c r="J163" s="58" t="str">
        <f t="shared" si="28"/>
        <v/>
      </c>
      <c r="L163" s="31" t="str">
        <f t="shared" si="29"/>
        <v/>
      </c>
      <c r="M163" s="32" t="str">
        <f t="shared" si="34"/>
        <v/>
      </c>
      <c r="N163" s="32" t="str">
        <f t="shared" si="30"/>
        <v/>
      </c>
      <c r="O163" s="32" t="str">
        <f t="shared" si="31"/>
        <v/>
      </c>
      <c r="P163" s="32" t="str">
        <f t="shared" si="32"/>
        <v/>
      </c>
      <c r="Q163" s="33" t="str">
        <f t="shared" si="32"/>
        <v/>
      </c>
    </row>
    <row r="164" spans="2:17" x14ac:dyDescent="0.25">
      <c r="B164" s="9">
        <v>151</v>
      </c>
      <c r="C164" s="35">
        <v>68000</v>
      </c>
      <c r="D164" s="2"/>
      <c r="E164" s="9" t="str">
        <f t="shared" si="24"/>
        <v/>
      </c>
      <c r="F164" s="54" t="str">
        <f t="shared" si="33"/>
        <v/>
      </c>
      <c r="G164" s="73" t="str">
        <f t="shared" si="25"/>
        <v/>
      </c>
      <c r="H164" s="56" t="str">
        <f t="shared" si="26"/>
        <v/>
      </c>
      <c r="I164" s="57" t="str">
        <f t="shared" si="27"/>
        <v/>
      </c>
      <c r="J164" s="58" t="str">
        <f t="shared" si="28"/>
        <v/>
      </c>
      <c r="L164" s="31" t="str">
        <f t="shared" si="29"/>
        <v/>
      </c>
      <c r="M164" s="32" t="str">
        <f t="shared" si="34"/>
        <v/>
      </c>
      <c r="N164" s="32" t="str">
        <f t="shared" si="30"/>
        <v/>
      </c>
      <c r="O164" s="32" t="str">
        <f t="shared" si="31"/>
        <v/>
      </c>
      <c r="P164" s="32" t="str">
        <f t="shared" si="32"/>
        <v/>
      </c>
      <c r="Q164" s="33" t="str">
        <f t="shared" si="32"/>
        <v/>
      </c>
    </row>
    <row r="165" spans="2:17" x14ac:dyDescent="0.25">
      <c r="B165" s="9">
        <v>152</v>
      </c>
      <c r="C165" s="35">
        <v>68000</v>
      </c>
      <c r="D165" s="2"/>
      <c r="E165" s="9" t="str">
        <f t="shared" si="24"/>
        <v/>
      </c>
      <c r="F165" s="54" t="str">
        <f t="shared" si="33"/>
        <v/>
      </c>
      <c r="G165" s="73" t="str">
        <f t="shared" si="25"/>
        <v/>
      </c>
      <c r="H165" s="56" t="str">
        <f t="shared" si="26"/>
        <v/>
      </c>
      <c r="I165" s="57" t="str">
        <f t="shared" si="27"/>
        <v/>
      </c>
      <c r="J165" s="58" t="str">
        <f t="shared" si="28"/>
        <v/>
      </c>
      <c r="L165" s="31" t="str">
        <f t="shared" si="29"/>
        <v/>
      </c>
      <c r="M165" s="32" t="str">
        <f t="shared" si="34"/>
        <v/>
      </c>
      <c r="N165" s="32" t="str">
        <f t="shared" si="30"/>
        <v/>
      </c>
      <c r="O165" s="32" t="str">
        <f t="shared" si="31"/>
        <v/>
      </c>
      <c r="P165" s="32" t="str">
        <f t="shared" si="32"/>
        <v/>
      </c>
      <c r="Q165" s="33" t="str">
        <f t="shared" si="32"/>
        <v/>
      </c>
    </row>
    <row r="166" spans="2:17" x14ac:dyDescent="0.25">
      <c r="B166" s="9">
        <v>153</v>
      </c>
      <c r="C166" s="35">
        <v>70000</v>
      </c>
      <c r="D166" s="2"/>
      <c r="E166" s="9" t="str">
        <f t="shared" si="24"/>
        <v/>
      </c>
      <c r="F166" s="54" t="str">
        <f t="shared" si="33"/>
        <v/>
      </c>
      <c r="G166" s="73" t="str">
        <f t="shared" si="25"/>
        <v/>
      </c>
      <c r="H166" s="56" t="str">
        <f t="shared" si="26"/>
        <v/>
      </c>
      <c r="I166" s="57" t="str">
        <f t="shared" si="27"/>
        <v/>
      </c>
      <c r="J166" s="58" t="str">
        <f t="shared" si="28"/>
        <v/>
      </c>
      <c r="L166" s="31" t="str">
        <f t="shared" si="29"/>
        <v/>
      </c>
      <c r="M166" s="32" t="str">
        <f t="shared" si="34"/>
        <v/>
      </c>
      <c r="N166" s="32" t="str">
        <f t="shared" si="30"/>
        <v/>
      </c>
      <c r="O166" s="32" t="str">
        <f t="shared" si="31"/>
        <v/>
      </c>
      <c r="P166" s="32" t="str">
        <f t="shared" si="32"/>
        <v/>
      </c>
      <c r="Q166" s="33" t="str">
        <f t="shared" si="32"/>
        <v/>
      </c>
    </row>
    <row r="167" spans="2:17" x14ac:dyDescent="0.25">
      <c r="B167" s="9">
        <v>154</v>
      </c>
      <c r="C167" s="35">
        <v>72000</v>
      </c>
      <c r="D167" s="2"/>
      <c r="E167" s="9" t="str">
        <f t="shared" si="24"/>
        <v/>
      </c>
      <c r="F167" s="54" t="str">
        <f t="shared" si="33"/>
        <v/>
      </c>
      <c r="G167" s="73" t="str">
        <f t="shared" si="25"/>
        <v/>
      </c>
      <c r="H167" s="56" t="str">
        <f t="shared" si="26"/>
        <v/>
      </c>
      <c r="I167" s="57" t="str">
        <f t="shared" si="27"/>
        <v/>
      </c>
      <c r="J167" s="58" t="str">
        <f t="shared" si="28"/>
        <v/>
      </c>
      <c r="L167" s="31" t="str">
        <f t="shared" si="29"/>
        <v/>
      </c>
      <c r="M167" s="32" t="str">
        <f t="shared" si="34"/>
        <v/>
      </c>
      <c r="N167" s="32" t="str">
        <f t="shared" si="30"/>
        <v/>
      </c>
      <c r="O167" s="32" t="str">
        <f t="shared" si="31"/>
        <v/>
      </c>
      <c r="P167" s="32" t="str">
        <f t="shared" si="32"/>
        <v/>
      </c>
      <c r="Q167" s="33" t="str">
        <f t="shared" si="32"/>
        <v/>
      </c>
    </row>
    <row r="168" spans="2:17" x14ac:dyDescent="0.25">
      <c r="B168" s="9">
        <v>155</v>
      </c>
      <c r="C168" s="35">
        <v>74000</v>
      </c>
      <c r="D168" s="2"/>
      <c r="E168" s="9" t="str">
        <f t="shared" si="24"/>
        <v/>
      </c>
      <c r="F168" s="54" t="str">
        <f t="shared" si="33"/>
        <v/>
      </c>
      <c r="G168" s="73" t="str">
        <f t="shared" si="25"/>
        <v/>
      </c>
      <c r="H168" s="56" t="str">
        <f t="shared" si="26"/>
        <v/>
      </c>
      <c r="I168" s="57" t="str">
        <f t="shared" si="27"/>
        <v/>
      </c>
      <c r="J168" s="58" t="str">
        <f t="shared" si="28"/>
        <v/>
      </c>
      <c r="L168" s="31" t="str">
        <f t="shared" si="29"/>
        <v/>
      </c>
      <c r="M168" s="32" t="str">
        <f t="shared" si="34"/>
        <v/>
      </c>
      <c r="N168" s="32" t="str">
        <f t="shared" si="30"/>
        <v/>
      </c>
      <c r="O168" s="32" t="str">
        <f t="shared" si="31"/>
        <v/>
      </c>
      <c r="P168" s="32" t="str">
        <f t="shared" si="32"/>
        <v/>
      </c>
      <c r="Q168" s="33" t="str">
        <f t="shared" si="32"/>
        <v/>
      </c>
    </row>
    <row r="169" spans="2:17" x14ac:dyDescent="0.25">
      <c r="B169" s="9">
        <v>156</v>
      </c>
      <c r="C169" s="35">
        <v>76000</v>
      </c>
      <c r="D169" s="2"/>
      <c r="E169" s="9" t="str">
        <f t="shared" si="24"/>
        <v/>
      </c>
      <c r="F169" s="54" t="str">
        <f t="shared" si="33"/>
        <v/>
      </c>
      <c r="G169" s="73" t="str">
        <f t="shared" si="25"/>
        <v/>
      </c>
      <c r="H169" s="56" t="str">
        <f t="shared" si="26"/>
        <v/>
      </c>
      <c r="I169" s="57" t="str">
        <f t="shared" si="27"/>
        <v/>
      </c>
      <c r="J169" s="58" t="str">
        <f t="shared" si="28"/>
        <v/>
      </c>
      <c r="L169" s="31" t="str">
        <f t="shared" si="29"/>
        <v/>
      </c>
      <c r="M169" s="32" t="str">
        <f t="shared" si="34"/>
        <v/>
      </c>
      <c r="N169" s="32" t="str">
        <f t="shared" si="30"/>
        <v/>
      </c>
      <c r="O169" s="32" t="str">
        <f t="shared" si="31"/>
        <v/>
      </c>
      <c r="P169" s="32" t="str">
        <f t="shared" si="32"/>
        <v/>
      </c>
      <c r="Q169" s="33" t="str">
        <f t="shared" si="32"/>
        <v/>
      </c>
    </row>
    <row r="170" spans="2:17" x14ac:dyDescent="0.25">
      <c r="B170" s="9">
        <v>157</v>
      </c>
      <c r="C170" s="35">
        <v>78000</v>
      </c>
      <c r="D170" s="2"/>
      <c r="E170" s="9" t="str">
        <f t="shared" si="24"/>
        <v/>
      </c>
      <c r="F170" s="54" t="str">
        <f t="shared" si="33"/>
        <v/>
      </c>
      <c r="G170" s="73" t="str">
        <f t="shared" si="25"/>
        <v/>
      </c>
      <c r="H170" s="56" t="str">
        <f t="shared" si="26"/>
        <v/>
      </c>
      <c r="I170" s="57" t="str">
        <f t="shared" si="27"/>
        <v/>
      </c>
      <c r="J170" s="58" t="str">
        <f t="shared" si="28"/>
        <v/>
      </c>
      <c r="L170" s="31" t="str">
        <f t="shared" si="29"/>
        <v/>
      </c>
      <c r="M170" s="32" t="str">
        <f t="shared" si="34"/>
        <v/>
      </c>
      <c r="N170" s="32" t="str">
        <f t="shared" si="30"/>
        <v/>
      </c>
      <c r="O170" s="32" t="str">
        <f t="shared" si="31"/>
        <v/>
      </c>
      <c r="P170" s="32" t="str">
        <f t="shared" si="32"/>
        <v/>
      </c>
      <c r="Q170" s="33" t="str">
        <f t="shared" si="32"/>
        <v/>
      </c>
    </row>
    <row r="171" spans="2:17" x14ac:dyDescent="0.25">
      <c r="B171" s="9">
        <v>158</v>
      </c>
      <c r="C171" s="35">
        <v>80000</v>
      </c>
      <c r="D171" s="2"/>
      <c r="E171" s="9" t="str">
        <f t="shared" si="24"/>
        <v/>
      </c>
      <c r="F171" s="54" t="str">
        <f t="shared" si="33"/>
        <v/>
      </c>
      <c r="G171" s="73" t="str">
        <f t="shared" si="25"/>
        <v/>
      </c>
      <c r="H171" s="56" t="str">
        <f t="shared" si="26"/>
        <v/>
      </c>
      <c r="I171" s="57" t="str">
        <f t="shared" si="27"/>
        <v/>
      </c>
      <c r="J171" s="58" t="str">
        <f t="shared" si="28"/>
        <v/>
      </c>
      <c r="L171" s="31" t="str">
        <f t="shared" si="29"/>
        <v/>
      </c>
      <c r="M171" s="32" t="str">
        <f t="shared" si="34"/>
        <v/>
      </c>
      <c r="N171" s="32" t="str">
        <f t="shared" si="30"/>
        <v/>
      </c>
      <c r="O171" s="32" t="str">
        <f t="shared" si="31"/>
        <v/>
      </c>
      <c r="P171" s="32" t="str">
        <f t="shared" si="32"/>
        <v/>
      </c>
      <c r="Q171" s="33" t="str">
        <f t="shared" si="32"/>
        <v/>
      </c>
    </row>
    <row r="172" spans="2:17" x14ac:dyDescent="0.25">
      <c r="B172" s="9">
        <v>159</v>
      </c>
      <c r="C172" s="35">
        <v>82000</v>
      </c>
      <c r="D172" s="2"/>
      <c r="E172" s="9" t="str">
        <f t="shared" si="24"/>
        <v/>
      </c>
      <c r="F172" s="54" t="str">
        <f t="shared" si="33"/>
        <v/>
      </c>
      <c r="G172" s="73" t="str">
        <f t="shared" si="25"/>
        <v/>
      </c>
      <c r="H172" s="56" t="str">
        <f t="shared" si="26"/>
        <v/>
      </c>
      <c r="I172" s="57" t="str">
        <f t="shared" si="27"/>
        <v/>
      </c>
      <c r="J172" s="58" t="str">
        <f t="shared" si="28"/>
        <v/>
      </c>
      <c r="L172" s="31" t="str">
        <f t="shared" si="29"/>
        <v/>
      </c>
      <c r="M172" s="32" t="str">
        <f t="shared" si="34"/>
        <v/>
      </c>
      <c r="N172" s="32" t="str">
        <f t="shared" si="30"/>
        <v/>
      </c>
      <c r="O172" s="32" t="str">
        <f t="shared" si="31"/>
        <v/>
      </c>
      <c r="P172" s="32" t="str">
        <f t="shared" si="32"/>
        <v/>
      </c>
      <c r="Q172" s="33" t="str">
        <f t="shared" si="32"/>
        <v/>
      </c>
    </row>
    <row r="173" spans="2:17" x14ac:dyDescent="0.25">
      <c r="B173" s="9">
        <v>160</v>
      </c>
      <c r="C173" s="35">
        <v>84000</v>
      </c>
      <c r="D173" s="2"/>
      <c r="E173" s="9" t="str">
        <f t="shared" si="24"/>
        <v/>
      </c>
      <c r="F173" s="54" t="str">
        <f t="shared" si="33"/>
        <v/>
      </c>
      <c r="G173" s="73" t="str">
        <f t="shared" si="25"/>
        <v/>
      </c>
      <c r="H173" s="56" t="str">
        <f t="shared" si="26"/>
        <v/>
      </c>
      <c r="I173" s="57" t="str">
        <f t="shared" si="27"/>
        <v/>
      </c>
      <c r="J173" s="58" t="str">
        <f t="shared" si="28"/>
        <v/>
      </c>
      <c r="L173" s="31" t="str">
        <f t="shared" si="29"/>
        <v/>
      </c>
      <c r="M173" s="32" t="str">
        <f t="shared" si="34"/>
        <v/>
      </c>
      <c r="N173" s="32" t="str">
        <f t="shared" si="30"/>
        <v/>
      </c>
      <c r="O173" s="32" t="str">
        <f t="shared" si="31"/>
        <v/>
      </c>
      <c r="P173" s="32" t="str">
        <f t="shared" si="32"/>
        <v/>
      </c>
      <c r="Q173" s="33" t="str">
        <f t="shared" si="32"/>
        <v/>
      </c>
    </row>
    <row r="174" spans="2:17" x14ac:dyDescent="0.25">
      <c r="B174" s="9">
        <v>161</v>
      </c>
      <c r="C174" s="35">
        <v>86000</v>
      </c>
      <c r="D174" s="2"/>
      <c r="E174" s="9" t="str">
        <f t="shared" si="24"/>
        <v/>
      </c>
      <c r="F174" s="54" t="str">
        <f t="shared" si="33"/>
        <v/>
      </c>
      <c r="G174" s="73" t="str">
        <f t="shared" si="25"/>
        <v/>
      </c>
      <c r="H174" s="56" t="str">
        <f t="shared" si="26"/>
        <v/>
      </c>
      <c r="I174" s="57" t="str">
        <f t="shared" si="27"/>
        <v/>
      </c>
      <c r="J174" s="58" t="str">
        <f t="shared" si="28"/>
        <v/>
      </c>
      <c r="L174" s="31" t="str">
        <f t="shared" si="29"/>
        <v/>
      </c>
      <c r="M174" s="32" t="str">
        <f t="shared" si="34"/>
        <v/>
      </c>
      <c r="N174" s="32" t="str">
        <f t="shared" si="30"/>
        <v/>
      </c>
      <c r="O174" s="32" t="str">
        <f t="shared" si="31"/>
        <v/>
      </c>
      <c r="P174" s="32" t="str">
        <f t="shared" ref="P174:Q203" si="35">IF(AJ176="","",AJ176)</f>
        <v/>
      </c>
      <c r="Q174" s="33" t="str">
        <f t="shared" si="35"/>
        <v/>
      </c>
    </row>
    <row r="175" spans="2:17" x14ac:dyDescent="0.25">
      <c r="B175" s="9">
        <v>162</v>
      </c>
      <c r="C175" s="35">
        <v>88000</v>
      </c>
      <c r="D175" s="2"/>
      <c r="E175" s="9" t="str">
        <f t="shared" si="24"/>
        <v/>
      </c>
      <c r="F175" s="54" t="str">
        <f t="shared" si="33"/>
        <v/>
      </c>
      <c r="G175" s="73" t="str">
        <f t="shared" si="25"/>
        <v/>
      </c>
      <c r="H175" s="56" t="str">
        <f t="shared" si="26"/>
        <v/>
      </c>
      <c r="I175" s="57" t="str">
        <f t="shared" si="27"/>
        <v/>
      </c>
      <c r="J175" s="58" t="str">
        <f t="shared" si="28"/>
        <v/>
      </c>
      <c r="L175" s="31" t="str">
        <f t="shared" si="29"/>
        <v/>
      </c>
      <c r="M175" s="32" t="str">
        <f t="shared" si="34"/>
        <v/>
      </c>
      <c r="N175" s="32" t="str">
        <f t="shared" si="30"/>
        <v/>
      </c>
      <c r="O175" s="32" t="str">
        <f t="shared" si="31"/>
        <v/>
      </c>
      <c r="P175" s="32" t="str">
        <f t="shared" si="35"/>
        <v/>
      </c>
      <c r="Q175" s="33" t="str">
        <f t="shared" si="35"/>
        <v/>
      </c>
    </row>
    <row r="176" spans="2:17" x14ac:dyDescent="0.25">
      <c r="B176" s="9">
        <v>163</v>
      </c>
      <c r="C176" s="35">
        <v>90000</v>
      </c>
      <c r="D176" s="2"/>
      <c r="E176" s="9" t="str">
        <f t="shared" si="24"/>
        <v/>
      </c>
      <c r="F176" s="54" t="str">
        <f t="shared" si="33"/>
        <v/>
      </c>
      <c r="G176" s="73" t="str">
        <f t="shared" si="25"/>
        <v/>
      </c>
      <c r="H176" s="56" t="str">
        <f t="shared" si="26"/>
        <v/>
      </c>
      <c r="I176" s="57" t="str">
        <f t="shared" si="27"/>
        <v/>
      </c>
      <c r="J176" s="58" t="str">
        <f t="shared" si="28"/>
        <v/>
      </c>
      <c r="L176" s="31" t="str">
        <f t="shared" si="29"/>
        <v/>
      </c>
      <c r="M176" s="32" t="str">
        <f t="shared" si="34"/>
        <v/>
      </c>
      <c r="N176" s="32" t="str">
        <f t="shared" si="30"/>
        <v/>
      </c>
      <c r="O176" s="32" t="str">
        <f t="shared" si="31"/>
        <v/>
      </c>
      <c r="P176" s="32" t="str">
        <f t="shared" si="35"/>
        <v/>
      </c>
      <c r="Q176" s="33" t="str">
        <f t="shared" si="35"/>
        <v/>
      </c>
    </row>
    <row r="177" spans="2:17" x14ac:dyDescent="0.25">
      <c r="B177" s="9">
        <v>164</v>
      </c>
      <c r="C177" s="35">
        <v>92000</v>
      </c>
      <c r="D177" s="2"/>
      <c r="E177" s="9" t="str">
        <f t="shared" si="24"/>
        <v/>
      </c>
      <c r="F177" s="54" t="str">
        <f t="shared" si="33"/>
        <v/>
      </c>
      <c r="G177" s="73" t="str">
        <f t="shared" si="25"/>
        <v/>
      </c>
      <c r="H177" s="56" t="str">
        <f t="shared" si="26"/>
        <v/>
      </c>
      <c r="I177" s="57" t="str">
        <f t="shared" si="27"/>
        <v/>
      </c>
      <c r="J177" s="58" t="str">
        <f t="shared" si="28"/>
        <v/>
      </c>
      <c r="L177" s="31" t="str">
        <f t="shared" si="29"/>
        <v/>
      </c>
      <c r="M177" s="32" t="str">
        <f t="shared" si="34"/>
        <v/>
      </c>
      <c r="N177" s="32" t="str">
        <f t="shared" si="30"/>
        <v/>
      </c>
      <c r="O177" s="32" t="str">
        <f t="shared" si="31"/>
        <v/>
      </c>
      <c r="P177" s="32" t="str">
        <f t="shared" si="35"/>
        <v/>
      </c>
      <c r="Q177" s="33" t="str">
        <f t="shared" si="35"/>
        <v/>
      </c>
    </row>
    <row r="178" spans="2:17" x14ac:dyDescent="0.25">
      <c r="B178" s="9">
        <v>165</v>
      </c>
      <c r="C178" s="35">
        <v>94000</v>
      </c>
      <c r="D178" s="2"/>
      <c r="E178" s="9" t="str">
        <f t="shared" si="24"/>
        <v/>
      </c>
      <c r="F178" s="54" t="str">
        <f t="shared" si="33"/>
        <v/>
      </c>
      <c r="G178" s="73" t="str">
        <f t="shared" si="25"/>
        <v/>
      </c>
      <c r="H178" s="56" t="str">
        <f t="shared" si="26"/>
        <v/>
      </c>
      <c r="I178" s="57" t="str">
        <f t="shared" si="27"/>
        <v/>
      </c>
      <c r="J178" s="58" t="str">
        <f t="shared" si="28"/>
        <v/>
      </c>
      <c r="L178" s="31" t="str">
        <f t="shared" si="29"/>
        <v/>
      </c>
      <c r="M178" s="32" t="str">
        <f t="shared" si="34"/>
        <v/>
      </c>
      <c r="N178" s="32" t="str">
        <f t="shared" si="30"/>
        <v/>
      </c>
      <c r="O178" s="32" t="str">
        <f t="shared" si="31"/>
        <v/>
      </c>
      <c r="P178" s="32" t="str">
        <f t="shared" si="35"/>
        <v/>
      </c>
      <c r="Q178" s="33" t="str">
        <f t="shared" si="35"/>
        <v/>
      </c>
    </row>
    <row r="179" spans="2:17" x14ac:dyDescent="0.25">
      <c r="B179" s="9">
        <v>166</v>
      </c>
      <c r="C179" s="35">
        <v>96000</v>
      </c>
      <c r="D179" s="2"/>
      <c r="E179" s="9" t="str">
        <f t="shared" si="24"/>
        <v/>
      </c>
      <c r="F179" s="54" t="str">
        <f t="shared" si="33"/>
        <v/>
      </c>
      <c r="G179" s="73" t="str">
        <f t="shared" si="25"/>
        <v/>
      </c>
      <c r="H179" s="56" t="str">
        <f t="shared" si="26"/>
        <v/>
      </c>
      <c r="I179" s="57" t="str">
        <f t="shared" si="27"/>
        <v/>
      </c>
      <c r="J179" s="58" t="str">
        <f t="shared" si="28"/>
        <v/>
      </c>
      <c r="L179" s="31" t="str">
        <f t="shared" si="29"/>
        <v/>
      </c>
      <c r="M179" s="32" t="str">
        <f t="shared" si="34"/>
        <v/>
      </c>
      <c r="N179" s="32" t="str">
        <f t="shared" si="30"/>
        <v/>
      </c>
      <c r="O179" s="32" t="str">
        <f t="shared" si="31"/>
        <v/>
      </c>
      <c r="P179" s="32" t="str">
        <f t="shared" si="35"/>
        <v/>
      </c>
      <c r="Q179" s="33" t="str">
        <f t="shared" si="35"/>
        <v/>
      </c>
    </row>
    <row r="180" spans="2:17" x14ac:dyDescent="0.25">
      <c r="B180" s="9">
        <v>167</v>
      </c>
      <c r="C180" s="35">
        <v>98000</v>
      </c>
      <c r="D180" s="2"/>
      <c r="E180" s="9" t="str">
        <f t="shared" si="24"/>
        <v/>
      </c>
      <c r="F180" s="54" t="str">
        <f t="shared" si="33"/>
        <v/>
      </c>
      <c r="G180" s="73" t="str">
        <f t="shared" si="25"/>
        <v/>
      </c>
      <c r="H180" s="56" t="str">
        <f t="shared" si="26"/>
        <v/>
      </c>
      <c r="I180" s="57" t="str">
        <f t="shared" si="27"/>
        <v/>
      </c>
      <c r="J180" s="58" t="str">
        <f t="shared" si="28"/>
        <v/>
      </c>
      <c r="L180" s="31" t="str">
        <f t="shared" si="29"/>
        <v/>
      </c>
      <c r="M180" s="32" t="str">
        <f t="shared" si="34"/>
        <v/>
      </c>
      <c r="N180" s="32" t="str">
        <f t="shared" si="30"/>
        <v/>
      </c>
      <c r="O180" s="32" t="str">
        <f t="shared" si="31"/>
        <v/>
      </c>
      <c r="P180" s="32" t="str">
        <f t="shared" si="35"/>
        <v/>
      </c>
      <c r="Q180" s="33" t="str">
        <f t="shared" si="35"/>
        <v/>
      </c>
    </row>
    <row r="181" spans="2:17" x14ac:dyDescent="0.25">
      <c r="B181" s="9">
        <v>168</v>
      </c>
      <c r="C181" s="35">
        <v>100000</v>
      </c>
      <c r="D181" s="2"/>
      <c r="E181" s="9" t="str">
        <f t="shared" si="24"/>
        <v/>
      </c>
      <c r="F181" s="54" t="str">
        <f t="shared" si="33"/>
        <v/>
      </c>
      <c r="G181" s="73" t="str">
        <f t="shared" si="25"/>
        <v/>
      </c>
      <c r="H181" s="56" t="str">
        <f t="shared" si="26"/>
        <v/>
      </c>
      <c r="I181" s="57" t="str">
        <f t="shared" si="27"/>
        <v/>
      </c>
      <c r="J181" s="58" t="str">
        <f t="shared" si="28"/>
        <v/>
      </c>
      <c r="L181" s="31" t="str">
        <f t="shared" si="29"/>
        <v/>
      </c>
      <c r="M181" s="32" t="str">
        <f t="shared" si="34"/>
        <v/>
      </c>
      <c r="N181" s="32" t="str">
        <f t="shared" si="30"/>
        <v/>
      </c>
      <c r="O181" s="32" t="str">
        <f t="shared" si="31"/>
        <v/>
      </c>
      <c r="P181" s="32" t="str">
        <f t="shared" si="35"/>
        <v/>
      </c>
      <c r="Q181" s="33" t="str">
        <f t="shared" si="35"/>
        <v/>
      </c>
    </row>
    <row r="182" spans="2:17" x14ac:dyDescent="0.25">
      <c r="B182" s="9">
        <v>169</v>
      </c>
      <c r="C182" s="35"/>
      <c r="D182" s="2"/>
      <c r="E182" s="9" t="str">
        <f t="shared" si="24"/>
        <v/>
      </c>
      <c r="F182" s="54" t="str">
        <f t="shared" si="33"/>
        <v/>
      </c>
      <c r="G182" s="73" t="str">
        <f t="shared" si="25"/>
        <v/>
      </c>
      <c r="H182" s="56" t="str">
        <f t="shared" si="26"/>
        <v/>
      </c>
      <c r="I182" s="57" t="str">
        <f t="shared" si="27"/>
        <v/>
      </c>
      <c r="J182" s="58" t="str">
        <f t="shared" si="28"/>
        <v/>
      </c>
      <c r="L182" s="31" t="str">
        <f t="shared" si="29"/>
        <v/>
      </c>
      <c r="M182" s="32" t="str">
        <f t="shared" si="34"/>
        <v/>
      </c>
      <c r="N182" s="32" t="str">
        <f t="shared" si="30"/>
        <v/>
      </c>
      <c r="O182" s="32" t="str">
        <f t="shared" si="31"/>
        <v/>
      </c>
      <c r="P182" s="32" t="str">
        <f t="shared" si="35"/>
        <v/>
      </c>
      <c r="Q182" s="33" t="str">
        <f t="shared" si="35"/>
        <v/>
      </c>
    </row>
    <row r="183" spans="2:17" x14ac:dyDescent="0.25">
      <c r="B183" s="9">
        <v>170</v>
      </c>
      <c r="C183" s="35"/>
      <c r="D183" s="2"/>
      <c r="E183" s="9" t="str">
        <f t="shared" si="24"/>
        <v/>
      </c>
      <c r="F183" s="54" t="str">
        <f t="shared" si="33"/>
        <v/>
      </c>
      <c r="G183" s="73" t="str">
        <f t="shared" si="25"/>
        <v/>
      </c>
      <c r="H183" s="56" t="str">
        <f t="shared" si="26"/>
        <v/>
      </c>
      <c r="I183" s="57" t="str">
        <f t="shared" si="27"/>
        <v/>
      </c>
      <c r="J183" s="58" t="str">
        <f t="shared" si="28"/>
        <v/>
      </c>
      <c r="L183" s="31" t="str">
        <f t="shared" si="29"/>
        <v/>
      </c>
      <c r="M183" s="32" t="str">
        <f t="shared" si="34"/>
        <v/>
      </c>
      <c r="N183" s="32" t="str">
        <f t="shared" si="30"/>
        <v/>
      </c>
      <c r="O183" s="32" t="str">
        <f t="shared" si="31"/>
        <v/>
      </c>
      <c r="P183" s="32" t="str">
        <f t="shared" si="35"/>
        <v/>
      </c>
      <c r="Q183" s="33" t="str">
        <f t="shared" si="35"/>
        <v/>
      </c>
    </row>
    <row r="184" spans="2:17" x14ac:dyDescent="0.25">
      <c r="B184" s="9">
        <v>171</v>
      </c>
      <c r="C184" s="35"/>
      <c r="D184" s="2"/>
      <c r="E184" s="9" t="str">
        <f t="shared" si="24"/>
        <v/>
      </c>
      <c r="F184" s="54" t="str">
        <f t="shared" si="33"/>
        <v/>
      </c>
      <c r="G184" s="73" t="str">
        <f t="shared" si="25"/>
        <v/>
      </c>
      <c r="H184" s="56" t="str">
        <f t="shared" si="26"/>
        <v/>
      </c>
      <c r="I184" s="57" t="str">
        <f t="shared" si="27"/>
        <v/>
      </c>
      <c r="J184" s="58" t="str">
        <f t="shared" si="28"/>
        <v/>
      </c>
      <c r="L184" s="31" t="str">
        <f t="shared" si="29"/>
        <v/>
      </c>
      <c r="M184" s="32" t="str">
        <f t="shared" si="34"/>
        <v/>
      </c>
      <c r="N184" s="32" t="str">
        <f t="shared" si="30"/>
        <v/>
      </c>
      <c r="O184" s="32" t="str">
        <f t="shared" si="31"/>
        <v/>
      </c>
      <c r="P184" s="32" t="str">
        <f t="shared" si="35"/>
        <v/>
      </c>
      <c r="Q184" s="33" t="str">
        <f t="shared" si="35"/>
        <v/>
      </c>
    </row>
    <row r="185" spans="2:17" x14ac:dyDescent="0.25">
      <c r="B185" s="9">
        <v>172</v>
      </c>
      <c r="C185" s="35"/>
      <c r="D185" s="2"/>
      <c r="E185" s="9" t="str">
        <f t="shared" si="24"/>
        <v/>
      </c>
      <c r="F185" s="54" t="str">
        <f t="shared" si="33"/>
        <v/>
      </c>
      <c r="G185" s="73" t="str">
        <f t="shared" si="25"/>
        <v/>
      </c>
      <c r="H185" s="56" t="str">
        <f t="shared" si="26"/>
        <v/>
      </c>
      <c r="I185" s="57" t="str">
        <f t="shared" si="27"/>
        <v/>
      </c>
      <c r="J185" s="58" t="str">
        <f t="shared" si="28"/>
        <v/>
      </c>
      <c r="L185" s="31" t="str">
        <f t="shared" si="29"/>
        <v/>
      </c>
      <c r="M185" s="32" t="str">
        <f t="shared" si="34"/>
        <v/>
      </c>
      <c r="N185" s="32" t="str">
        <f t="shared" si="30"/>
        <v/>
      </c>
      <c r="O185" s="32" t="str">
        <f t="shared" si="31"/>
        <v/>
      </c>
      <c r="P185" s="32" t="str">
        <f t="shared" si="35"/>
        <v/>
      </c>
      <c r="Q185" s="33" t="str">
        <f t="shared" si="35"/>
        <v/>
      </c>
    </row>
    <row r="186" spans="2:17" x14ac:dyDescent="0.25">
      <c r="B186" s="9">
        <v>173</v>
      </c>
      <c r="C186" s="35"/>
      <c r="D186" s="2"/>
      <c r="E186" s="9" t="str">
        <f t="shared" si="24"/>
        <v/>
      </c>
      <c r="F186" s="54" t="str">
        <f t="shared" si="33"/>
        <v/>
      </c>
      <c r="G186" s="73" t="str">
        <f t="shared" si="25"/>
        <v/>
      </c>
      <c r="H186" s="56" t="str">
        <f t="shared" si="26"/>
        <v/>
      </c>
      <c r="I186" s="57" t="str">
        <f t="shared" si="27"/>
        <v/>
      </c>
      <c r="J186" s="58" t="str">
        <f t="shared" si="28"/>
        <v/>
      </c>
      <c r="L186" s="31" t="str">
        <f t="shared" si="29"/>
        <v/>
      </c>
      <c r="M186" s="32" t="str">
        <f t="shared" si="34"/>
        <v/>
      </c>
      <c r="N186" s="32" t="str">
        <f t="shared" si="30"/>
        <v/>
      </c>
      <c r="O186" s="32" t="str">
        <f t="shared" si="31"/>
        <v/>
      </c>
      <c r="P186" s="32" t="str">
        <f t="shared" si="35"/>
        <v/>
      </c>
      <c r="Q186" s="33" t="str">
        <f t="shared" si="35"/>
        <v/>
      </c>
    </row>
    <row r="187" spans="2:17" x14ac:dyDescent="0.25">
      <c r="B187" s="9">
        <v>174</v>
      </c>
      <c r="C187" s="35"/>
      <c r="D187" s="2"/>
      <c r="E187" s="9" t="str">
        <f t="shared" si="24"/>
        <v/>
      </c>
      <c r="F187" s="54" t="str">
        <f t="shared" si="33"/>
        <v/>
      </c>
      <c r="G187" s="73" t="str">
        <f t="shared" si="25"/>
        <v/>
      </c>
      <c r="H187" s="56" t="str">
        <f t="shared" si="26"/>
        <v/>
      </c>
      <c r="I187" s="57" t="str">
        <f t="shared" si="27"/>
        <v/>
      </c>
      <c r="J187" s="58" t="str">
        <f t="shared" si="28"/>
        <v/>
      </c>
      <c r="L187" s="31" t="str">
        <f t="shared" si="29"/>
        <v/>
      </c>
      <c r="M187" s="32" t="str">
        <f t="shared" si="34"/>
        <v/>
      </c>
      <c r="N187" s="32" t="str">
        <f t="shared" si="30"/>
        <v/>
      </c>
      <c r="O187" s="32" t="str">
        <f t="shared" si="31"/>
        <v/>
      </c>
      <c r="P187" s="32" t="str">
        <f t="shared" si="35"/>
        <v/>
      </c>
      <c r="Q187" s="33" t="str">
        <f t="shared" si="35"/>
        <v/>
      </c>
    </row>
    <row r="188" spans="2:17" x14ac:dyDescent="0.25">
      <c r="B188" s="9">
        <v>175</v>
      </c>
      <c r="C188" s="35"/>
      <c r="D188" s="2"/>
      <c r="E188" s="9" t="str">
        <f t="shared" si="24"/>
        <v/>
      </c>
      <c r="F188" s="54" t="str">
        <f t="shared" si="33"/>
        <v/>
      </c>
      <c r="G188" s="73" t="str">
        <f t="shared" si="25"/>
        <v/>
      </c>
      <c r="H188" s="56" t="str">
        <f t="shared" si="26"/>
        <v/>
      </c>
      <c r="I188" s="57" t="str">
        <f t="shared" si="27"/>
        <v/>
      </c>
      <c r="J188" s="58" t="str">
        <f t="shared" si="28"/>
        <v/>
      </c>
      <c r="L188" s="31" t="str">
        <f t="shared" si="29"/>
        <v/>
      </c>
      <c r="M188" s="32" t="str">
        <f t="shared" si="34"/>
        <v/>
      </c>
      <c r="N188" s="32" t="str">
        <f t="shared" si="30"/>
        <v/>
      </c>
      <c r="O188" s="32" t="str">
        <f t="shared" si="31"/>
        <v/>
      </c>
      <c r="P188" s="32" t="str">
        <f t="shared" si="35"/>
        <v/>
      </c>
      <c r="Q188" s="33" t="str">
        <f t="shared" si="35"/>
        <v/>
      </c>
    </row>
    <row r="189" spans="2:17" x14ac:dyDescent="0.25">
      <c r="B189" s="9">
        <v>176</v>
      </c>
      <c r="C189" s="35"/>
      <c r="D189" s="2"/>
      <c r="E189" s="9" t="str">
        <f t="shared" si="24"/>
        <v/>
      </c>
      <c r="F189" s="54" t="str">
        <f t="shared" si="33"/>
        <v/>
      </c>
      <c r="G189" s="73" t="str">
        <f t="shared" si="25"/>
        <v/>
      </c>
      <c r="H189" s="56" t="str">
        <f t="shared" si="26"/>
        <v/>
      </c>
      <c r="I189" s="57" t="str">
        <f t="shared" si="27"/>
        <v/>
      </c>
      <c r="J189" s="58" t="str">
        <f t="shared" si="28"/>
        <v/>
      </c>
      <c r="L189" s="31" t="str">
        <f t="shared" si="29"/>
        <v/>
      </c>
      <c r="M189" s="32" t="str">
        <f t="shared" si="34"/>
        <v/>
      </c>
      <c r="N189" s="32" t="str">
        <f t="shared" si="30"/>
        <v/>
      </c>
      <c r="O189" s="32" t="str">
        <f t="shared" si="31"/>
        <v/>
      </c>
      <c r="P189" s="32" t="str">
        <f t="shared" si="35"/>
        <v/>
      </c>
      <c r="Q189" s="33" t="str">
        <f t="shared" si="35"/>
        <v/>
      </c>
    </row>
    <row r="190" spans="2:17" x14ac:dyDescent="0.25">
      <c r="B190" s="9">
        <v>177</v>
      </c>
      <c r="C190" s="35"/>
      <c r="D190" s="2"/>
      <c r="E190" s="9" t="str">
        <f t="shared" si="24"/>
        <v/>
      </c>
      <c r="F190" s="54" t="str">
        <f t="shared" si="33"/>
        <v/>
      </c>
      <c r="G190" s="73" t="str">
        <f t="shared" si="25"/>
        <v/>
      </c>
      <c r="H190" s="56" t="str">
        <f t="shared" si="26"/>
        <v/>
      </c>
      <c r="I190" s="57" t="str">
        <f t="shared" si="27"/>
        <v/>
      </c>
      <c r="J190" s="58" t="str">
        <f t="shared" si="28"/>
        <v/>
      </c>
      <c r="L190" s="31" t="str">
        <f t="shared" si="29"/>
        <v/>
      </c>
      <c r="M190" s="32" t="str">
        <f t="shared" si="34"/>
        <v/>
      </c>
      <c r="N190" s="32" t="str">
        <f t="shared" si="30"/>
        <v/>
      </c>
      <c r="O190" s="32" t="str">
        <f t="shared" si="31"/>
        <v/>
      </c>
      <c r="P190" s="32" t="str">
        <f t="shared" si="35"/>
        <v/>
      </c>
      <c r="Q190" s="33" t="str">
        <f t="shared" si="35"/>
        <v/>
      </c>
    </row>
    <row r="191" spans="2:17" x14ac:dyDescent="0.25">
      <c r="B191" s="9">
        <v>178</v>
      </c>
      <c r="C191" s="35"/>
      <c r="D191" s="2"/>
      <c r="E191" s="9" t="str">
        <f t="shared" si="24"/>
        <v/>
      </c>
      <c r="F191" s="54" t="str">
        <f t="shared" si="33"/>
        <v/>
      </c>
      <c r="G191" s="73" t="str">
        <f t="shared" si="25"/>
        <v/>
      </c>
      <c r="H191" s="56" t="str">
        <f t="shared" si="26"/>
        <v/>
      </c>
      <c r="I191" s="57" t="str">
        <f t="shared" si="27"/>
        <v/>
      </c>
      <c r="J191" s="58" t="str">
        <f t="shared" si="28"/>
        <v/>
      </c>
      <c r="L191" s="31" t="str">
        <f t="shared" si="29"/>
        <v/>
      </c>
      <c r="M191" s="32" t="str">
        <f t="shared" si="34"/>
        <v/>
      </c>
      <c r="N191" s="32" t="str">
        <f t="shared" si="30"/>
        <v/>
      </c>
      <c r="O191" s="32" t="str">
        <f t="shared" si="31"/>
        <v/>
      </c>
      <c r="P191" s="32" t="str">
        <f t="shared" si="35"/>
        <v/>
      </c>
      <c r="Q191" s="33" t="str">
        <f t="shared" si="35"/>
        <v/>
      </c>
    </row>
    <row r="192" spans="2:17" x14ac:dyDescent="0.25">
      <c r="B192" s="9">
        <v>179</v>
      </c>
      <c r="C192" s="35"/>
      <c r="D192" s="2"/>
      <c r="E192" s="9" t="str">
        <f t="shared" si="24"/>
        <v/>
      </c>
      <c r="F192" s="54" t="str">
        <f t="shared" si="33"/>
        <v/>
      </c>
      <c r="G192" s="73" t="str">
        <f t="shared" si="25"/>
        <v/>
      </c>
      <c r="H192" s="56" t="str">
        <f t="shared" si="26"/>
        <v/>
      </c>
      <c r="I192" s="57" t="str">
        <f t="shared" si="27"/>
        <v/>
      </c>
      <c r="J192" s="58" t="str">
        <f t="shared" si="28"/>
        <v/>
      </c>
      <c r="L192" s="31" t="str">
        <f t="shared" si="29"/>
        <v/>
      </c>
      <c r="M192" s="32" t="str">
        <f t="shared" si="34"/>
        <v/>
      </c>
      <c r="N192" s="32" t="str">
        <f t="shared" si="30"/>
        <v/>
      </c>
      <c r="O192" s="32" t="str">
        <f t="shared" si="31"/>
        <v/>
      </c>
      <c r="P192" s="32" t="str">
        <f t="shared" si="35"/>
        <v/>
      </c>
      <c r="Q192" s="33" t="str">
        <f t="shared" si="35"/>
        <v/>
      </c>
    </row>
    <row r="193" spans="2:17" x14ac:dyDescent="0.25">
      <c r="B193" s="9">
        <v>180</v>
      </c>
      <c r="C193" s="35"/>
      <c r="D193" s="2"/>
      <c r="E193" s="9" t="str">
        <f t="shared" si="24"/>
        <v/>
      </c>
      <c r="F193" s="54" t="str">
        <f t="shared" si="33"/>
        <v/>
      </c>
      <c r="G193" s="73" t="str">
        <f t="shared" si="25"/>
        <v/>
      </c>
      <c r="H193" s="56" t="str">
        <f t="shared" si="26"/>
        <v/>
      </c>
      <c r="I193" s="57" t="str">
        <f t="shared" si="27"/>
        <v/>
      </c>
      <c r="J193" s="58" t="str">
        <f t="shared" si="28"/>
        <v/>
      </c>
      <c r="L193" s="31" t="str">
        <f t="shared" si="29"/>
        <v/>
      </c>
      <c r="M193" s="32" t="str">
        <f t="shared" si="34"/>
        <v/>
      </c>
      <c r="N193" s="32" t="str">
        <f t="shared" si="30"/>
        <v/>
      </c>
      <c r="O193" s="32" t="str">
        <f t="shared" si="31"/>
        <v/>
      </c>
      <c r="P193" s="32" t="str">
        <f t="shared" si="35"/>
        <v/>
      </c>
      <c r="Q193" s="33" t="str">
        <f t="shared" si="35"/>
        <v/>
      </c>
    </row>
    <row r="194" spans="2:17" x14ac:dyDescent="0.25">
      <c r="B194" s="9">
        <v>181</v>
      </c>
      <c r="C194" s="35"/>
      <c r="D194" s="2"/>
      <c r="E194" s="9" t="str">
        <f t="shared" si="24"/>
        <v/>
      </c>
      <c r="F194" s="54" t="str">
        <f t="shared" si="33"/>
        <v/>
      </c>
      <c r="G194" s="73" t="str">
        <f t="shared" si="25"/>
        <v/>
      </c>
      <c r="H194" s="56" t="str">
        <f t="shared" si="26"/>
        <v/>
      </c>
      <c r="I194" s="57" t="str">
        <f t="shared" si="27"/>
        <v/>
      </c>
      <c r="J194" s="58" t="str">
        <f t="shared" si="28"/>
        <v/>
      </c>
      <c r="L194" s="31" t="str">
        <f t="shared" si="29"/>
        <v/>
      </c>
      <c r="M194" s="32" t="str">
        <f t="shared" si="34"/>
        <v/>
      </c>
      <c r="N194" s="32" t="str">
        <f t="shared" si="30"/>
        <v/>
      </c>
      <c r="O194" s="32" t="str">
        <f t="shared" si="31"/>
        <v/>
      </c>
      <c r="P194" s="32" t="str">
        <f t="shared" si="35"/>
        <v/>
      </c>
      <c r="Q194" s="33" t="str">
        <f t="shared" si="35"/>
        <v/>
      </c>
    </row>
    <row r="195" spans="2:17" x14ac:dyDescent="0.25">
      <c r="B195" s="9">
        <v>182</v>
      </c>
      <c r="C195" s="35"/>
      <c r="D195" s="2"/>
      <c r="E195" s="9" t="str">
        <f t="shared" si="24"/>
        <v/>
      </c>
      <c r="F195" s="54" t="str">
        <f t="shared" si="33"/>
        <v/>
      </c>
      <c r="G195" s="73" t="str">
        <f t="shared" si="25"/>
        <v/>
      </c>
      <c r="H195" s="56" t="str">
        <f t="shared" si="26"/>
        <v/>
      </c>
      <c r="I195" s="57" t="str">
        <f t="shared" si="27"/>
        <v/>
      </c>
      <c r="J195" s="58" t="str">
        <f t="shared" si="28"/>
        <v/>
      </c>
      <c r="L195" s="31" t="str">
        <f t="shared" si="29"/>
        <v/>
      </c>
      <c r="M195" s="32" t="str">
        <f t="shared" si="34"/>
        <v/>
      </c>
      <c r="N195" s="32" t="str">
        <f t="shared" si="30"/>
        <v/>
      </c>
      <c r="O195" s="32" t="str">
        <f t="shared" si="31"/>
        <v/>
      </c>
      <c r="P195" s="32" t="str">
        <f t="shared" si="35"/>
        <v/>
      </c>
      <c r="Q195" s="33" t="str">
        <f t="shared" si="35"/>
        <v/>
      </c>
    </row>
    <row r="196" spans="2:17" x14ac:dyDescent="0.25">
      <c r="B196" s="9">
        <v>183</v>
      </c>
      <c r="C196" s="35"/>
      <c r="D196" s="2"/>
      <c r="E196" s="9" t="str">
        <f t="shared" si="24"/>
        <v/>
      </c>
      <c r="F196" s="54" t="str">
        <f t="shared" si="33"/>
        <v/>
      </c>
      <c r="G196" s="73" t="str">
        <f t="shared" si="25"/>
        <v/>
      </c>
      <c r="H196" s="56" t="str">
        <f t="shared" si="26"/>
        <v/>
      </c>
      <c r="I196" s="57" t="str">
        <f t="shared" si="27"/>
        <v/>
      </c>
      <c r="J196" s="58" t="str">
        <f t="shared" si="28"/>
        <v/>
      </c>
      <c r="L196" s="31" t="str">
        <f t="shared" si="29"/>
        <v/>
      </c>
      <c r="M196" s="32" t="str">
        <f t="shared" si="34"/>
        <v/>
      </c>
      <c r="N196" s="32" t="str">
        <f t="shared" si="30"/>
        <v/>
      </c>
      <c r="O196" s="32" t="str">
        <f t="shared" si="31"/>
        <v/>
      </c>
      <c r="P196" s="32" t="str">
        <f t="shared" si="35"/>
        <v/>
      </c>
      <c r="Q196" s="33" t="str">
        <f t="shared" si="35"/>
        <v/>
      </c>
    </row>
    <row r="197" spans="2:17" x14ac:dyDescent="0.25">
      <c r="B197" s="9">
        <v>184</v>
      </c>
      <c r="C197" s="35"/>
      <c r="D197" s="2"/>
      <c r="E197" s="9" t="str">
        <f t="shared" si="24"/>
        <v/>
      </c>
      <c r="F197" s="54" t="str">
        <f t="shared" si="33"/>
        <v/>
      </c>
      <c r="G197" s="73" t="str">
        <f t="shared" si="25"/>
        <v/>
      </c>
      <c r="H197" s="56" t="str">
        <f t="shared" si="26"/>
        <v/>
      </c>
      <c r="I197" s="57" t="str">
        <f t="shared" si="27"/>
        <v/>
      </c>
      <c r="J197" s="58" t="str">
        <f t="shared" si="28"/>
        <v/>
      </c>
      <c r="L197" s="31" t="str">
        <f t="shared" si="29"/>
        <v/>
      </c>
      <c r="M197" s="32" t="str">
        <f t="shared" si="34"/>
        <v/>
      </c>
      <c r="N197" s="32" t="str">
        <f t="shared" si="30"/>
        <v/>
      </c>
      <c r="O197" s="32" t="str">
        <f t="shared" si="31"/>
        <v/>
      </c>
      <c r="P197" s="32" t="str">
        <f t="shared" si="35"/>
        <v/>
      </c>
      <c r="Q197" s="33" t="str">
        <f t="shared" si="35"/>
        <v/>
      </c>
    </row>
    <row r="198" spans="2:17" x14ac:dyDescent="0.25">
      <c r="B198" s="9">
        <v>185</v>
      </c>
      <c r="C198" s="35"/>
      <c r="D198" s="2"/>
      <c r="E198" s="9" t="str">
        <f t="shared" si="24"/>
        <v/>
      </c>
      <c r="F198" s="54" t="str">
        <f t="shared" si="33"/>
        <v/>
      </c>
      <c r="G198" s="73" t="str">
        <f t="shared" si="25"/>
        <v/>
      </c>
      <c r="H198" s="56" t="str">
        <f t="shared" si="26"/>
        <v/>
      </c>
      <c r="I198" s="57" t="str">
        <f t="shared" si="27"/>
        <v/>
      </c>
      <c r="J198" s="58" t="str">
        <f t="shared" si="28"/>
        <v/>
      </c>
      <c r="L198" s="31" t="str">
        <f t="shared" si="29"/>
        <v/>
      </c>
      <c r="M198" s="32" t="str">
        <f t="shared" si="34"/>
        <v/>
      </c>
      <c r="N198" s="32" t="str">
        <f t="shared" si="30"/>
        <v/>
      </c>
      <c r="O198" s="32" t="str">
        <f t="shared" si="31"/>
        <v/>
      </c>
      <c r="P198" s="32" t="str">
        <f t="shared" si="35"/>
        <v/>
      </c>
      <c r="Q198" s="33" t="str">
        <f t="shared" si="35"/>
        <v/>
      </c>
    </row>
    <row r="199" spans="2:17" x14ac:dyDescent="0.25">
      <c r="B199" s="9">
        <v>186</v>
      </c>
      <c r="C199" s="35"/>
      <c r="D199" s="2"/>
      <c r="E199" s="9" t="str">
        <f t="shared" si="24"/>
        <v/>
      </c>
      <c r="F199" s="54" t="str">
        <f t="shared" si="33"/>
        <v/>
      </c>
      <c r="G199" s="73" t="str">
        <f t="shared" si="25"/>
        <v/>
      </c>
      <c r="H199" s="56" t="str">
        <f t="shared" si="26"/>
        <v/>
      </c>
      <c r="I199" s="57" t="str">
        <f t="shared" si="27"/>
        <v/>
      </c>
      <c r="J199" s="58" t="str">
        <f t="shared" si="28"/>
        <v/>
      </c>
      <c r="L199" s="31" t="str">
        <f t="shared" si="29"/>
        <v/>
      </c>
      <c r="M199" s="32" t="str">
        <f t="shared" si="34"/>
        <v/>
      </c>
      <c r="N199" s="32" t="str">
        <f t="shared" si="30"/>
        <v/>
      </c>
      <c r="O199" s="32" t="str">
        <f t="shared" si="31"/>
        <v/>
      </c>
      <c r="P199" s="32" t="str">
        <f t="shared" si="35"/>
        <v/>
      </c>
      <c r="Q199" s="33" t="str">
        <f t="shared" si="35"/>
        <v/>
      </c>
    </row>
    <row r="200" spans="2:17" x14ac:dyDescent="0.25">
      <c r="B200" s="9">
        <v>187</v>
      </c>
      <c r="C200" s="35"/>
      <c r="D200" s="2"/>
      <c r="E200" s="9" t="str">
        <f t="shared" si="24"/>
        <v/>
      </c>
      <c r="F200" s="54" t="str">
        <f t="shared" si="33"/>
        <v/>
      </c>
      <c r="G200" s="73" t="str">
        <f t="shared" si="25"/>
        <v/>
      </c>
      <c r="H200" s="56" t="str">
        <f t="shared" si="26"/>
        <v/>
      </c>
      <c r="I200" s="57" t="str">
        <f t="shared" si="27"/>
        <v/>
      </c>
      <c r="J200" s="58" t="str">
        <f t="shared" si="28"/>
        <v/>
      </c>
      <c r="L200" s="31" t="str">
        <f t="shared" si="29"/>
        <v/>
      </c>
      <c r="M200" s="32" t="str">
        <f t="shared" si="34"/>
        <v/>
      </c>
      <c r="N200" s="32" t="str">
        <f t="shared" si="30"/>
        <v/>
      </c>
      <c r="O200" s="32" t="str">
        <f t="shared" si="31"/>
        <v/>
      </c>
      <c r="P200" s="32" t="str">
        <f t="shared" si="35"/>
        <v/>
      </c>
      <c r="Q200" s="33" t="str">
        <f t="shared" si="35"/>
        <v/>
      </c>
    </row>
    <row r="201" spans="2:17" x14ac:dyDescent="0.25">
      <c r="B201" s="9">
        <v>188</v>
      </c>
      <c r="C201" s="35"/>
      <c r="D201" s="2"/>
      <c r="E201" s="9" t="str">
        <f t="shared" si="24"/>
        <v/>
      </c>
      <c r="F201" s="54" t="str">
        <f t="shared" si="33"/>
        <v/>
      </c>
      <c r="G201" s="73" t="str">
        <f t="shared" si="25"/>
        <v/>
      </c>
      <c r="H201" s="56" t="str">
        <f t="shared" si="26"/>
        <v/>
      </c>
      <c r="I201" s="57" t="str">
        <f t="shared" si="27"/>
        <v/>
      </c>
      <c r="J201" s="58" t="str">
        <f t="shared" si="28"/>
        <v/>
      </c>
      <c r="L201" s="31" t="str">
        <f t="shared" si="29"/>
        <v/>
      </c>
      <c r="M201" s="32" t="str">
        <f t="shared" si="34"/>
        <v/>
      </c>
      <c r="N201" s="32" t="str">
        <f t="shared" si="30"/>
        <v/>
      </c>
      <c r="O201" s="32" t="str">
        <f t="shared" si="31"/>
        <v/>
      </c>
      <c r="P201" s="32" t="str">
        <f t="shared" si="35"/>
        <v/>
      </c>
      <c r="Q201" s="33" t="str">
        <f t="shared" si="35"/>
        <v/>
      </c>
    </row>
    <row r="202" spans="2:17" x14ac:dyDescent="0.25">
      <c r="B202" s="9">
        <v>189</v>
      </c>
      <c r="C202" s="35"/>
      <c r="D202" s="2"/>
      <c r="E202" s="9" t="str">
        <f t="shared" si="24"/>
        <v/>
      </c>
      <c r="F202" s="54" t="str">
        <f t="shared" si="33"/>
        <v/>
      </c>
      <c r="G202" s="73" t="str">
        <f t="shared" si="25"/>
        <v/>
      </c>
      <c r="H202" s="56" t="str">
        <f t="shared" si="26"/>
        <v/>
      </c>
      <c r="I202" s="57" t="str">
        <f t="shared" si="27"/>
        <v/>
      </c>
      <c r="J202" s="58" t="str">
        <f t="shared" si="28"/>
        <v/>
      </c>
      <c r="L202" s="31" t="str">
        <f t="shared" si="29"/>
        <v/>
      </c>
      <c r="M202" s="32" t="str">
        <f t="shared" si="34"/>
        <v/>
      </c>
      <c r="N202" s="32" t="str">
        <f t="shared" si="30"/>
        <v/>
      </c>
      <c r="O202" s="32" t="str">
        <f t="shared" si="31"/>
        <v/>
      </c>
      <c r="P202" s="32" t="str">
        <f t="shared" si="35"/>
        <v/>
      </c>
      <c r="Q202" s="33" t="str">
        <f t="shared" si="35"/>
        <v/>
      </c>
    </row>
    <row r="203" spans="2:17" ht="13.8" thickBot="1" x14ac:dyDescent="0.3">
      <c r="B203" s="10">
        <v>190</v>
      </c>
      <c r="C203" s="36"/>
      <c r="D203" s="2"/>
      <c r="E203" s="10" t="str">
        <f t="shared" si="24"/>
        <v/>
      </c>
      <c r="F203" s="26" t="str">
        <f t="shared" si="33"/>
        <v/>
      </c>
      <c r="G203" s="74" t="str">
        <f t="shared" si="25"/>
        <v/>
      </c>
      <c r="H203" s="60" t="str">
        <f t="shared" si="26"/>
        <v/>
      </c>
      <c r="I203" s="61" t="str">
        <f t="shared" si="27"/>
        <v/>
      </c>
      <c r="J203" s="62" t="str">
        <f t="shared" si="28"/>
        <v/>
      </c>
      <c r="L203" s="65" t="str">
        <f t="shared" si="29"/>
        <v/>
      </c>
      <c r="M203" s="66" t="str">
        <f t="shared" si="34"/>
        <v/>
      </c>
      <c r="N203" s="66" t="str">
        <f t="shared" si="30"/>
        <v/>
      </c>
      <c r="O203" s="66" t="str">
        <f t="shared" si="31"/>
        <v/>
      </c>
      <c r="P203" s="66" t="str">
        <f t="shared" si="35"/>
        <v/>
      </c>
      <c r="Q203" s="67" t="str">
        <f t="shared" si="35"/>
        <v/>
      </c>
    </row>
    <row r="204" spans="2:17" ht="13.8" thickTop="1" x14ac:dyDescent="0.25">
      <c r="B204" s="2"/>
      <c r="C204" s="2"/>
      <c r="D204" s="2"/>
      <c r="E204" s="2"/>
      <c r="F204" s="2"/>
      <c r="G204" s="43"/>
      <c r="H204" s="2"/>
    </row>
    <row r="205" spans="2:17" x14ac:dyDescent="0.25">
      <c r="B205" s="2"/>
      <c r="C205" s="2"/>
      <c r="D205" s="2"/>
      <c r="E205" s="2"/>
      <c r="F205" s="2"/>
      <c r="G205" s="43"/>
      <c r="H205" s="2"/>
    </row>
    <row r="206" spans="2:17" x14ac:dyDescent="0.25">
      <c r="B206" s="2"/>
      <c r="C206" s="2"/>
      <c r="D206" s="2"/>
      <c r="E206" s="2"/>
      <c r="F206" s="2"/>
      <c r="G206" s="43"/>
      <c r="H206" s="2"/>
    </row>
    <row r="207" spans="2:17" x14ac:dyDescent="0.25">
      <c r="B207" s="2"/>
      <c r="C207" s="2"/>
      <c r="D207" s="2"/>
      <c r="E207" s="2"/>
      <c r="F207" s="2"/>
      <c r="G207" s="43"/>
      <c r="H207" s="2"/>
    </row>
  </sheetData>
  <mergeCells count="14">
    <mergeCell ref="E8:G8"/>
    <mergeCell ref="E9:G9"/>
    <mergeCell ref="U3:V3"/>
    <mergeCell ref="E4:G4"/>
    <mergeCell ref="B11:C11"/>
    <mergeCell ref="E11:J11"/>
    <mergeCell ref="B3:C3"/>
    <mergeCell ref="E3:H3"/>
    <mergeCell ref="J3:K3"/>
    <mergeCell ref="M3:R3"/>
    <mergeCell ref="L11:Q11"/>
    <mergeCell ref="E5:G5"/>
    <mergeCell ref="E6:G6"/>
    <mergeCell ref="E7:G7"/>
  </mergeCells>
  <pageMargins left="0.75" right="0.75" top="1" bottom="1" header="0.5" footer="0.5"/>
  <pageSetup paperSize="9" orientation="portrait" verticalDpi="0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E86A6-9616-49DD-BEB1-DB8F0D43C653}">
  <sheetPr codeName="Blad17"/>
  <dimension ref="B1:AU207"/>
  <sheetViews>
    <sheetView topLeftCell="A13" workbookViewId="0">
      <selection activeCell="B1" sqref="B1"/>
    </sheetView>
  </sheetViews>
  <sheetFormatPr defaultRowHeight="13.2" x14ac:dyDescent="0.25"/>
  <cols>
    <col min="1" max="1" width="2" customWidth="1"/>
    <col min="4" max="4" width="4.5546875" customWidth="1"/>
    <col min="6" max="6" width="10.6640625" bestFit="1" customWidth="1"/>
    <col min="11" max="11" width="8.33203125" customWidth="1"/>
  </cols>
  <sheetData>
    <row r="1" spans="2:47" ht="12" customHeight="1" x14ac:dyDescent="0.25">
      <c r="B1" s="4"/>
      <c r="E1" s="2"/>
      <c r="F1" s="1"/>
      <c r="G1" s="2"/>
      <c r="H1" s="2"/>
      <c r="S1" t="str">
        <f>Invoer!L1</f>
        <v>versie 1.2 juli 2009</v>
      </c>
    </row>
    <row r="2" spans="2:47" ht="5.25" customHeight="1" thickBot="1" x14ac:dyDescent="0.3">
      <c r="B2" s="51"/>
      <c r="H2" s="2"/>
    </row>
    <row r="3" spans="2:47" ht="14.4" thickTop="1" thickBot="1" x14ac:dyDescent="0.3">
      <c r="B3" s="152" t="s">
        <v>22</v>
      </c>
      <c r="C3" s="154"/>
      <c r="E3" s="152" t="s">
        <v>15</v>
      </c>
      <c r="F3" s="153"/>
      <c r="G3" s="153"/>
      <c r="H3" s="154"/>
      <c r="J3" s="152" t="s">
        <v>20</v>
      </c>
      <c r="K3" s="160"/>
      <c r="M3" s="152" t="s">
        <v>31</v>
      </c>
      <c r="N3" s="153"/>
      <c r="O3" s="153"/>
      <c r="P3" s="153"/>
      <c r="Q3" s="161"/>
      <c r="R3" s="162"/>
      <c r="U3" s="152" t="s">
        <v>23</v>
      </c>
      <c r="V3" s="160"/>
    </row>
    <row r="4" spans="2:47" ht="16.2" thickTop="1" x14ac:dyDescent="0.35">
      <c r="B4" s="18" t="s">
        <v>12</v>
      </c>
      <c r="C4" s="83" t="s">
        <v>117</v>
      </c>
      <c r="E4" s="155" t="s">
        <v>35</v>
      </c>
      <c r="F4" s="146"/>
      <c r="G4" s="147"/>
      <c r="H4" s="38">
        <v>5</v>
      </c>
      <c r="J4" s="16" t="s">
        <v>11</v>
      </c>
      <c r="K4" s="20">
        <f>COUNT(G14:G203)</f>
        <v>47</v>
      </c>
      <c r="M4" s="6" t="s">
        <v>12</v>
      </c>
      <c r="N4" s="88" t="s">
        <v>54</v>
      </c>
      <c r="O4" s="15" t="s">
        <v>53</v>
      </c>
      <c r="P4" s="15" t="s">
        <v>29</v>
      </c>
      <c r="Q4" s="68" t="s">
        <v>45</v>
      </c>
      <c r="R4" s="20" t="s">
        <v>30</v>
      </c>
      <c r="U4" s="69" t="s">
        <v>7</v>
      </c>
      <c r="V4" s="21">
        <f>IF(C6="","",((H7/1000)^3-1.5*(H6/1000)^2*(H7/1000)+0.5*(H6/1000)^3)/(4*(C6/1000)*(C7/1000)^3))</f>
        <v>311.19647514235459</v>
      </c>
    </row>
    <row r="5" spans="2:47" ht="16.2" thickBot="1" x14ac:dyDescent="0.4">
      <c r="B5" s="19" t="s">
        <v>27</v>
      </c>
      <c r="C5" s="27">
        <v>1314.2</v>
      </c>
      <c r="D5" s="2"/>
      <c r="E5" s="145" t="s">
        <v>14</v>
      </c>
      <c r="F5" s="148"/>
      <c r="G5" s="147"/>
      <c r="H5" s="28">
        <v>1</v>
      </c>
      <c r="J5" s="17" t="s">
        <v>18</v>
      </c>
      <c r="K5" s="21">
        <f>IF(I15="","",ROUND(AVERAGE(I15:I16),0))</f>
        <v>4015</v>
      </c>
      <c r="M5" s="13"/>
      <c r="N5" s="12" t="s">
        <v>48</v>
      </c>
      <c r="O5" s="14" t="s">
        <v>1</v>
      </c>
      <c r="P5" s="14" t="s">
        <v>1</v>
      </c>
      <c r="Q5" s="68" t="s">
        <v>46</v>
      </c>
      <c r="R5" s="22" t="s">
        <v>10</v>
      </c>
      <c r="U5" s="69" t="s">
        <v>8</v>
      </c>
      <c r="V5" s="87">
        <f>0.573*C5/1000+0.872*H8/1000</f>
        <v>2.2354366000000003</v>
      </c>
    </row>
    <row r="6" spans="2:47" ht="14.4" thickTop="1" thickBot="1" x14ac:dyDescent="0.3">
      <c r="B6" s="19" t="s">
        <v>5</v>
      </c>
      <c r="C6" s="27">
        <v>50.2</v>
      </c>
      <c r="D6" s="2"/>
      <c r="E6" s="145" t="s">
        <v>26</v>
      </c>
      <c r="F6" s="146"/>
      <c r="G6" s="147"/>
      <c r="H6" s="28">
        <v>0</v>
      </c>
      <c r="J6" s="17" t="s">
        <v>44</v>
      </c>
      <c r="K6" s="21">
        <f>IF(J15="","",ROUND(AVERAGE(J15:J16),0))</f>
        <v>10</v>
      </c>
      <c r="M6" s="16"/>
      <c r="N6" s="45"/>
      <c r="O6" s="45"/>
      <c r="P6" s="45"/>
      <c r="Q6" s="15"/>
      <c r="R6" s="39"/>
      <c r="U6" s="13" t="s">
        <v>57</v>
      </c>
      <c r="V6" s="98">
        <f ca="1">IF(K5="","",(OFFSET(H14,K4-1,1)+OFFSET(H14,K4-1,1))/2)</f>
        <v>94</v>
      </c>
      <c r="AB6" t="s">
        <v>84</v>
      </c>
    </row>
    <row r="7" spans="2:47" ht="16.8" thickTop="1" thickBot="1" x14ac:dyDescent="0.4">
      <c r="B7" s="19" t="s">
        <v>6</v>
      </c>
      <c r="C7" s="27">
        <v>50.4</v>
      </c>
      <c r="D7" s="2"/>
      <c r="E7" s="145" t="s">
        <v>25</v>
      </c>
      <c r="F7" s="146"/>
      <c r="G7" s="147"/>
      <c r="H7" s="28">
        <v>200</v>
      </c>
      <c r="J7" s="17" t="s">
        <v>19</v>
      </c>
      <c r="K7" s="21">
        <f ca="1">IF(K5="n/b","",OFFSET(B14,K4-1,1))</f>
        <v>4500</v>
      </c>
      <c r="M7" s="13" t="str">
        <f>IF(C4="","",C4)</f>
        <v>6V</v>
      </c>
      <c r="N7" s="42">
        <f ca="1">IF(K8="","",K$8)</f>
        <v>2.2311555555555556</v>
      </c>
      <c r="O7" s="42">
        <f ca="1">K9</f>
        <v>1.1764347826086952</v>
      </c>
      <c r="P7" s="46">
        <f>K5</f>
        <v>4015</v>
      </c>
      <c r="Q7" s="46">
        <f>K6</f>
        <v>10</v>
      </c>
      <c r="R7" s="50">
        <f ca="1">K7</f>
        <v>4500</v>
      </c>
      <c r="AB7" t="s">
        <v>85</v>
      </c>
    </row>
    <row r="8" spans="2:47" ht="16.8" thickTop="1" thickBot="1" x14ac:dyDescent="0.4">
      <c r="B8" s="37" t="s">
        <v>51</v>
      </c>
      <c r="C8" s="82"/>
      <c r="D8" s="2"/>
      <c r="E8" s="145" t="s">
        <v>28</v>
      </c>
      <c r="F8" s="148"/>
      <c r="G8" s="146"/>
      <c r="H8" s="28">
        <v>1700</v>
      </c>
      <c r="J8" s="17" t="s">
        <v>49</v>
      </c>
      <c r="K8" s="87">
        <f ca="1">IF(G14="","",AVERAGE(G15:OFFSET(F14,MATCH(K7,C14:C200)-2,1)))</f>
        <v>2.2311555555555556</v>
      </c>
      <c r="L8" s="135"/>
      <c r="AB8" t="s">
        <v>122</v>
      </c>
    </row>
    <row r="9" spans="2:47" ht="16.8" thickTop="1" thickBot="1" x14ac:dyDescent="0.4">
      <c r="B9" s="23" t="s">
        <v>50</v>
      </c>
      <c r="C9" s="24">
        <f>IF(C7="","",1.5*H7*(C8-H9)/(C6*C7^2))</f>
        <v>-0.11763226760381</v>
      </c>
      <c r="D9" s="2"/>
      <c r="E9" s="149" t="s">
        <v>55</v>
      </c>
      <c r="F9" s="150"/>
      <c r="G9" s="151"/>
      <c r="H9" s="29">
        <v>50</v>
      </c>
      <c r="J9" s="23" t="s">
        <v>52</v>
      </c>
      <c r="K9" s="24">
        <f ca="1">IF(H14="","",AVERAGE(H15:OFFSET(H14,MATCH(K7,C14:C200)-1,0)))</f>
        <v>1.1764347826086952</v>
      </c>
      <c r="L9" s="135"/>
      <c r="AB9" t="s">
        <v>123</v>
      </c>
    </row>
    <row r="10" spans="2:47" ht="6.75" customHeight="1" thickTop="1" thickBot="1" x14ac:dyDescent="0.3">
      <c r="B10" s="5"/>
      <c r="C10" s="5"/>
      <c r="D10" s="2"/>
      <c r="E10" s="2"/>
      <c r="F10" s="2"/>
      <c r="G10" s="2"/>
      <c r="H10" s="2"/>
      <c r="AB10" t="s">
        <v>115</v>
      </c>
    </row>
    <row r="11" spans="2:47" ht="14.4" thickTop="1" thickBot="1" x14ac:dyDescent="0.3">
      <c r="B11" s="163" t="s">
        <v>13</v>
      </c>
      <c r="C11" s="164"/>
      <c r="D11" s="2"/>
      <c r="E11" s="152" t="s">
        <v>16</v>
      </c>
      <c r="F11" s="165"/>
      <c r="G11" s="165"/>
      <c r="H11" s="161"/>
      <c r="I11" s="161"/>
      <c r="J11" s="162"/>
      <c r="L11" s="152" t="s">
        <v>17</v>
      </c>
      <c r="M11" s="153"/>
      <c r="N11" s="153"/>
      <c r="O11" s="153"/>
      <c r="P11" s="153"/>
      <c r="Q11" s="154"/>
      <c r="AB11" t="s">
        <v>124</v>
      </c>
    </row>
    <row r="12" spans="2:47" ht="16.2" thickTop="1" x14ac:dyDescent="0.35">
      <c r="B12" s="6"/>
      <c r="C12" s="8" t="s">
        <v>9</v>
      </c>
      <c r="D12" s="3"/>
      <c r="E12" s="52" t="s">
        <v>80</v>
      </c>
      <c r="F12" s="53" t="s">
        <v>36</v>
      </c>
      <c r="G12" s="53" t="s">
        <v>81</v>
      </c>
      <c r="H12" s="55" t="s">
        <v>37</v>
      </c>
      <c r="I12" s="7" t="s">
        <v>0</v>
      </c>
      <c r="J12" s="8" t="s">
        <v>2</v>
      </c>
      <c r="K12" s="138"/>
      <c r="L12" s="7" t="s">
        <v>38</v>
      </c>
      <c r="M12" s="25" t="s">
        <v>82</v>
      </c>
      <c r="N12" s="25" t="s">
        <v>39</v>
      </c>
      <c r="O12" s="25" t="s">
        <v>43</v>
      </c>
      <c r="P12" s="25" t="s">
        <v>24</v>
      </c>
      <c r="Q12" s="8" t="s">
        <v>21</v>
      </c>
    </row>
    <row r="13" spans="2:47" ht="13.8" thickBot="1" x14ac:dyDescent="0.3">
      <c r="B13" s="13"/>
      <c r="C13" s="11" t="s">
        <v>10</v>
      </c>
      <c r="D13" s="3"/>
      <c r="E13" s="10" t="s">
        <v>4</v>
      </c>
      <c r="F13" s="26" t="s">
        <v>4</v>
      </c>
      <c r="G13" s="26" t="s">
        <v>1</v>
      </c>
      <c r="H13" s="63" t="s">
        <v>1</v>
      </c>
      <c r="I13" s="10" t="s">
        <v>1</v>
      </c>
      <c r="J13" s="11" t="s">
        <v>3</v>
      </c>
      <c r="K13" s="136"/>
      <c r="L13" s="10" t="s">
        <v>40</v>
      </c>
      <c r="M13" s="26" t="s">
        <v>40</v>
      </c>
      <c r="N13" s="26" t="s">
        <v>41</v>
      </c>
      <c r="O13" s="26" t="s">
        <v>41</v>
      </c>
      <c r="P13" s="26" t="s">
        <v>42</v>
      </c>
      <c r="Q13" s="11" t="s">
        <v>42</v>
      </c>
    </row>
    <row r="14" spans="2:47" ht="13.8" thickTop="1" x14ac:dyDescent="0.25">
      <c r="B14" s="7">
        <v>1</v>
      </c>
      <c r="C14" s="34">
        <v>0</v>
      </c>
      <c r="D14" s="3"/>
      <c r="E14" s="9">
        <f t="shared" ref="E14:E77" si="0">IF(L14="","",ROUND(12*C$7/(2*H$7^2+2*H$6*H$7-H$6^2)*L14*1000000,0))</f>
        <v>680</v>
      </c>
      <c r="F14" s="54">
        <f>IF(L14="","",ABS(ROUND(12*C$7/(2*(H$7/1000)^2+2*(H$6/1000)*(H$7/1000)-(H$6/1000)^2)*(M14-M$14)*1,0)))</f>
        <v>0</v>
      </c>
      <c r="G14" s="73">
        <f t="shared" ref="G14:G77" si="1">IF(L14="","",ROUND(1.5*((N14-O14)*1000*H$7)/(C$6*C$7^2),3))</f>
        <v>2.1619999999999999</v>
      </c>
      <c r="H14" s="56">
        <f t="shared" ref="H14:H77" si="2">IF(L14="","",ROUND(1.5*((N14/2-O14)*1000*H$7)/(C$6*C$7^2),3))</f>
        <v>1.1499999999999999</v>
      </c>
      <c r="I14" s="57">
        <f t="shared" ref="I14:I77" si="3">IF(L14="","",IF(P14&lt;=0,"foute meting",ROUND(0.000001*V$4*SQRT((1000000*Q14)^2+(1000000*P14+V$5*(2*PI()*H$5)^2)^2),0)))</f>
        <v>3891</v>
      </c>
      <c r="J14" s="58">
        <f t="shared" ref="J14:J77" si="4">IF(L14="","",ROUND(ATAN(Q14/P14)/PI()*180,1))</f>
        <v>6.1</v>
      </c>
      <c r="L14" s="31">
        <f t="shared" ref="L14:L77" si="5">IF(AG16&lt;=0,"",AG16)</f>
        <v>0.09</v>
      </c>
      <c r="M14" s="30">
        <f>IF(AG16="","",AG16/2-AE16)</f>
        <v>3.6999999999999998E-2</v>
      </c>
      <c r="N14" s="30">
        <f t="shared" ref="N14:N77" si="6">IF(AI16="","",AI16)</f>
        <v>0.86</v>
      </c>
      <c r="O14" s="30">
        <f t="shared" ref="O14:O77" si="7">IF(AH16="","",AH16)</f>
        <v>-5.8999999999999997E-2</v>
      </c>
      <c r="P14" s="30">
        <f t="shared" ref="P14:Q45" si="8">IF(AJ16="","",AJ16)</f>
        <v>12.432</v>
      </c>
      <c r="Q14" s="59">
        <f t="shared" si="8"/>
        <v>1.3260000000000001</v>
      </c>
      <c r="AB14" t="s">
        <v>86</v>
      </c>
      <c r="AC14" t="s">
        <v>87</v>
      </c>
      <c r="AD14" t="s">
        <v>88</v>
      </c>
      <c r="AE14" t="s">
        <v>89</v>
      </c>
      <c r="AF14" t="s">
        <v>90</v>
      </c>
      <c r="AG14" t="s">
        <v>91</v>
      </c>
      <c r="AH14" t="s">
        <v>113</v>
      </c>
      <c r="AI14" t="s">
        <v>114</v>
      </c>
      <c r="AJ14" t="s">
        <v>92</v>
      </c>
      <c r="AK14" t="s">
        <v>93</v>
      </c>
      <c r="AL14" t="s">
        <v>94</v>
      </c>
      <c r="AM14" t="s">
        <v>95</v>
      </c>
      <c r="AN14" t="s">
        <v>96</v>
      </c>
      <c r="AO14" t="s">
        <v>97</v>
      </c>
      <c r="AP14" t="s">
        <v>98</v>
      </c>
      <c r="AQ14" t="s">
        <v>99</v>
      </c>
      <c r="AR14" t="s">
        <v>100</v>
      </c>
      <c r="AS14" t="s">
        <v>101</v>
      </c>
      <c r="AT14" t="s">
        <v>102</v>
      </c>
      <c r="AU14" t="s">
        <v>103</v>
      </c>
    </row>
    <row r="15" spans="2:47" x14ac:dyDescent="0.25">
      <c r="B15" s="9">
        <v>2</v>
      </c>
      <c r="C15" s="35">
        <v>10</v>
      </c>
      <c r="D15" s="3"/>
      <c r="E15" s="9">
        <f t="shared" si="0"/>
        <v>590</v>
      </c>
      <c r="F15" s="54">
        <f t="shared" ref="F15:F78" si="9">IF(L15="","",ABS(ROUND(12*C$7/(2*(H$7/1000)^2+2*(H$6/1000)*(H$7/1000)-(H$6/1000)^2)*(M15-M$14)*1,0)))</f>
        <v>151</v>
      </c>
      <c r="G15" s="73">
        <f t="shared" si="1"/>
        <v>2.2090000000000001</v>
      </c>
      <c r="H15" s="56">
        <f t="shared" si="2"/>
        <v>1.1819999999999999</v>
      </c>
      <c r="I15" s="57">
        <f t="shared" si="3"/>
        <v>4010</v>
      </c>
      <c r="J15" s="58">
        <f t="shared" si="4"/>
        <v>9.9</v>
      </c>
      <c r="L15" s="31">
        <f t="shared" si="5"/>
        <v>7.8E-2</v>
      </c>
      <c r="M15" s="32">
        <f t="shared" ref="M15:M78" si="10">IF(AG17="","",AG17/2-AE17)</f>
        <v>5.6999999999999995E-2</v>
      </c>
      <c r="N15" s="32">
        <f t="shared" si="6"/>
        <v>0.873</v>
      </c>
      <c r="O15" s="32">
        <f t="shared" si="7"/>
        <v>-6.6000000000000003E-2</v>
      </c>
      <c r="P15" s="32">
        <f t="shared" si="8"/>
        <v>12.692</v>
      </c>
      <c r="Q15" s="33">
        <f t="shared" si="8"/>
        <v>2.2240000000000002</v>
      </c>
      <c r="AE15" t="s">
        <v>104</v>
      </c>
      <c r="AF15" t="s">
        <v>104</v>
      </c>
      <c r="AG15" t="s">
        <v>104</v>
      </c>
      <c r="AH15" t="s">
        <v>105</v>
      </c>
      <c r="AI15" t="s">
        <v>105</v>
      </c>
      <c r="AJ15" t="s">
        <v>106</v>
      </c>
      <c r="AK15" t="s">
        <v>106</v>
      </c>
      <c r="AL15" t="s">
        <v>107</v>
      </c>
      <c r="AN15" t="s">
        <v>106</v>
      </c>
      <c r="AO15" t="s">
        <v>106</v>
      </c>
      <c r="AP15" t="s">
        <v>108</v>
      </c>
      <c r="AQ15" t="s">
        <v>107</v>
      </c>
      <c r="AS15" t="s">
        <v>109</v>
      </c>
      <c r="AT15" t="s">
        <v>107</v>
      </c>
    </row>
    <row r="16" spans="2:47" x14ac:dyDescent="0.25">
      <c r="B16" s="9">
        <v>3</v>
      </c>
      <c r="C16" s="35">
        <v>20</v>
      </c>
      <c r="D16" s="3"/>
      <c r="E16" s="9">
        <f t="shared" si="0"/>
        <v>590</v>
      </c>
      <c r="F16" s="54">
        <f t="shared" si="9"/>
        <v>197</v>
      </c>
      <c r="G16" s="73">
        <f t="shared" si="1"/>
        <v>2.2210000000000001</v>
      </c>
      <c r="H16" s="56">
        <f t="shared" si="2"/>
        <v>1.181</v>
      </c>
      <c r="I16" s="57">
        <f t="shared" si="3"/>
        <v>4020</v>
      </c>
      <c r="J16" s="58">
        <f t="shared" si="4"/>
        <v>10</v>
      </c>
      <c r="L16" s="31">
        <f t="shared" si="5"/>
        <v>7.8E-2</v>
      </c>
      <c r="M16" s="32">
        <f t="shared" si="10"/>
        <v>6.3E-2</v>
      </c>
      <c r="N16" s="32">
        <f t="shared" si="6"/>
        <v>0.88400000000000001</v>
      </c>
      <c r="O16" s="32">
        <f t="shared" si="7"/>
        <v>-0.06</v>
      </c>
      <c r="P16" s="32">
        <f t="shared" si="8"/>
        <v>12.718999999999999</v>
      </c>
      <c r="Q16" s="33">
        <f t="shared" si="8"/>
        <v>2.254</v>
      </c>
      <c r="AB16">
        <v>2</v>
      </c>
      <c r="AC16">
        <v>4</v>
      </c>
      <c r="AD16">
        <v>1</v>
      </c>
      <c r="AE16">
        <v>8.0000000000000002E-3</v>
      </c>
      <c r="AF16">
        <v>-8.1000000000000003E-2</v>
      </c>
      <c r="AG16">
        <v>0.09</v>
      </c>
      <c r="AH16">
        <v>-5.8999999999999997E-2</v>
      </c>
      <c r="AI16">
        <v>0.86</v>
      </c>
      <c r="AJ16">
        <v>12.432</v>
      </c>
      <c r="AK16">
        <v>1.3260000000000001</v>
      </c>
      <c r="AL16">
        <v>5.86</v>
      </c>
      <c r="AM16">
        <v>0.10299999999999999</v>
      </c>
      <c r="AN16">
        <v>12.531000000000001</v>
      </c>
      <c r="AO16">
        <v>11.223000000000001</v>
      </c>
      <c r="AP16">
        <v>5.0000000000000001E-3</v>
      </c>
      <c r="AQ16">
        <v>5.399</v>
      </c>
      <c r="AR16">
        <v>9.5000000000000001E-2</v>
      </c>
      <c r="AS16">
        <v>1</v>
      </c>
      <c r="AT16">
        <v>0</v>
      </c>
      <c r="AU16">
        <v>64</v>
      </c>
    </row>
    <row r="17" spans="2:47" x14ac:dyDescent="0.25">
      <c r="B17" s="9">
        <v>4</v>
      </c>
      <c r="C17" s="35">
        <v>30</v>
      </c>
      <c r="D17" s="3"/>
      <c r="E17" s="9">
        <f t="shared" si="0"/>
        <v>612</v>
      </c>
      <c r="F17" s="54">
        <f t="shared" si="9"/>
        <v>223</v>
      </c>
      <c r="G17" s="73">
        <f t="shared" si="1"/>
        <v>2.2280000000000002</v>
      </c>
      <c r="H17" s="56">
        <f t="shared" si="2"/>
        <v>1.18</v>
      </c>
      <c r="I17" s="57">
        <f t="shared" si="3"/>
        <v>3983</v>
      </c>
      <c r="J17" s="58">
        <f t="shared" si="4"/>
        <v>9.8000000000000007</v>
      </c>
      <c r="L17" s="31">
        <f t="shared" si="5"/>
        <v>8.1000000000000003E-2</v>
      </c>
      <c r="M17" s="32">
        <f t="shared" si="10"/>
        <v>6.6500000000000004E-2</v>
      </c>
      <c r="N17" s="32">
        <f t="shared" si="6"/>
        <v>0.89100000000000001</v>
      </c>
      <c r="O17" s="32">
        <f t="shared" si="7"/>
        <v>-5.6000000000000001E-2</v>
      </c>
      <c r="P17" s="32">
        <f t="shared" si="8"/>
        <v>12.611000000000001</v>
      </c>
      <c r="Q17" s="33">
        <f t="shared" si="8"/>
        <v>2.181</v>
      </c>
      <c r="AB17">
        <v>2</v>
      </c>
      <c r="AC17">
        <v>4</v>
      </c>
      <c r="AD17">
        <v>2</v>
      </c>
      <c r="AE17">
        <v>-1.7999999999999999E-2</v>
      </c>
      <c r="AF17">
        <v>-9.6000000000000002E-2</v>
      </c>
      <c r="AG17">
        <v>7.8E-2</v>
      </c>
      <c r="AH17">
        <v>-6.6000000000000003E-2</v>
      </c>
      <c r="AI17">
        <v>0.873</v>
      </c>
      <c r="AJ17">
        <v>12.692</v>
      </c>
      <c r="AK17">
        <v>2.2240000000000002</v>
      </c>
      <c r="AL17">
        <v>9.9510000000000005</v>
      </c>
      <c r="AM17">
        <v>0.17599999999999999</v>
      </c>
      <c r="AN17">
        <v>12.888</v>
      </c>
      <c r="AO17">
        <v>11.632999999999999</v>
      </c>
      <c r="AP17">
        <v>8.0000000000000002E-3</v>
      </c>
      <c r="AQ17">
        <v>8.91</v>
      </c>
      <c r="AR17">
        <v>0.157</v>
      </c>
      <c r="AS17">
        <v>1</v>
      </c>
      <c r="AT17">
        <v>0</v>
      </c>
      <c r="AU17">
        <v>64</v>
      </c>
    </row>
    <row r="18" spans="2:47" x14ac:dyDescent="0.25">
      <c r="B18" s="9">
        <v>5</v>
      </c>
      <c r="C18" s="35">
        <v>40</v>
      </c>
      <c r="D18" s="3"/>
      <c r="E18" s="9">
        <f t="shared" si="0"/>
        <v>612</v>
      </c>
      <c r="F18" s="54">
        <f t="shared" si="9"/>
        <v>261</v>
      </c>
      <c r="G18" s="73">
        <f t="shared" si="1"/>
        <v>2.23</v>
      </c>
      <c r="H18" s="56">
        <f t="shared" si="2"/>
        <v>1.179</v>
      </c>
      <c r="I18" s="57">
        <f t="shared" si="3"/>
        <v>3978</v>
      </c>
      <c r="J18" s="58">
        <f t="shared" si="4"/>
        <v>10</v>
      </c>
      <c r="L18" s="31">
        <f t="shared" si="5"/>
        <v>8.1000000000000003E-2</v>
      </c>
      <c r="M18" s="32">
        <f t="shared" si="10"/>
        <v>7.1500000000000008E-2</v>
      </c>
      <c r="N18" s="32">
        <f t="shared" si="6"/>
        <v>0.89400000000000002</v>
      </c>
      <c r="O18" s="32">
        <f t="shared" si="7"/>
        <v>-5.3999999999999999E-2</v>
      </c>
      <c r="P18" s="32">
        <f t="shared" si="8"/>
        <v>12.589</v>
      </c>
      <c r="Q18" s="33">
        <f t="shared" si="8"/>
        <v>2.2210000000000001</v>
      </c>
      <c r="AB18">
        <v>2</v>
      </c>
      <c r="AC18">
        <v>4</v>
      </c>
      <c r="AD18">
        <v>3</v>
      </c>
      <c r="AE18">
        <v>-2.4E-2</v>
      </c>
      <c r="AF18">
        <v>-0.10199999999999999</v>
      </c>
      <c r="AG18">
        <v>7.8E-2</v>
      </c>
      <c r="AH18">
        <v>-0.06</v>
      </c>
      <c r="AI18">
        <v>0.88400000000000001</v>
      </c>
      <c r="AJ18">
        <v>12.718999999999999</v>
      </c>
      <c r="AK18">
        <v>2.254</v>
      </c>
      <c r="AL18">
        <v>10.050000000000001</v>
      </c>
      <c r="AM18">
        <v>0.17699999999999999</v>
      </c>
      <c r="AN18">
        <v>12.917999999999999</v>
      </c>
      <c r="AO18">
        <v>11.755000000000001</v>
      </c>
      <c r="AP18">
        <v>8.0000000000000002E-3</v>
      </c>
      <c r="AQ18">
        <v>9.0779999999999994</v>
      </c>
      <c r="AR18">
        <v>0.16</v>
      </c>
      <c r="AS18">
        <v>1</v>
      </c>
      <c r="AT18">
        <v>0</v>
      </c>
      <c r="AU18">
        <v>64</v>
      </c>
    </row>
    <row r="19" spans="2:47" x14ac:dyDescent="0.25">
      <c r="B19" s="9">
        <v>6</v>
      </c>
      <c r="C19" s="35">
        <v>50</v>
      </c>
      <c r="D19" s="3"/>
      <c r="E19" s="9">
        <f t="shared" si="0"/>
        <v>605</v>
      </c>
      <c r="F19" s="54">
        <f t="shared" si="9"/>
        <v>295</v>
      </c>
      <c r="G19" s="73">
        <f t="shared" si="1"/>
        <v>2.23</v>
      </c>
      <c r="H19" s="56">
        <f t="shared" si="2"/>
        <v>1.175</v>
      </c>
      <c r="I19" s="57">
        <f t="shared" si="3"/>
        <v>3959</v>
      </c>
      <c r="J19" s="58">
        <f t="shared" si="4"/>
        <v>10</v>
      </c>
      <c r="L19" s="31">
        <f t="shared" si="5"/>
        <v>0.08</v>
      </c>
      <c r="M19" s="32">
        <f t="shared" si="10"/>
        <v>7.5999999999999998E-2</v>
      </c>
      <c r="N19" s="32">
        <f t="shared" si="6"/>
        <v>0.89700000000000002</v>
      </c>
      <c r="O19" s="32">
        <f t="shared" si="7"/>
        <v>-5.0999999999999997E-2</v>
      </c>
      <c r="P19" s="32">
        <f t="shared" si="8"/>
        <v>12.528</v>
      </c>
      <c r="Q19" s="33">
        <f t="shared" si="8"/>
        <v>2.21</v>
      </c>
      <c r="AB19">
        <v>2</v>
      </c>
      <c r="AC19">
        <v>4</v>
      </c>
      <c r="AD19">
        <v>4</v>
      </c>
      <c r="AE19">
        <v>-2.5999999999999999E-2</v>
      </c>
      <c r="AF19">
        <v>-0.108</v>
      </c>
      <c r="AG19">
        <v>8.1000000000000003E-2</v>
      </c>
      <c r="AH19">
        <v>-5.6000000000000001E-2</v>
      </c>
      <c r="AI19">
        <v>0.89100000000000001</v>
      </c>
      <c r="AJ19">
        <v>12.611000000000001</v>
      </c>
      <c r="AK19">
        <v>2.181</v>
      </c>
      <c r="AL19">
        <v>9.81</v>
      </c>
      <c r="AM19">
        <v>0.17299999999999999</v>
      </c>
      <c r="AN19">
        <v>12.798</v>
      </c>
      <c r="AO19">
        <v>11.513999999999999</v>
      </c>
      <c r="AP19">
        <v>8.0000000000000002E-3</v>
      </c>
      <c r="AQ19">
        <v>8.7230000000000008</v>
      </c>
      <c r="AR19">
        <v>0.153</v>
      </c>
      <c r="AS19">
        <v>1</v>
      </c>
      <c r="AT19">
        <v>0</v>
      </c>
      <c r="AU19">
        <v>64</v>
      </c>
    </row>
    <row r="20" spans="2:47" x14ac:dyDescent="0.25">
      <c r="B20" s="9">
        <v>7</v>
      </c>
      <c r="C20" s="35">
        <v>60</v>
      </c>
      <c r="D20" s="3"/>
      <c r="E20" s="9">
        <f t="shared" si="0"/>
        <v>605</v>
      </c>
      <c r="F20" s="54">
        <f t="shared" si="9"/>
        <v>325</v>
      </c>
      <c r="G20" s="73">
        <f t="shared" si="1"/>
        <v>2.23</v>
      </c>
      <c r="H20" s="56">
        <f t="shared" si="2"/>
        <v>1.1759999999999999</v>
      </c>
      <c r="I20" s="57">
        <f t="shared" si="3"/>
        <v>3983</v>
      </c>
      <c r="J20" s="58">
        <f t="shared" si="4"/>
        <v>10.199999999999999</v>
      </c>
      <c r="L20" s="31">
        <f t="shared" si="5"/>
        <v>0.08</v>
      </c>
      <c r="M20" s="32">
        <f t="shared" si="10"/>
        <v>0.08</v>
      </c>
      <c r="N20" s="32">
        <f t="shared" si="6"/>
        <v>0.89600000000000002</v>
      </c>
      <c r="O20" s="32">
        <f t="shared" si="7"/>
        <v>-5.1999999999999998E-2</v>
      </c>
      <c r="P20" s="32">
        <f t="shared" si="8"/>
        <v>12.599</v>
      </c>
      <c r="Q20" s="33">
        <f t="shared" si="8"/>
        <v>2.258</v>
      </c>
      <c r="AB20">
        <v>2</v>
      </c>
      <c r="AC20">
        <v>4</v>
      </c>
      <c r="AD20">
        <v>5</v>
      </c>
      <c r="AE20">
        <v>-3.1E-2</v>
      </c>
      <c r="AF20">
        <v>-0.112</v>
      </c>
      <c r="AG20">
        <v>8.1000000000000003E-2</v>
      </c>
      <c r="AH20">
        <v>-5.3999999999999999E-2</v>
      </c>
      <c r="AI20">
        <v>0.89400000000000002</v>
      </c>
      <c r="AJ20">
        <v>12.589</v>
      </c>
      <c r="AK20">
        <v>2.2210000000000001</v>
      </c>
      <c r="AL20">
        <v>10.002000000000001</v>
      </c>
      <c r="AM20">
        <v>0.17599999999999999</v>
      </c>
      <c r="AN20">
        <v>12.784000000000001</v>
      </c>
      <c r="AO20">
        <v>11.381</v>
      </c>
      <c r="AP20">
        <v>8.0000000000000002E-3</v>
      </c>
      <c r="AQ20">
        <v>8.7989999999999995</v>
      </c>
      <c r="AR20">
        <v>0.155</v>
      </c>
      <c r="AS20">
        <v>1</v>
      </c>
      <c r="AT20">
        <v>0</v>
      </c>
      <c r="AU20">
        <v>64</v>
      </c>
    </row>
    <row r="21" spans="2:47" x14ac:dyDescent="0.25">
      <c r="B21" s="9">
        <v>8</v>
      </c>
      <c r="C21" s="35">
        <v>70</v>
      </c>
      <c r="D21" s="3"/>
      <c r="E21" s="9">
        <f t="shared" si="0"/>
        <v>612</v>
      </c>
      <c r="F21" s="54">
        <f t="shared" si="9"/>
        <v>367</v>
      </c>
      <c r="G21" s="73">
        <f t="shared" si="1"/>
        <v>2.2330000000000001</v>
      </c>
      <c r="H21" s="56">
        <f t="shared" si="2"/>
        <v>1.175</v>
      </c>
      <c r="I21" s="57">
        <f t="shared" si="3"/>
        <v>3961</v>
      </c>
      <c r="J21" s="58">
        <f t="shared" si="4"/>
        <v>10</v>
      </c>
      <c r="L21" s="31">
        <f t="shared" si="5"/>
        <v>8.1000000000000003E-2</v>
      </c>
      <c r="M21" s="32">
        <f t="shared" si="10"/>
        <v>8.5499999999999993E-2</v>
      </c>
      <c r="N21" s="32">
        <f t="shared" si="6"/>
        <v>0.89900000000000002</v>
      </c>
      <c r="O21" s="32">
        <f t="shared" si="7"/>
        <v>-0.05</v>
      </c>
      <c r="P21" s="32">
        <f t="shared" si="8"/>
        <v>12.535</v>
      </c>
      <c r="Q21" s="33">
        <f t="shared" si="8"/>
        <v>2.2160000000000002</v>
      </c>
      <c r="AB21">
        <v>2</v>
      </c>
      <c r="AC21">
        <v>4</v>
      </c>
      <c r="AD21">
        <v>6</v>
      </c>
      <c r="AE21">
        <v>-3.5999999999999997E-2</v>
      </c>
      <c r="AF21">
        <v>-0.11600000000000001</v>
      </c>
      <c r="AG21">
        <v>0.08</v>
      </c>
      <c r="AH21">
        <v>-5.0999999999999997E-2</v>
      </c>
      <c r="AI21">
        <v>0.89700000000000002</v>
      </c>
      <c r="AJ21">
        <v>12.528</v>
      </c>
      <c r="AK21">
        <v>2.21</v>
      </c>
      <c r="AL21">
        <v>10.003</v>
      </c>
      <c r="AM21">
        <v>0.17599999999999999</v>
      </c>
      <c r="AN21">
        <v>12.721</v>
      </c>
      <c r="AO21">
        <v>11.551</v>
      </c>
      <c r="AP21">
        <v>8.0000000000000002E-3</v>
      </c>
      <c r="AQ21">
        <v>8.9670000000000005</v>
      </c>
      <c r="AR21">
        <v>0.158</v>
      </c>
      <c r="AS21">
        <v>1</v>
      </c>
      <c r="AT21">
        <v>0</v>
      </c>
      <c r="AU21">
        <v>64</v>
      </c>
    </row>
    <row r="22" spans="2:47" x14ac:dyDescent="0.25">
      <c r="B22" s="9">
        <v>9</v>
      </c>
      <c r="C22" s="35">
        <v>80</v>
      </c>
      <c r="D22" s="3"/>
      <c r="E22" s="9">
        <f t="shared" si="0"/>
        <v>627</v>
      </c>
      <c r="F22" s="54">
        <f t="shared" si="9"/>
        <v>374</v>
      </c>
      <c r="G22" s="73">
        <f t="shared" si="1"/>
        <v>2.2330000000000001</v>
      </c>
      <c r="H22" s="56">
        <f t="shared" si="2"/>
        <v>1.1759999999999999</v>
      </c>
      <c r="I22" s="57">
        <f t="shared" si="3"/>
        <v>3934</v>
      </c>
      <c r="J22" s="58">
        <f t="shared" si="4"/>
        <v>10.199999999999999</v>
      </c>
      <c r="L22" s="31">
        <f t="shared" si="5"/>
        <v>8.3000000000000004E-2</v>
      </c>
      <c r="M22" s="32">
        <f t="shared" si="10"/>
        <v>8.6499999999999994E-2</v>
      </c>
      <c r="N22" s="32">
        <f t="shared" si="6"/>
        <v>0.89800000000000002</v>
      </c>
      <c r="O22" s="32">
        <f t="shared" si="7"/>
        <v>-5.0999999999999997E-2</v>
      </c>
      <c r="P22" s="32">
        <f t="shared" si="8"/>
        <v>12.44</v>
      </c>
      <c r="Q22" s="33">
        <f t="shared" si="8"/>
        <v>2.2400000000000002</v>
      </c>
      <c r="AB22">
        <v>2</v>
      </c>
      <c r="AC22">
        <v>4</v>
      </c>
      <c r="AD22">
        <v>7</v>
      </c>
      <c r="AE22">
        <v>-0.04</v>
      </c>
      <c r="AF22">
        <v>-0.12</v>
      </c>
      <c r="AG22">
        <v>0.08</v>
      </c>
      <c r="AH22">
        <v>-5.1999999999999998E-2</v>
      </c>
      <c r="AI22">
        <v>0.89600000000000002</v>
      </c>
      <c r="AJ22">
        <v>12.599</v>
      </c>
      <c r="AK22">
        <v>2.258</v>
      </c>
      <c r="AL22">
        <v>10.157</v>
      </c>
      <c r="AM22">
        <v>0.17899999999999999</v>
      </c>
      <c r="AN22">
        <v>12.8</v>
      </c>
      <c r="AO22">
        <v>11.503</v>
      </c>
      <c r="AP22">
        <v>8.9999999999999993E-3</v>
      </c>
      <c r="AQ22">
        <v>9.0399999999999991</v>
      </c>
      <c r="AR22">
        <v>0.159</v>
      </c>
      <c r="AS22">
        <v>1</v>
      </c>
      <c r="AT22">
        <v>0</v>
      </c>
      <c r="AU22">
        <v>64</v>
      </c>
    </row>
    <row r="23" spans="2:47" x14ac:dyDescent="0.25">
      <c r="B23" s="9">
        <v>10</v>
      </c>
      <c r="C23" s="35">
        <v>90</v>
      </c>
      <c r="D23" s="3"/>
      <c r="E23" s="9">
        <f t="shared" si="0"/>
        <v>620</v>
      </c>
      <c r="F23" s="54">
        <f t="shared" si="9"/>
        <v>401</v>
      </c>
      <c r="G23" s="73">
        <f t="shared" si="1"/>
        <v>2.2330000000000001</v>
      </c>
      <c r="H23" s="56">
        <f t="shared" si="2"/>
        <v>1.175</v>
      </c>
      <c r="I23" s="57">
        <f t="shared" si="3"/>
        <v>3928</v>
      </c>
      <c r="J23" s="58">
        <f t="shared" si="4"/>
        <v>10.199999999999999</v>
      </c>
      <c r="L23" s="31">
        <f t="shared" si="5"/>
        <v>8.2000000000000003E-2</v>
      </c>
      <c r="M23" s="32">
        <f t="shared" si="10"/>
        <v>0.09</v>
      </c>
      <c r="N23" s="32">
        <f t="shared" si="6"/>
        <v>0.89900000000000002</v>
      </c>
      <c r="O23" s="32">
        <f t="shared" si="7"/>
        <v>-0.05</v>
      </c>
      <c r="P23" s="32">
        <f t="shared" si="8"/>
        <v>12.425000000000001</v>
      </c>
      <c r="Q23" s="33">
        <f t="shared" si="8"/>
        <v>2.2250000000000001</v>
      </c>
      <c r="AB23">
        <v>2</v>
      </c>
      <c r="AC23">
        <v>4</v>
      </c>
      <c r="AD23">
        <v>8</v>
      </c>
      <c r="AE23">
        <v>-4.4999999999999998E-2</v>
      </c>
      <c r="AF23">
        <v>-0.126</v>
      </c>
      <c r="AG23">
        <v>8.1000000000000003E-2</v>
      </c>
      <c r="AH23">
        <v>-0.05</v>
      </c>
      <c r="AI23">
        <v>0.89900000000000002</v>
      </c>
      <c r="AJ23">
        <v>12.535</v>
      </c>
      <c r="AK23">
        <v>2.2160000000000002</v>
      </c>
      <c r="AL23">
        <v>10.029</v>
      </c>
      <c r="AM23">
        <v>0.17699999999999999</v>
      </c>
      <c r="AN23">
        <v>12.73</v>
      </c>
      <c r="AO23">
        <v>11.474</v>
      </c>
      <c r="AP23">
        <v>8.9999999999999993E-3</v>
      </c>
      <c r="AQ23">
        <v>8.9280000000000008</v>
      </c>
      <c r="AR23">
        <v>0.157</v>
      </c>
      <c r="AS23">
        <v>1</v>
      </c>
      <c r="AT23">
        <v>0</v>
      </c>
      <c r="AU23">
        <v>64</v>
      </c>
    </row>
    <row r="24" spans="2:47" x14ac:dyDescent="0.25">
      <c r="B24" s="9">
        <v>11</v>
      </c>
      <c r="C24" s="35">
        <v>100</v>
      </c>
      <c r="D24" s="3"/>
      <c r="E24" s="9">
        <f t="shared" si="0"/>
        <v>635</v>
      </c>
      <c r="F24" s="54">
        <f t="shared" si="9"/>
        <v>423</v>
      </c>
      <c r="G24" s="73">
        <f t="shared" si="1"/>
        <v>2.2349999999999999</v>
      </c>
      <c r="H24" s="56">
        <f t="shared" si="2"/>
        <v>1.177</v>
      </c>
      <c r="I24" s="57">
        <f t="shared" si="3"/>
        <v>3917</v>
      </c>
      <c r="J24" s="58">
        <f t="shared" si="4"/>
        <v>10.1</v>
      </c>
      <c r="L24" s="31">
        <f t="shared" si="5"/>
        <v>8.4000000000000005E-2</v>
      </c>
      <c r="M24" s="32">
        <f t="shared" si="10"/>
        <v>9.2999999999999999E-2</v>
      </c>
      <c r="N24" s="32">
        <f t="shared" si="6"/>
        <v>0.89900000000000002</v>
      </c>
      <c r="O24" s="32">
        <f t="shared" si="7"/>
        <v>-5.0999999999999997E-2</v>
      </c>
      <c r="P24" s="32">
        <f t="shared" si="8"/>
        <v>12.391999999999999</v>
      </c>
      <c r="Q24" s="33">
        <f t="shared" si="8"/>
        <v>2.198</v>
      </c>
      <c r="AB24">
        <v>2</v>
      </c>
      <c r="AC24">
        <v>4</v>
      </c>
      <c r="AD24">
        <v>9</v>
      </c>
      <c r="AE24">
        <v>-4.4999999999999998E-2</v>
      </c>
      <c r="AF24">
        <v>-0.128</v>
      </c>
      <c r="AG24">
        <v>8.3000000000000004E-2</v>
      </c>
      <c r="AH24">
        <v>-5.0999999999999997E-2</v>
      </c>
      <c r="AI24">
        <v>0.89800000000000002</v>
      </c>
      <c r="AJ24">
        <v>12.44</v>
      </c>
      <c r="AK24">
        <v>2.2400000000000002</v>
      </c>
      <c r="AL24">
        <v>10.208</v>
      </c>
      <c r="AM24">
        <v>0.18</v>
      </c>
      <c r="AN24">
        <v>12.641</v>
      </c>
      <c r="AO24">
        <v>11.26</v>
      </c>
      <c r="AP24">
        <v>8.9999999999999993E-3</v>
      </c>
      <c r="AQ24">
        <v>9.016</v>
      </c>
      <c r="AR24">
        <v>0.159</v>
      </c>
      <c r="AS24">
        <v>1</v>
      </c>
      <c r="AT24">
        <v>0</v>
      </c>
      <c r="AU24">
        <v>64</v>
      </c>
    </row>
    <row r="25" spans="2:47" x14ac:dyDescent="0.25">
      <c r="B25" s="9">
        <v>12</v>
      </c>
      <c r="C25" s="35">
        <v>125</v>
      </c>
      <c r="D25" s="3"/>
      <c r="E25" s="9">
        <f t="shared" si="0"/>
        <v>627</v>
      </c>
      <c r="F25" s="54">
        <f t="shared" si="9"/>
        <v>465</v>
      </c>
      <c r="G25" s="73">
        <f t="shared" si="1"/>
        <v>2.23</v>
      </c>
      <c r="H25" s="56">
        <f t="shared" si="2"/>
        <v>1.1759999999999999</v>
      </c>
      <c r="I25" s="57">
        <f t="shared" si="3"/>
        <v>3931</v>
      </c>
      <c r="J25" s="58">
        <f t="shared" si="4"/>
        <v>10.1</v>
      </c>
      <c r="L25" s="31">
        <f t="shared" si="5"/>
        <v>8.3000000000000004E-2</v>
      </c>
      <c r="M25" s="32">
        <f t="shared" si="10"/>
        <v>9.8500000000000004E-2</v>
      </c>
      <c r="N25" s="32">
        <f t="shared" si="6"/>
        <v>0.89600000000000002</v>
      </c>
      <c r="O25" s="32">
        <f t="shared" si="7"/>
        <v>-5.1999999999999998E-2</v>
      </c>
      <c r="P25" s="32">
        <f t="shared" si="8"/>
        <v>12.433999999999999</v>
      </c>
      <c r="Q25" s="33">
        <f t="shared" si="8"/>
        <v>2.218</v>
      </c>
      <c r="AB25">
        <v>2</v>
      </c>
      <c r="AC25">
        <v>4</v>
      </c>
      <c r="AD25">
        <v>10</v>
      </c>
      <c r="AE25">
        <v>-4.9000000000000002E-2</v>
      </c>
      <c r="AF25">
        <v>-0.13200000000000001</v>
      </c>
      <c r="AG25">
        <v>8.2000000000000003E-2</v>
      </c>
      <c r="AH25">
        <v>-0.05</v>
      </c>
      <c r="AI25">
        <v>0.89900000000000002</v>
      </c>
      <c r="AJ25">
        <v>12.425000000000001</v>
      </c>
      <c r="AK25">
        <v>2.2250000000000001</v>
      </c>
      <c r="AL25">
        <v>10.151</v>
      </c>
      <c r="AM25">
        <v>0.17899999999999999</v>
      </c>
      <c r="AN25">
        <v>12.622999999999999</v>
      </c>
      <c r="AO25">
        <v>11.188000000000001</v>
      </c>
      <c r="AP25">
        <v>8.9999999999999993E-3</v>
      </c>
      <c r="AQ25">
        <v>8.9139999999999997</v>
      </c>
      <c r="AR25">
        <v>0.157</v>
      </c>
      <c r="AS25">
        <v>1</v>
      </c>
      <c r="AT25">
        <v>0</v>
      </c>
      <c r="AU25">
        <v>64</v>
      </c>
    </row>
    <row r="26" spans="2:47" x14ac:dyDescent="0.25">
      <c r="B26" s="9">
        <v>13</v>
      </c>
      <c r="C26" s="35">
        <v>150</v>
      </c>
      <c r="D26" s="3"/>
      <c r="E26" s="9">
        <f t="shared" si="0"/>
        <v>612</v>
      </c>
      <c r="F26" s="54">
        <f t="shared" si="9"/>
        <v>533</v>
      </c>
      <c r="G26" s="73">
        <f t="shared" si="1"/>
        <v>2.23</v>
      </c>
      <c r="H26" s="56">
        <f t="shared" si="2"/>
        <v>1.175</v>
      </c>
      <c r="I26" s="57">
        <f t="shared" si="3"/>
        <v>3932</v>
      </c>
      <c r="J26" s="58">
        <f t="shared" si="4"/>
        <v>10.4</v>
      </c>
      <c r="L26" s="31">
        <f t="shared" si="5"/>
        <v>8.1000000000000003E-2</v>
      </c>
      <c r="M26" s="32">
        <f t="shared" si="10"/>
        <v>0.10750000000000001</v>
      </c>
      <c r="N26" s="32">
        <f t="shared" si="6"/>
        <v>0.89700000000000002</v>
      </c>
      <c r="O26" s="32">
        <f t="shared" si="7"/>
        <v>-5.0999999999999997E-2</v>
      </c>
      <c r="P26" s="32">
        <f t="shared" si="8"/>
        <v>12.426</v>
      </c>
      <c r="Q26" s="33">
        <f t="shared" si="8"/>
        <v>2.2869999999999999</v>
      </c>
      <c r="AB26">
        <v>2</v>
      </c>
      <c r="AC26">
        <v>4</v>
      </c>
      <c r="AD26">
        <v>11</v>
      </c>
      <c r="AE26">
        <v>-5.0999999999999997E-2</v>
      </c>
      <c r="AF26">
        <v>-0.13400000000000001</v>
      </c>
      <c r="AG26">
        <v>8.4000000000000005E-2</v>
      </c>
      <c r="AH26">
        <v>-5.0999999999999997E-2</v>
      </c>
      <c r="AI26">
        <v>0.89900000000000002</v>
      </c>
      <c r="AJ26">
        <v>12.391999999999999</v>
      </c>
      <c r="AK26">
        <v>2.198</v>
      </c>
      <c r="AL26">
        <v>10.058</v>
      </c>
      <c r="AM26">
        <v>0.17699999999999999</v>
      </c>
      <c r="AN26">
        <v>12.586</v>
      </c>
      <c r="AO26">
        <v>11.085000000000001</v>
      </c>
      <c r="AP26">
        <v>8.9999999999999993E-3</v>
      </c>
      <c r="AQ26">
        <v>8.7560000000000002</v>
      </c>
      <c r="AR26">
        <v>0.154</v>
      </c>
      <c r="AS26">
        <v>1</v>
      </c>
      <c r="AT26">
        <v>0</v>
      </c>
      <c r="AU26">
        <v>64</v>
      </c>
    </row>
    <row r="27" spans="2:47" x14ac:dyDescent="0.25">
      <c r="B27" s="9">
        <v>14</v>
      </c>
      <c r="C27" s="35">
        <v>175</v>
      </c>
      <c r="D27" s="3"/>
      <c r="E27" s="9">
        <f t="shared" si="0"/>
        <v>620</v>
      </c>
      <c r="F27" s="54">
        <f t="shared" si="9"/>
        <v>575</v>
      </c>
      <c r="G27" s="73">
        <f t="shared" si="1"/>
        <v>2.2330000000000001</v>
      </c>
      <c r="H27" s="56">
        <f t="shared" si="2"/>
        <v>1.175</v>
      </c>
      <c r="I27" s="57">
        <f t="shared" si="3"/>
        <v>3921</v>
      </c>
      <c r="J27" s="58">
        <f t="shared" si="4"/>
        <v>10.3</v>
      </c>
      <c r="L27" s="31">
        <f t="shared" si="5"/>
        <v>8.2000000000000003E-2</v>
      </c>
      <c r="M27" s="32">
        <f t="shared" si="10"/>
        <v>0.11299999999999999</v>
      </c>
      <c r="N27" s="32">
        <f t="shared" si="6"/>
        <v>0.89900000000000002</v>
      </c>
      <c r="O27" s="32">
        <f t="shared" si="7"/>
        <v>-0.05</v>
      </c>
      <c r="P27" s="32">
        <f t="shared" si="8"/>
        <v>12.395</v>
      </c>
      <c r="Q27" s="33">
        <f t="shared" si="8"/>
        <v>2.2589999999999999</v>
      </c>
      <c r="AB27">
        <v>2</v>
      </c>
      <c r="AC27">
        <v>4</v>
      </c>
      <c r="AD27">
        <v>12</v>
      </c>
      <c r="AE27">
        <v>-5.7000000000000002E-2</v>
      </c>
      <c r="AF27">
        <v>-0.14000000000000001</v>
      </c>
      <c r="AG27">
        <v>8.3000000000000004E-2</v>
      </c>
      <c r="AH27">
        <v>-5.1999999999999998E-2</v>
      </c>
      <c r="AI27">
        <v>0.89600000000000002</v>
      </c>
      <c r="AJ27">
        <v>12.433999999999999</v>
      </c>
      <c r="AK27">
        <v>2.218</v>
      </c>
      <c r="AL27">
        <v>10.112</v>
      </c>
      <c r="AM27">
        <v>0.17799999999999999</v>
      </c>
      <c r="AN27">
        <v>12.631</v>
      </c>
      <c r="AO27">
        <v>11.215999999999999</v>
      </c>
      <c r="AP27">
        <v>8.9999999999999993E-3</v>
      </c>
      <c r="AQ27">
        <v>8.9309999999999992</v>
      </c>
      <c r="AR27">
        <v>0.157</v>
      </c>
      <c r="AS27">
        <v>1</v>
      </c>
      <c r="AT27">
        <v>0</v>
      </c>
      <c r="AU27">
        <v>64</v>
      </c>
    </row>
    <row r="28" spans="2:47" x14ac:dyDescent="0.25">
      <c r="B28" s="9">
        <v>15</v>
      </c>
      <c r="C28" s="35">
        <v>200</v>
      </c>
      <c r="D28" s="3"/>
      <c r="E28" s="9">
        <f t="shared" si="0"/>
        <v>620</v>
      </c>
      <c r="F28" s="54">
        <f t="shared" si="9"/>
        <v>612</v>
      </c>
      <c r="G28" s="73">
        <f t="shared" si="1"/>
        <v>2.23</v>
      </c>
      <c r="H28" s="56">
        <f t="shared" si="2"/>
        <v>1.1759999999999999</v>
      </c>
      <c r="I28" s="57">
        <f t="shared" si="3"/>
        <v>3934</v>
      </c>
      <c r="J28" s="58">
        <f t="shared" si="4"/>
        <v>10.3</v>
      </c>
      <c r="L28" s="31">
        <f t="shared" si="5"/>
        <v>8.2000000000000003E-2</v>
      </c>
      <c r="M28" s="32">
        <f t="shared" si="10"/>
        <v>0.11799999999999999</v>
      </c>
      <c r="N28" s="32">
        <f t="shared" si="6"/>
        <v>0.89600000000000002</v>
      </c>
      <c r="O28" s="32">
        <f t="shared" si="7"/>
        <v>-5.1999999999999998E-2</v>
      </c>
      <c r="P28" s="32">
        <f t="shared" si="8"/>
        <v>12.439</v>
      </c>
      <c r="Q28" s="33">
        <f t="shared" si="8"/>
        <v>2.2599999999999998</v>
      </c>
      <c r="AB28">
        <v>2</v>
      </c>
      <c r="AC28">
        <v>4</v>
      </c>
      <c r="AD28">
        <v>13</v>
      </c>
      <c r="AE28">
        <v>-6.7000000000000004E-2</v>
      </c>
      <c r="AF28">
        <v>-0.14899999999999999</v>
      </c>
      <c r="AG28">
        <v>8.1000000000000003E-2</v>
      </c>
      <c r="AH28">
        <v>-5.0999999999999997E-2</v>
      </c>
      <c r="AI28">
        <v>0.89700000000000002</v>
      </c>
      <c r="AJ28">
        <v>12.426</v>
      </c>
      <c r="AK28">
        <v>2.2869999999999999</v>
      </c>
      <c r="AL28">
        <v>10.429</v>
      </c>
      <c r="AM28">
        <v>0.184</v>
      </c>
      <c r="AN28">
        <v>12.635</v>
      </c>
      <c r="AO28">
        <v>11.308999999999999</v>
      </c>
      <c r="AP28">
        <v>8.9999999999999993E-3</v>
      </c>
      <c r="AQ28">
        <v>9.2569999999999997</v>
      </c>
      <c r="AR28">
        <v>0.16300000000000001</v>
      </c>
      <c r="AS28">
        <v>1</v>
      </c>
      <c r="AT28">
        <v>0</v>
      </c>
      <c r="AU28">
        <v>64</v>
      </c>
    </row>
    <row r="29" spans="2:47" x14ac:dyDescent="0.25">
      <c r="B29" s="9">
        <v>16</v>
      </c>
      <c r="C29" s="35">
        <v>225</v>
      </c>
      <c r="D29" s="3"/>
      <c r="E29" s="9">
        <f t="shared" si="0"/>
        <v>605</v>
      </c>
      <c r="F29" s="54">
        <f t="shared" si="9"/>
        <v>680</v>
      </c>
      <c r="G29" s="73">
        <f t="shared" si="1"/>
        <v>2.2330000000000001</v>
      </c>
      <c r="H29" s="56">
        <f t="shared" si="2"/>
        <v>1.1759999999999999</v>
      </c>
      <c r="I29" s="57">
        <f t="shared" si="3"/>
        <v>3952</v>
      </c>
      <c r="J29" s="58">
        <f t="shared" si="4"/>
        <v>10.4</v>
      </c>
      <c r="L29" s="31">
        <f t="shared" si="5"/>
        <v>0.08</v>
      </c>
      <c r="M29" s="32">
        <f t="shared" si="10"/>
        <v>0.127</v>
      </c>
      <c r="N29" s="32">
        <f t="shared" si="6"/>
        <v>0.89800000000000002</v>
      </c>
      <c r="O29" s="32">
        <f t="shared" si="7"/>
        <v>-5.0999999999999997E-2</v>
      </c>
      <c r="P29" s="32">
        <f t="shared" si="8"/>
        <v>12.49</v>
      </c>
      <c r="Q29" s="33">
        <f t="shared" si="8"/>
        <v>2.294</v>
      </c>
      <c r="AB29">
        <v>2</v>
      </c>
      <c r="AC29">
        <v>4</v>
      </c>
      <c r="AD29">
        <v>14</v>
      </c>
      <c r="AE29">
        <v>-7.1999999999999995E-2</v>
      </c>
      <c r="AF29">
        <v>-0.153</v>
      </c>
      <c r="AG29">
        <v>8.2000000000000003E-2</v>
      </c>
      <c r="AH29">
        <v>-0.05</v>
      </c>
      <c r="AI29">
        <v>0.89900000000000002</v>
      </c>
      <c r="AJ29">
        <v>12.395</v>
      </c>
      <c r="AK29">
        <v>2.2589999999999999</v>
      </c>
      <c r="AL29">
        <v>10.324999999999999</v>
      </c>
      <c r="AM29">
        <v>0.182</v>
      </c>
      <c r="AN29">
        <v>12.6</v>
      </c>
      <c r="AO29">
        <v>11.368</v>
      </c>
      <c r="AP29">
        <v>8.9999999999999993E-3</v>
      </c>
      <c r="AQ29">
        <v>9.2319999999999993</v>
      </c>
      <c r="AR29">
        <v>0.16300000000000001</v>
      </c>
      <c r="AS29">
        <v>1</v>
      </c>
      <c r="AT29">
        <v>0</v>
      </c>
      <c r="AU29">
        <v>64</v>
      </c>
    </row>
    <row r="30" spans="2:47" x14ac:dyDescent="0.25">
      <c r="B30" s="9">
        <v>17</v>
      </c>
      <c r="C30" s="35">
        <v>250</v>
      </c>
      <c r="D30" s="3"/>
      <c r="E30" s="9">
        <f t="shared" si="0"/>
        <v>612</v>
      </c>
      <c r="F30" s="54">
        <f t="shared" si="9"/>
        <v>752</v>
      </c>
      <c r="G30" s="73">
        <f t="shared" si="1"/>
        <v>2.2349999999999999</v>
      </c>
      <c r="H30" s="56">
        <f t="shared" si="2"/>
        <v>1.1759999999999999</v>
      </c>
      <c r="I30" s="57">
        <f t="shared" si="3"/>
        <v>3943</v>
      </c>
      <c r="J30" s="58">
        <f t="shared" si="4"/>
        <v>10.5</v>
      </c>
      <c r="L30" s="31">
        <f t="shared" si="5"/>
        <v>8.1000000000000003E-2</v>
      </c>
      <c r="M30" s="32">
        <f t="shared" si="10"/>
        <v>0.13650000000000001</v>
      </c>
      <c r="N30" s="32">
        <f t="shared" si="6"/>
        <v>0.9</v>
      </c>
      <c r="O30" s="32">
        <f t="shared" si="7"/>
        <v>-0.05</v>
      </c>
      <c r="P30" s="32">
        <f t="shared" si="8"/>
        <v>12.459</v>
      </c>
      <c r="Q30" s="33">
        <f t="shared" si="8"/>
        <v>2.3119999999999998</v>
      </c>
      <c r="AB30">
        <v>2</v>
      </c>
      <c r="AC30">
        <v>4</v>
      </c>
      <c r="AD30">
        <v>15</v>
      </c>
      <c r="AE30">
        <v>-7.6999999999999999E-2</v>
      </c>
      <c r="AF30">
        <v>-0.16</v>
      </c>
      <c r="AG30">
        <v>8.2000000000000003E-2</v>
      </c>
      <c r="AH30">
        <v>-5.1999999999999998E-2</v>
      </c>
      <c r="AI30">
        <v>0.89600000000000002</v>
      </c>
      <c r="AJ30">
        <v>12.439</v>
      </c>
      <c r="AK30">
        <v>2.2599999999999998</v>
      </c>
      <c r="AL30">
        <v>10.297000000000001</v>
      </c>
      <c r="AM30">
        <v>0.182</v>
      </c>
      <c r="AN30">
        <v>12.644</v>
      </c>
      <c r="AO30">
        <v>11.337</v>
      </c>
      <c r="AP30">
        <v>8.9999999999999993E-3</v>
      </c>
      <c r="AQ30">
        <v>9.1609999999999996</v>
      </c>
      <c r="AR30">
        <v>0.161</v>
      </c>
      <c r="AS30">
        <v>1</v>
      </c>
      <c r="AT30">
        <v>0</v>
      </c>
      <c r="AU30">
        <v>64</v>
      </c>
    </row>
    <row r="31" spans="2:47" x14ac:dyDescent="0.25">
      <c r="B31" s="9">
        <v>18</v>
      </c>
      <c r="C31" s="35">
        <v>275</v>
      </c>
      <c r="D31" s="3"/>
      <c r="E31" s="9">
        <f t="shared" si="0"/>
        <v>635</v>
      </c>
      <c r="F31" s="54">
        <f t="shared" si="9"/>
        <v>809</v>
      </c>
      <c r="G31" s="73">
        <f t="shared" si="1"/>
        <v>2.2330000000000001</v>
      </c>
      <c r="H31" s="56">
        <f t="shared" si="2"/>
        <v>1.1759999999999999</v>
      </c>
      <c r="I31" s="57">
        <f t="shared" si="3"/>
        <v>3913</v>
      </c>
      <c r="J31" s="58">
        <f t="shared" si="4"/>
        <v>10.1</v>
      </c>
      <c r="L31" s="31">
        <f t="shared" si="5"/>
        <v>8.4000000000000005E-2</v>
      </c>
      <c r="M31" s="32">
        <f t="shared" si="10"/>
        <v>0.14399999999999999</v>
      </c>
      <c r="N31" s="32">
        <f t="shared" si="6"/>
        <v>0.89800000000000002</v>
      </c>
      <c r="O31" s="32">
        <f t="shared" si="7"/>
        <v>-5.0999999999999997E-2</v>
      </c>
      <c r="P31" s="32">
        <f t="shared" si="8"/>
        <v>12.38</v>
      </c>
      <c r="Q31" s="33">
        <f t="shared" si="8"/>
        <v>2.198</v>
      </c>
      <c r="AB31">
        <v>2</v>
      </c>
      <c r="AC31">
        <v>4</v>
      </c>
      <c r="AD31">
        <v>16</v>
      </c>
      <c r="AE31">
        <v>-8.6999999999999994E-2</v>
      </c>
      <c r="AF31">
        <v>-0.16800000000000001</v>
      </c>
      <c r="AG31">
        <v>0.08</v>
      </c>
      <c r="AH31">
        <v>-5.0999999999999997E-2</v>
      </c>
      <c r="AI31">
        <v>0.89800000000000002</v>
      </c>
      <c r="AJ31">
        <v>12.49</v>
      </c>
      <c r="AK31">
        <v>2.294</v>
      </c>
      <c r="AL31">
        <v>10.407999999999999</v>
      </c>
      <c r="AM31">
        <v>0.184</v>
      </c>
      <c r="AN31">
        <v>12.699</v>
      </c>
      <c r="AO31">
        <v>11.667</v>
      </c>
      <c r="AP31">
        <v>8.9999999999999993E-3</v>
      </c>
      <c r="AQ31">
        <v>9.4990000000000006</v>
      </c>
      <c r="AR31">
        <v>0.16700000000000001</v>
      </c>
      <c r="AS31">
        <v>1</v>
      </c>
      <c r="AT31">
        <v>0</v>
      </c>
      <c r="AU31">
        <v>64</v>
      </c>
    </row>
    <row r="32" spans="2:47" x14ac:dyDescent="0.25">
      <c r="B32" s="9">
        <v>19</v>
      </c>
      <c r="C32" s="35">
        <v>300</v>
      </c>
      <c r="D32" s="3"/>
      <c r="E32" s="9">
        <f t="shared" si="0"/>
        <v>643</v>
      </c>
      <c r="F32" s="54">
        <f t="shared" si="9"/>
        <v>858</v>
      </c>
      <c r="G32" s="73">
        <f t="shared" si="1"/>
        <v>2.2330000000000001</v>
      </c>
      <c r="H32" s="56">
        <f t="shared" si="2"/>
        <v>1.1759999999999999</v>
      </c>
      <c r="I32" s="57">
        <f t="shared" si="3"/>
        <v>3913</v>
      </c>
      <c r="J32" s="58">
        <f t="shared" si="4"/>
        <v>10.6</v>
      </c>
      <c r="L32" s="31">
        <f t="shared" si="5"/>
        <v>8.5000000000000006E-2</v>
      </c>
      <c r="M32" s="32">
        <f t="shared" si="10"/>
        <v>0.15049999999999999</v>
      </c>
      <c r="N32" s="32">
        <f t="shared" si="6"/>
        <v>0.89800000000000002</v>
      </c>
      <c r="O32" s="32">
        <f t="shared" si="7"/>
        <v>-5.0999999999999997E-2</v>
      </c>
      <c r="P32" s="32">
        <f t="shared" si="8"/>
        <v>12.361000000000001</v>
      </c>
      <c r="Q32" s="33">
        <f t="shared" si="8"/>
        <v>2.3029999999999999</v>
      </c>
      <c r="AB32">
        <v>2</v>
      </c>
      <c r="AC32">
        <v>4</v>
      </c>
      <c r="AD32">
        <v>17</v>
      </c>
      <c r="AE32">
        <v>-9.6000000000000002E-2</v>
      </c>
      <c r="AF32">
        <v>-0.17699999999999999</v>
      </c>
      <c r="AG32">
        <v>8.1000000000000003E-2</v>
      </c>
      <c r="AH32">
        <v>-0.05</v>
      </c>
      <c r="AI32">
        <v>0.9</v>
      </c>
      <c r="AJ32">
        <v>12.459</v>
      </c>
      <c r="AK32">
        <v>2.3119999999999998</v>
      </c>
      <c r="AL32">
        <v>10.513</v>
      </c>
      <c r="AM32">
        <v>0.186</v>
      </c>
      <c r="AN32">
        <v>12.672000000000001</v>
      </c>
      <c r="AO32">
        <v>11.351000000000001</v>
      </c>
      <c r="AP32">
        <v>8.9999999999999993E-3</v>
      </c>
      <c r="AQ32">
        <v>9.2840000000000007</v>
      </c>
      <c r="AR32">
        <v>0.16300000000000001</v>
      </c>
      <c r="AS32">
        <v>1</v>
      </c>
      <c r="AT32">
        <v>0</v>
      </c>
      <c r="AU32">
        <v>64</v>
      </c>
    </row>
    <row r="33" spans="2:47" x14ac:dyDescent="0.25">
      <c r="B33" s="9">
        <v>20</v>
      </c>
      <c r="C33" s="35">
        <v>325</v>
      </c>
      <c r="D33" s="3"/>
      <c r="E33" s="9">
        <f t="shared" si="0"/>
        <v>620</v>
      </c>
      <c r="F33" s="54">
        <f t="shared" si="9"/>
        <v>900</v>
      </c>
      <c r="G33" s="73">
        <f t="shared" si="1"/>
        <v>2.2330000000000001</v>
      </c>
      <c r="H33" s="56">
        <f t="shared" si="2"/>
        <v>1.177</v>
      </c>
      <c r="I33" s="57">
        <f t="shared" si="3"/>
        <v>3886</v>
      </c>
      <c r="J33" s="58">
        <f t="shared" si="4"/>
        <v>10.4</v>
      </c>
      <c r="L33" s="31">
        <f t="shared" si="5"/>
        <v>8.2000000000000003E-2</v>
      </c>
      <c r="M33" s="32">
        <f t="shared" si="10"/>
        <v>0.156</v>
      </c>
      <c r="N33" s="32">
        <f t="shared" si="6"/>
        <v>0.89700000000000002</v>
      </c>
      <c r="O33" s="32">
        <f t="shared" si="7"/>
        <v>-5.1999999999999998E-2</v>
      </c>
      <c r="P33" s="32">
        <f t="shared" si="8"/>
        <v>12.281000000000001</v>
      </c>
      <c r="Q33" s="33">
        <f t="shared" si="8"/>
        <v>2.2589999999999999</v>
      </c>
      <c r="AB33">
        <v>2</v>
      </c>
      <c r="AC33">
        <v>4</v>
      </c>
      <c r="AD33">
        <v>18</v>
      </c>
      <c r="AE33">
        <v>-0.10199999999999999</v>
      </c>
      <c r="AF33">
        <v>-0.186</v>
      </c>
      <c r="AG33">
        <v>8.4000000000000005E-2</v>
      </c>
      <c r="AH33">
        <v>-5.0999999999999997E-2</v>
      </c>
      <c r="AI33">
        <v>0.89800000000000002</v>
      </c>
      <c r="AJ33">
        <v>12.38</v>
      </c>
      <c r="AK33">
        <v>2.198</v>
      </c>
      <c r="AL33">
        <v>10.069000000000001</v>
      </c>
      <c r="AM33">
        <v>0.17799999999999999</v>
      </c>
      <c r="AN33">
        <v>12.574</v>
      </c>
      <c r="AO33">
        <v>11.173999999999999</v>
      </c>
      <c r="AP33">
        <v>8.9999999999999993E-3</v>
      </c>
      <c r="AQ33">
        <v>8.8680000000000003</v>
      </c>
      <c r="AR33">
        <v>0.156</v>
      </c>
      <c r="AS33">
        <v>1</v>
      </c>
      <c r="AT33">
        <v>0</v>
      </c>
      <c r="AU33">
        <v>64</v>
      </c>
    </row>
    <row r="34" spans="2:47" x14ac:dyDescent="0.25">
      <c r="B34" s="9">
        <v>21</v>
      </c>
      <c r="C34" s="35">
        <v>350</v>
      </c>
      <c r="D34" s="3"/>
      <c r="E34" s="9">
        <f t="shared" si="0"/>
        <v>597</v>
      </c>
      <c r="F34" s="54">
        <f t="shared" si="9"/>
        <v>956</v>
      </c>
      <c r="G34" s="73">
        <f t="shared" si="1"/>
        <v>2.23</v>
      </c>
      <c r="H34" s="56">
        <f t="shared" si="2"/>
        <v>1.175</v>
      </c>
      <c r="I34" s="57">
        <f t="shared" si="3"/>
        <v>3940</v>
      </c>
      <c r="J34" s="58">
        <f t="shared" si="4"/>
        <v>10.3</v>
      </c>
      <c r="L34" s="31">
        <f t="shared" si="5"/>
        <v>7.9000000000000001E-2</v>
      </c>
      <c r="M34" s="32">
        <f t="shared" si="10"/>
        <v>0.16350000000000001</v>
      </c>
      <c r="N34" s="32">
        <f t="shared" si="6"/>
        <v>0.89700000000000002</v>
      </c>
      <c r="O34" s="32">
        <f t="shared" si="7"/>
        <v>-5.0999999999999997E-2</v>
      </c>
      <c r="P34" s="32">
        <f t="shared" si="8"/>
        <v>12.456</v>
      </c>
      <c r="Q34" s="33">
        <f t="shared" si="8"/>
        <v>2.2709999999999999</v>
      </c>
      <c r="AB34">
        <v>2</v>
      </c>
      <c r="AC34">
        <v>4</v>
      </c>
      <c r="AD34">
        <v>19</v>
      </c>
      <c r="AE34">
        <v>-0.108</v>
      </c>
      <c r="AF34">
        <v>-0.193</v>
      </c>
      <c r="AG34">
        <v>8.5000000000000006E-2</v>
      </c>
      <c r="AH34">
        <v>-5.0999999999999997E-2</v>
      </c>
      <c r="AI34">
        <v>0.89800000000000002</v>
      </c>
      <c r="AJ34">
        <v>12.361000000000001</v>
      </c>
      <c r="AK34">
        <v>2.3029999999999999</v>
      </c>
      <c r="AL34">
        <v>10.554</v>
      </c>
      <c r="AM34">
        <v>0.186</v>
      </c>
      <c r="AN34">
        <v>12.574</v>
      </c>
      <c r="AO34">
        <v>11.199</v>
      </c>
      <c r="AP34">
        <v>8.9999999999999993E-3</v>
      </c>
      <c r="AQ34">
        <v>9.3190000000000008</v>
      </c>
      <c r="AR34">
        <v>0.16400000000000001</v>
      </c>
      <c r="AS34">
        <v>1</v>
      </c>
      <c r="AT34">
        <v>0</v>
      </c>
      <c r="AU34">
        <v>64</v>
      </c>
    </row>
    <row r="35" spans="2:47" x14ac:dyDescent="0.25">
      <c r="B35" s="9">
        <v>22</v>
      </c>
      <c r="C35" s="35">
        <v>375</v>
      </c>
      <c r="D35" s="3"/>
      <c r="E35" s="9">
        <f t="shared" si="0"/>
        <v>597</v>
      </c>
      <c r="F35" s="54">
        <f t="shared" si="9"/>
        <v>1002</v>
      </c>
      <c r="G35" s="73">
        <f t="shared" si="1"/>
        <v>2.23</v>
      </c>
      <c r="H35" s="56">
        <f t="shared" si="2"/>
        <v>1.175</v>
      </c>
      <c r="I35" s="57">
        <f t="shared" si="3"/>
        <v>3919</v>
      </c>
      <c r="J35" s="58">
        <f t="shared" si="4"/>
        <v>10.5</v>
      </c>
      <c r="L35" s="31">
        <f t="shared" si="5"/>
        <v>7.9000000000000001E-2</v>
      </c>
      <c r="M35" s="32">
        <f t="shared" si="10"/>
        <v>0.16950000000000001</v>
      </c>
      <c r="N35" s="32">
        <f t="shared" si="6"/>
        <v>0.89700000000000002</v>
      </c>
      <c r="O35" s="32">
        <f t="shared" si="7"/>
        <v>-5.0999999999999997E-2</v>
      </c>
      <c r="P35" s="32">
        <f t="shared" si="8"/>
        <v>12.382</v>
      </c>
      <c r="Q35" s="33">
        <f t="shared" si="8"/>
        <v>2.2919999999999998</v>
      </c>
      <c r="AB35">
        <v>2</v>
      </c>
      <c r="AC35">
        <v>4</v>
      </c>
      <c r="AD35">
        <v>20</v>
      </c>
      <c r="AE35">
        <v>-0.115</v>
      </c>
      <c r="AF35">
        <v>-0.19700000000000001</v>
      </c>
      <c r="AG35">
        <v>8.2000000000000003E-2</v>
      </c>
      <c r="AH35">
        <v>-5.1999999999999998E-2</v>
      </c>
      <c r="AI35">
        <v>0.89700000000000002</v>
      </c>
      <c r="AJ35">
        <v>12.281000000000001</v>
      </c>
      <c r="AK35">
        <v>2.2589999999999999</v>
      </c>
      <c r="AL35">
        <v>10.425000000000001</v>
      </c>
      <c r="AM35">
        <v>0.184</v>
      </c>
      <c r="AN35">
        <v>12.487</v>
      </c>
      <c r="AO35">
        <v>11.128</v>
      </c>
      <c r="AP35">
        <v>8.9999999999999993E-3</v>
      </c>
      <c r="AQ35">
        <v>9.2289999999999992</v>
      </c>
      <c r="AR35">
        <v>0.16200000000000001</v>
      </c>
      <c r="AS35">
        <v>1</v>
      </c>
      <c r="AT35">
        <v>0</v>
      </c>
      <c r="AU35">
        <v>64</v>
      </c>
    </row>
    <row r="36" spans="2:47" x14ac:dyDescent="0.25">
      <c r="B36" s="9">
        <v>23</v>
      </c>
      <c r="C36" s="35">
        <v>400</v>
      </c>
      <c r="D36" s="3"/>
      <c r="E36" s="9">
        <f t="shared" si="0"/>
        <v>605</v>
      </c>
      <c r="F36" s="54">
        <f t="shared" si="9"/>
        <v>1051</v>
      </c>
      <c r="G36" s="73">
        <f t="shared" si="1"/>
        <v>2.2349999999999999</v>
      </c>
      <c r="H36" s="56">
        <f t="shared" si="2"/>
        <v>1.177</v>
      </c>
      <c r="I36" s="57">
        <f t="shared" si="3"/>
        <v>3935</v>
      </c>
      <c r="J36" s="58">
        <f t="shared" si="4"/>
        <v>10.4</v>
      </c>
      <c r="L36" s="31">
        <f t="shared" si="5"/>
        <v>0.08</v>
      </c>
      <c r="M36" s="32">
        <f t="shared" si="10"/>
        <v>0.17600000000000002</v>
      </c>
      <c r="N36" s="32">
        <f t="shared" si="6"/>
        <v>0.89900000000000002</v>
      </c>
      <c r="O36" s="32">
        <f t="shared" si="7"/>
        <v>-5.0999999999999997E-2</v>
      </c>
      <c r="P36" s="32">
        <f t="shared" si="8"/>
        <v>12.436999999999999</v>
      </c>
      <c r="Q36" s="33">
        <f t="shared" si="8"/>
        <v>2.2749999999999999</v>
      </c>
      <c r="AB36">
        <v>2</v>
      </c>
      <c r="AC36">
        <v>4</v>
      </c>
      <c r="AD36">
        <v>21</v>
      </c>
      <c r="AE36">
        <v>-0.124</v>
      </c>
      <c r="AF36">
        <v>-0.20300000000000001</v>
      </c>
      <c r="AG36">
        <v>7.9000000000000001E-2</v>
      </c>
      <c r="AH36">
        <v>-5.0999999999999997E-2</v>
      </c>
      <c r="AI36">
        <v>0.89700000000000002</v>
      </c>
      <c r="AJ36">
        <v>12.456</v>
      </c>
      <c r="AK36">
        <v>2.2709999999999999</v>
      </c>
      <c r="AL36">
        <v>10.332000000000001</v>
      </c>
      <c r="AM36">
        <v>0.182</v>
      </c>
      <c r="AN36">
        <v>12.661</v>
      </c>
      <c r="AO36">
        <v>11.577</v>
      </c>
      <c r="AP36">
        <v>8.9999999999999993E-3</v>
      </c>
      <c r="AQ36">
        <v>9.3940000000000001</v>
      </c>
      <c r="AR36">
        <v>0.16500000000000001</v>
      </c>
      <c r="AS36">
        <v>1</v>
      </c>
      <c r="AT36">
        <v>0</v>
      </c>
      <c r="AU36">
        <v>64</v>
      </c>
    </row>
    <row r="37" spans="2:47" x14ac:dyDescent="0.25">
      <c r="B37" s="9">
        <v>24</v>
      </c>
      <c r="C37" s="35">
        <v>425</v>
      </c>
      <c r="D37" s="3"/>
      <c r="E37" s="9">
        <f t="shared" si="0"/>
        <v>627</v>
      </c>
      <c r="F37" s="54">
        <f t="shared" si="9"/>
        <v>1100</v>
      </c>
      <c r="G37" s="73">
        <f t="shared" si="1"/>
        <v>2.2349999999999999</v>
      </c>
      <c r="H37" s="56">
        <f t="shared" si="2"/>
        <v>1.179</v>
      </c>
      <c r="I37" s="57">
        <f t="shared" si="3"/>
        <v>3900</v>
      </c>
      <c r="J37" s="58">
        <f t="shared" si="4"/>
        <v>9.6999999999999993</v>
      </c>
      <c r="L37" s="31">
        <f t="shared" si="5"/>
        <v>8.3000000000000004E-2</v>
      </c>
      <c r="M37" s="32">
        <f t="shared" si="10"/>
        <v>0.1825</v>
      </c>
      <c r="N37" s="32">
        <f t="shared" si="6"/>
        <v>0.89800000000000002</v>
      </c>
      <c r="O37" s="32">
        <f t="shared" si="7"/>
        <v>-5.1999999999999998E-2</v>
      </c>
      <c r="P37" s="32">
        <f t="shared" si="8"/>
        <v>12.353999999999999</v>
      </c>
      <c r="Q37" s="33">
        <f t="shared" si="8"/>
        <v>2.1139999999999999</v>
      </c>
      <c r="AB37">
        <v>2</v>
      </c>
      <c r="AC37">
        <v>4</v>
      </c>
      <c r="AD37">
        <v>22</v>
      </c>
      <c r="AE37">
        <v>-0.13</v>
      </c>
      <c r="AF37">
        <v>-0.20899999999999999</v>
      </c>
      <c r="AG37">
        <v>7.9000000000000001E-2</v>
      </c>
      <c r="AH37">
        <v>-5.0999999999999997E-2</v>
      </c>
      <c r="AI37">
        <v>0.89700000000000002</v>
      </c>
      <c r="AJ37">
        <v>12.382</v>
      </c>
      <c r="AK37">
        <v>2.2919999999999998</v>
      </c>
      <c r="AL37">
        <v>10.486000000000001</v>
      </c>
      <c r="AM37">
        <v>0.185</v>
      </c>
      <c r="AN37">
        <v>12.592000000000001</v>
      </c>
      <c r="AO37">
        <v>11.509</v>
      </c>
      <c r="AP37">
        <v>8.9999999999999993E-3</v>
      </c>
      <c r="AQ37">
        <v>9.5030000000000001</v>
      </c>
      <c r="AR37">
        <v>0.16700000000000001</v>
      </c>
      <c r="AS37">
        <v>1</v>
      </c>
      <c r="AT37">
        <v>0</v>
      </c>
      <c r="AU37">
        <v>64</v>
      </c>
    </row>
    <row r="38" spans="2:47" x14ac:dyDescent="0.25">
      <c r="B38" s="9">
        <v>25</v>
      </c>
      <c r="C38" s="35">
        <v>450</v>
      </c>
      <c r="D38" s="3"/>
      <c r="E38" s="9">
        <f t="shared" si="0"/>
        <v>620</v>
      </c>
      <c r="F38" s="54">
        <f t="shared" si="9"/>
        <v>1164</v>
      </c>
      <c r="G38" s="73">
        <f t="shared" si="1"/>
        <v>2.23</v>
      </c>
      <c r="H38" s="56">
        <f t="shared" si="2"/>
        <v>1.175</v>
      </c>
      <c r="I38" s="57">
        <f t="shared" si="3"/>
        <v>3905</v>
      </c>
      <c r="J38" s="58">
        <f t="shared" si="4"/>
        <v>10.3</v>
      </c>
      <c r="L38" s="31">
        <f t="shared" si="5"/>
        <v>8.2000000000000003E-2</v>
      </c>
      <c r="M38" s="32">
        <f t="shared" si="10"/>
        <v>0.191</v>
      </c>
      <c r="N38" s="32">
        <f t="shared" si="6"/>
        <v>0.89700000000000002</v>
      </c>
      <c r="O38" s="32">
        <f t="shared" si="7"/>
        <v>-5.0999999999999997E-2</v>
      </c>
      <c r="P38" s="32">
        <f t="shared" si="8"/>
        <v>12.349</v>
      </c>
      <c r="Q38" s="33">
        <f t="shared" si="8"/>
        <v>2.234</v>
      </c>
      <c r="AB38">
        <v>2</v>
      </c>
      <c r="AC38">
        <v>4</v>
      </c>
      <c r="AD38">
        <v>23</v>
      </c>
      <c r="AE38">
        <v>-0.13600000000000001</v>
      </c>
      <c r="AF38">
        <v>-0.215</v>
      </c>
      <c r="AG38">
        <v>0.08</v>
      </c>
      <c r="AH38">
        <v>-5.0999999999999997E-2</v>
      </c>
      <c r="AI38">
        <v>0.89900000000000002</v>
      </c>
      <c r="AJ38">
        <v>12.436999999999999</v>
      </c>
      <c r="AK38">
        <v>2.2749999999999999</v>
      </c>
      <c r="AL38">
        <v>10.361000000000001</v>
      </c>
      <c r="AM38">
        <v>0.183</v>
      </c>
      <c r="AN38">
        <v>12.644</v>
      </c>
      <c r="AO38">
        <v>11.486000000000001</v>
      </c>
      <c r="AP38">
        <v>8.9999999999999993E-3</v>
      </c>
      <c r="AQ38">
        <v>9.3179999999999996</v>
      </c>
      <c r="AR38">
        <v>0.16400000000000001</v>
      </c>
      <c r="AS38">
        <v>1</v>
      </c>
      <c r="AT38">
        <v>0</v>
      </c>
      <c r="AU38">
        <v>64</v>
      </c>
    </row>
    <row r="39" spans="2:47" x14ac:dyDescent="0.25">
      <c r="B39" s="9">
        <v>26</v>
      </c>
      <c r="C39" s="35">
        <v>475</v>
      </c>
      <c r="D39" s="3"/>
      <c r="E39" s="9">
        <f t="shared" si="0"/>
        <v>620</v>
      </c>
      <c r="F39" s="54">
        <f t="shared" si="9"/>
        <v>1202</v>
      </c>
      <c r="G39" s="73">
        <f t="shared" si="1"/>
        <v>2.23</v>
      </c>
      <c r="H39" s="56">
        <f t="shared" si="2"/>
        <v>1.175</v>
      </c>
      <c r="I39" s="57">
        <f t="shared" si="3"/>
        <v>3897</v>
      </c>
      <c r="J39" s="58">
        <f t="shared" si="4"/>
        <v>10.4</v>
      </c>
      <c r="L39" s="31">
        <f t="shared" si="5"/>
        <v>8.2000000000000003E-2</v>
      </c>
      <c r="M39" s="32">
        <f t="shared" si="10"/>
        <v>0.19600000000000001</v>
      </c>
      <c r="N39" s="32">
        <f t="shared" si="6"/>
        <v>0.89700000000000002</v>
      </c>
      <c r="O39" s="32">
        <f t="shared" si="7"/>
        <v>-5.0999999999999997E-2</v>
      </c>
      <c r="P39" s="32">
        <f t="shared" si="8"/>
        <v>12.317</v>
      </c>
      <c r="Q39" s="33">
        <f t="shared" si="8"/>
        <v>2.2530000000000001</v>
      </c>
      <c r="AB39">
        <v>2</v>
      </c>
      <c r="AC39">
        <v>4</v>
      </c>
      <c r="AD39">
        <v>24</v>
      </c>
      <c r="AE39">
        <v>-0.14099999999999999</v>
      </c>
      <c r="AF39">
        <v>-0.224</v>
      </c>
      <c r="AG39">
        <v>8.3000000000000004E-2</v>
      </c>
      <c r="AH39">
        <v>-5.1999999999999998E-2</v>
      </c>
      <c r="AI39">
        <v>0.89800000000000002</v>
      </c>
      <c r="AJ39">
        <v>12.353999999999999</v>
      </c>
      <c r="AK39">
        <v>2.1139999999999999</v>
      </c>
      <c r="AL39">
        <v>9.7100000000000009</v>
      </c>
      <c r="AM39">
        <v>0.17100000000000001</v>
      </c>
      <c r="AN39">
        <v>12.534000000000001</v>
      </c>
      <c r="AO39">
        <v>11.263999999999999</v>
      </c>
      <c r="AP39">
        <v>8.0000000000000002E-3</v>
      </c>
      <c r="AQ39">
        <v>8.6620000000000008</v>
      </c>
      <c r="AR39">
        <v>0.152</v>
      </c>
      <c r="AS39">
        <v>1</v>
      </c>
      <c r="AT39">
        <v>0</v>
      </c>
      <c r="AU39">
        <v>64</v>
      </c>
    </row>
    <row r="40" spans="2:47" x14ac:dyDescent="0.25">
      <c r="B40" s="9">
        <v>27</v>
      </c>
      <c r="C40" s="35">
        <v>500</v>
      </c>
      <c r="D40" s="3"/>
      <c r="E40" s="9">
        <f t="shared" si="0"/>
        <v>620</v>
      </c>
      <c r="F40" s="54">
        <f t="shared" si="9"/>
        <v>1232</v>
      </c>
      <c r="G40" s="73">
        <f t="shared" si="1"/>
        <v>2.2349999999999999</v>
      </c>
      <c r="H40" s="56">
        <f t="shared" si="2"/>
        <v>1.177</v>
      </c>
      <c r="I40" s="57">
        <f t="shared" si="3"/>
        <v>3899</v>
      </c>
      <c r="J40" s="58">
        <f t="shared" si="4"/>
        <v>10.5</v>
      </c>
      <c r="L40" s="31">
        <f t="shared" si="5"/>
        <v>8.2000000000000003E-2</v>
      </c>
      <c r="M40" s="32">
        <f t="shared" si="10"/>
        <v>0.2</v>
      </c>
      <c r="N40" s="32">
        <f t="shared" si="6"/>
        <v>0.89900000000000002</v>
      </c>
      <c r="O40" s="32">
        <f t="shared" si="7"/>
        <v>-5.0999999999999997E-2</v>
      </c>
      <c r="P40" s="32">
        <f t="shared" si="8"/>
        <v>12.321999999999999</v>
      </c>
      <c r="Q40" s="33">
        <f t="shared" si="8"/>
        <v>2.2749999999999999</v>
      </c>
      <c r="AB40">
        <v>2</v>
      </c>
      <c r="AC40">
        <v>4</v>
      </c>
      <c r="AD40">
        <v>25</v>
      </c>
      <c r="AE40">
        <v>-0.15</v>
      </c>
      <c r="AF40">
        <v>-0.23200000000000001</v>
      </c>
      <c r="AG40">
        <v>8.2000000000000003E-2</v>
      </c>
      <c r="AH40">
        <v>-5.0999999999999997E-2</v>
      </c>
      <c r="AI40">
        <v>0.89700000000000002</v>
      </c>
      <c r="AJ40">
        <v>12.349</v>
      </c>
      <c r="AK40">
        <v>2.234</v>
      </c>
      <c r="AL40">
        <v>10.256</v>
      </c>
      <c r="AM40">
        <v>0.18099999999999999</v>
      </c>
      <c r="AN40">
        <v>12.55</v>
      </c>
      <c r="AO40">
        <v>11.211</v>
      </c>
      <c r="AP40">
        <v>8.9999999999999993E-3</v>
      </c>
      <c r="AQ40">
        <v>9.0909999999999993</v>
      </c>
      <c r="AR40">
        <v>0.16</v>
      </c>
      <c r="AS40">
        <v>1</v>
      </c>
      <c r="AT40">
        <v>0</v>
      </c>
      <c r="AU40">
        <v>64</v>
      </c>
    </row>
    <row r="41" spans="2:47" x14ac:dyDescent="0.25">
      <c r="B41" s="9">
        <v>28</v>
      </c>
      <c r="C41" s="35">
        <v>600</v>
      </c>
      <c r="D41" s="3"/>
      <c r="E41" s="9">
        <f t="shared" si="0"/>
        <v>635</v>
      </c>
      <c r="F41" s="54">
        <f t="shared" si="9"/>
        <v>1406</v>
      </c>
      <c r="G41" s="73">
        <f t="shared" si="1"/>
        <v>2.2330000000000001</v>
      </c>
      <c r="H41" s="56">
        <f t="shared" si="2"/>
        <v>1.175</v>
      </c>
      <c r="I41" s="57">
        <f t="shared" si="3"/>
        <v>3906</v>
      </c>
      <c r="J41" s="58">
        <f t="shared" si="4"/>
        <v>10.5</v>
      </c>
      <c r="L41" s="31">
        <f t="shared" si="5"/>
        <v>8.4000000000000005E-2</v>
      </c>
      <c r="M41" s="32">
        <f t="shared" si="10"/>
        <v>0.223</v>
      </c>
      <c r="N41" s="32">
        <f t="shared" si="6"/>
        <v>0.89900000000000002</v>
      </c>
      <c r="O41" s="32">
        <f t="shared" si="7"/>
        <v>-0.05</v>
      </c>
      <c r="P41" s="32">
        <f t="shared" si="8"/>
        <v>12.340999999999999</v>
      </c>
      <c r="Q41" s="33">
        <f t="shared" si="8"/>
        <v>2.2879999999999998</v>
      </c>
      <c r="AB41">
        <v>2</v>
      </c>
      <c r="AC41">
        <v>4</v>
      </c>
      <c r="AD41">
        <v>26</v>
      </c>
      <c r="AE41">
        <v>-0.155</v>
      </c>
      <c r="AF41">
        <v>-0.23699999999999999</v>
      </c>
      <c r="AG41">
        <v>8.2000000000000003E-2</v>
      </c>
      <c r="AH41">
        <v>-5.0999999999999997E-2</v>
      </c>
      <c r="AI41">
        <v>0.89700000000000002</v>
      </c>
      <c r="AJ41">
        <v>12.317</v>
      </c>
      <c r="AK41">
        <v>2.2530000000000001</v>
      </c>
      <c r="AL41">
        <v>10.367000000000001</v>
      </c>
      <c r="AM41">
        <v>0.183</v>
      </c>
      <c r="AN41">
        <v>12.521000000000001</v>
      </c>
      <c r="AO41">
        <v>11.311999999999999</v>
      </c>
      <c r="AP41">
        <v>8.9999999999999993E-3</v>
      </c>
      <c r="AQ41">
        <v>9.3010000000000002</v>
      </c>
      <c r="AR41">
        <v>0.16400000000000001</v>
      </c>
      <c r="AS41">
        <v>1</v>
      </c>
      <c r="AT41">
        <v>0</v>
      </c>
      <c r="AU41">
        <v>64</v>
      </c>
    </row>
    <row r="42" spans="2:47" x14ac:dyDescent="0.25">
      <c r="B42" s="9">
        <v>29</v>
      </c>
      <c r="C42" s="35">
        <v>700</v>
      </c>
      <c r="D42" s="3"/>
      <c r="E42" s="9">
        <f t="shared" si="0"/>
        <v>612</v>
      </c>
      <c r="F42" s="54">
        <f t="shared" si="9"/>
        <v>1591</v>
      </c>
      <c r="G42" s="73">
        <f t="shared" si="1"/>
        <v>2.2280000000000002</v>
      </c>
      <c r="H42" s="56">
        <f t="shared" si="2"/>
        <v>1.175</v>
      </c>
      <c r="I42" s="57">
        <f t="shared" si="3"/>
        <v>3904</v>
      </c>
      <c r="J42" s="58">
        <f t="shared" si="4"/>
        <v>10.3</v>
      </c>
      <c r="L42" s="31">
        <f t="shared" si="5"/>
        <v>8.1000000000000003E-2</v>
      </c>
      <c r="M42" s="32">
        <f t="shared" si="10"/>
        <v>0.2475</v>
      </c>
      <c r="N42" s="32">
        <f t="shared" si="6"/>
        <v>0.89500000000000002</v>
      </c>
      <c r="O42" s="32">
        <f t="shared" si="7"/>
        <v>-5.1999999999999998E-2</v>
      </c>
      <c r="P42" s="32">
        <f t="shared" si="8"/>
        <v>12.343999999999999</v>
      </c>
      <c r="Q42" s="33">
        <f t="shared" si="8"/>
        <v>2.2360000000000002</v>
      </c>
      <c r="AB42">
        <v>2</v>
      </c>
      <c r="AC42">
        <v>4</v>
      </c>
      <c r="AD42">
        <v>27</v>
      </c>
      <c r="AE42">
        <v>-0.159</v>
      </c>
      <c r="AF42">
        <v>-0.24099999999999999</v>
      </c>
      <c r="AG42">
        <v>8.2000000000000003E-2</v>
      </c>
      <c r="AH42">
        <v>-5.0999999999999997E-2</v>
      </c>
      <c r="AI42">
        <v>0.89900000000000002</v>
      </c>
      <c r="AJ42">
        <v>12.321999999999999</v>
      </c>
      <c r="AK42">
        <v>2.2749999999999999</v>
      </c>
      <c r="AL42">
        <v>10.458</v>
      </c>
      <c r="AM42">
        <v>0.185</v>
      </c>
      <c r="AN42">
        <v>12.53</v>
      </c>
      <c r="AO42">
        <v>11.223000000000001</v>
      </c>
      <c r="AP42">
        <v>8.9999999999999993E-3</v>
      </c>
      <c r="AQ42">
        <v>9.2810000000000006</v>
      </c>
      <c r="AR42">
        <v>0.16300000000000001</v>
      </c>
      <c r="AS42">
        <v>1</v>
      </c>
      <c r="AT42">
        <v>0</v>
      </c>
      <c r="AU42">
        <v>64</v>
      </c>
    </row>
    <row r="43" spans="2:47" x14ac:dyDescent="0.25">
      <c r="B43" s="9">
        <v>30</v>
      </c>
      <c r="C43" s="35">
        <v>800</v>
      </c>
      <c r="D43" s="3"/>
      <c r="E43" s="9">
        <f t="shared" si="0"/>
        <v>627</v>
      </c>
      <c r="F43" s="54">
        <f t="shared" si="9"/>
        <v>1773</v>
      </c>
      <c r="G43" s="73">
        <f t="shared" si="1"/>
        <v>2.23</v>
      </c>
      <c r="H43" s="56">
        <f t="shared" si="2"/>
        <v>1.175</v>
      </c>
      <c r="I43" s="57">
        <f t="shared" si="3"/>
        <v>3829</v>
      </c>
      <c r="J43" s="58">
        <f t="shared" si="4"/>
        <v>10.199999999999999</v>
      </c>
      <c r="L43" s="31">
        <f t="shared" si="5"/>
        <v>8.3000000000000004E-2</v>
      </c>
      <c r="M43" s="32">
        <f t="shared" si="10"/>
        <v>0.27150000000000002</v>
      </c>
      <c r="N43" s="32">
        <f t="shared" si="6"/>
        <v>0.89700000000000002</v>
      </c>
      <c r="O43" s="32">
        <f t="shared" si="7"/>
        <v>-5.0999999999999997E-2</v>
      </c>
      <c r="P43" s="32">
        <f t="shared" si="8"/>
        <v>12.112</v>
      </c>
      <c r="Q43" s="33">
        <f t="shared" si="8"/>
        <v>2.1709999999999998</v>
      </c>
      <c r="AB43">
        <v>2</v>
      </c>
      <c r="AC43">
        <v>4</v>
      </c>
      <c r="AD43">
        <v>28</v>
      </c>
      <c r="AE43">
        <v>-0.18099999999999999</v>
      </c>
      <c r="AF43">
        <v>-0.26500000000000001</v>
      </c>
      <c r="AG43">
        <v>8.4000000000000005E-2</v>
      </c>
      <c r="AH43">
        <v>-0.05</v>
      </c>
      <c r="AI43">
        <v>0.89900000000000002</v>
      </c>
      <c r="AJ43">
        <v>12.340999999999999</v>
      </c>
      <c r="AK43">
        <v>2.2879999999999998</v>
      </c>
      <c r="AL43">
        <v>10.509</v>
      </c>
      <c r="AM43">
        <v>0.185</v>
      </c>
      <c r="AN43">
        <v>12.551</v>
      </c>
      <c r="AO43">
        <v>11.016999999999999</v>
      </c>
      <c r="AP43">
        <v>8.9999999999999993E-3</v>
      </c>
      <c r="AQ43">
        <v>9.1140000000000008</v>
      </c>
      <c r="AR43">
        <v>0.16</v>
      </c>
      <c r="AS43">
        <v>1</v>
      </c>
      <c r="AT43">
        <v>0</v>
      </c>
      <c r="AU43">
        <v>64</v>
      </c>
    </row>
    <row r="44" spans="2:47" x14ac:dyDescent="0.25">
      <c r="B44" s="9">
        <v>31</v>
      </c>
      <c r="C44" s="35">
        <v>900</v>
      </c>
      <c r="D44" s="3"/>
      <c r="E44" s="9">
        <f t="shared" si="0"/>
        <v>635</v>
      </c>
      <c r="F44" s="54">
        <f t="shared" si="9"/>
        <v>1966</v>
      </c>
      <c r="G44" s="73">
        <f t="shared" si="1"/>
        <v>2.2349999999999999</v>
      </c>
      <c r="H44" s="56">
        <f t="shared" si="2"/>
        <v>1.177</v>
      </c>
      <c r="I44" s="57">
        <f t="shared" si="3"/>
        <v>3837</v>
      </c>
      <c r="J44" s="58">
        <f t="shared" si="4"/>
        <v>10.3</v>
      </c>
      <c r="L44" s="31">
        <f t="shared" si="5"/>
        <v>8.4000000000000005E-2</v>
      </c>
      <c r="M44" s="32">
        <f t="shared" si="10"/>
        <v>0.29699999999999999</v>
      </c>
      <c r="N44" s="32">
        <f t="shared" si="6"/>
        <v>0.89900000000000002</v>
      </c>
      <c r="O44" s="32">
        <f t="shared" si="7"/>
        <v>-5.0999999999999997E-2</v>
      </c>
      <c r="P44" s="32">
        <f t="shared" si="8"/>
        <v>12.131</v>
      </c>
      <c r="Q44" s="33">
        <f t="shared" si="8"/>
        <v>2.2000000000000002</v>
      </c>
      <c r="AB44">
        <v>2</v>
      </c>
      <c r="AC44">
        <v>4</v>
      </c>
      <c r="AD44">
        <v>29</v>
      </c>
      <c r="AE44">
        <v>-0.20699999999999999</v>
      </c>
      <c r="AF44">
        <v>-0.28899999999999998</v>
      </c>
      <c r="AG44">
        <v>8.1000000000000003E-2</v>
      </c>
      <c r="AH44">
        <v>-5.1999999999999998E-2</v>
      </c>
      <c r="AI44">
        <v>0.89500000000000002</v>
      </c>
      <c r="AJ44">
        <v>12.343999999999999</v>
      </c>
      <c r="AK44">
        <v>2.2360000000000002</v>
      </c>
      <c r="AL44">
        <v>10.273</v>
      </c>
      <c r="AM44">
        <v>0.18099999999999999</v>
      </c>
      <c r="AN44">
        <v>12.545</v>
      </c>
      <c r="AO44">
        <v>11.4</v>
      </c>
      <c r="AP44">
        <v>8.9999999999999993E-3</v>
      </c>
      <c r="AQ44">
        <v>9.27</v>
      </c>
      <c r="AR44">
        <v>0.16300000000000001</v>
      </c>
      <c r="AS44">
        <v>1</v>
      </c>
      <c r="AT44">
        <v>0</v>
      </c>
      <c r="AU44">
        <v>64</v>
      </c>
    </row>
    <row r="45" spans="2:47" x14ac:dyDescent="0.25">
      <c r="B45" s="9">
        <v>32</v>
      </c>
      <c r="C45" s="35">
        <v>1000</v>
      </c>
      <c r="D45" s="3"/>
      <c r="E45" s="9">
        <f t="shared" si="0"/>
        <v>635</v>
      </c>
      <c r="F45" s="54">
        <f t="shared" si="9"/>
        <v>2117</v>
      </c>
      <c r="G45" s="73">
        <f t="shared" si="1"/>
        <v>2.23</v>
      </c>
      <c r="H45" s="56">
        <f t="shared" si="2"/>
        <v>1.175</v>
      </c>
      <c r="I45" s="57">
        <f t="shared" si="3"/>
        <v>3828</v>
      </c>
      <c r="J45" s="58">
        <f t="shared" si="4"/>
        <v>10.6</v>
      </c>
      <c r="L45" s="31">
        <f t="shared" si="5"/>
        <v>8.4000000000000005E-2</v>
      </c>
      <c r="M45" s="32">
        <f t="shared" si="10"/>
        <v>0.317</v>
      </c>
      <c r="N45" s="32">
        <f t="shared" si="6"/>
        <v>0.89700000000000002</v>
      </c>
      <c r="O45" s="32">
        <f t="shared" si="7"/>
        <v>-5.0999999999999997E-2</v>
      </c>
      <c r="P45" s="32">
        <f t="shared" si="8"/>
        <v>12.087999999999999</v>
      </c>
      <c r="Q45" s="33">
        <f t="shared" si="8"/>
        <v>2.2709999999999999</v>
      </c>
      <c r="AB45">
        <v>2</v>
      </c>
      <c r="AC45">
        <v>4</v>
      </c>
      <c r="AD45">
        <v>30</v>
      </c>
      <c r="AE45">
        <v>-0.23</v>
      </c>
      <c r="AF45">
        <v>-0.313</v>
      </c>
      <c r="AG45">
        <v>8.3000000000000004E-2</v>
      </c>
      <c r="AH45">
        <v>-5.0999999999999997E-2</v>
      </c>
      <c r="AI45">
        <v>0.89700000000000002</v>
      </c>
      <c r="AJ45">
        <v>12.112</v>
      </c>
      <c r="AK45">
        <v>2.1709999999999998</v>
      </c>
      <c r="AL45">
        <v>10.166</v>
      </c>
      <c r="AM45">
        <v>0.17899999999999999</v>
      </c>
      <c r="AN45">
        <v>12.305</v>
      </c>
      <c r="AO45">
        <v>11.195</v>
      </c>
      <c r="AP45">
        <v>8.9999999999999993E-3</v>
      </c>
      <c r="AQ45">
        <v>9.1809999999999992</v>
      </c>
      <c r="AR45">
        <v>0.16200000000000001</v>
      </c>
      <c r="AS45">
        <v>1</v>
      </c>
      <c r="AT45">
        <v>0</v>
      </c>
      <c r="AU45">
        <v>64</v>
      </c>
    </row>
    <row r="46" spans="2:47" x14ac:dyDescent="0.25">
      <c r="B46" s="9">
        <v>33</v>
      </c>
      <c r="C46" s="35">
        <v>1100</v>
      </c>
      <c r="D46" s="3"/>
      <c r="E46" s="9">
        <f t="shared" si="0"/>
        <v>612</v>
      </c>
      <c r="F46" s="54">
        <f t="shared" si="9"/>
        <v>2279</v>
      </c>
      <c r="G46" s="73">
        <f t="shared" si="1"/>
        <v>2.2280000000000002</v>
      </c>
      <c r="H46" s="56">
        <f t="shared" si="2"/>
        <v>1.1739999999999999</v>
      </c>
      <c r="I46" s="57">
        <f t="shared" si="3"/>
        <v>3834</v>
      </c>
      <c r="J46" s="58">
        <f t="shared" si="4"/>
        <v>10.8</v>
      </c>
      <c r="L46" s="31">
        <f t="shared" si="5"/>
        <v>8.1000000000000003E-2</v>
      </c>
      <c r="M46" s="32">
        <f t="shared" si="10"/>
        <v>0.33849999999999997</v>
      </c>
      <c r="N46" s="32">
        <f t="shared" si="6"/>
        <v>0.89600000000000002</v>
      </c>
      <c r="O46" s="32">
        <f t="shared" si="7"/>
        <v>-5.0999999999999997E-2</v>
      </c>
      <c r="P46" s="32">
        <f t="shared" ref="P46:Q77" si="11">IF(AJ48="","",AJ48)</f>
        <v>12.101000000000001</v>
      </c>
      <c r="Q46" s="33">
        <f t="shared" si="11"/>
        <v>2.3159999999999998</v>
      </c>
      <c r="AB46">
        <v>2</v>
      </c>
      <c r="AC46">
        <v>4</v>
      </c>
      <c r="AD46">
        <v>31</v>
      </c>
      <c r="AE46">
        <v>-0.255</v>
      </c>
      <c r="AF46">
        <v>-0.33800000000000002</v>
      </c>
      <c r="AG46">
        <v>8.4000000000000005E-2</v>
      </c>
      <c r="AH46">
        <v>-5.0999999999999997E-2</v>
      </c>
      <c r="AI46">
        <v>0.89900000000000002</v>
      </c>
      <c r="AJ46">
        <v>12.131</v>
      </c>
      <c r="AK46">
        <v>2.2000000000000002</v>
      </c>
      <c r="AL46">
        <v>10.28</v>
      </c>
      <c r="AM46">
        <v>0.18099999999999999</v>
      </c>
      <c r="AN46">
        <v>12.329000000000001</v>
      </c>
      <c r="AO46">
        <v>10.991</v>
      </c>
      <c r="AP46">
        <v>8.9999999999999993E-3</v>
      </c>
      <c r="AQ46">
        <v>9.0879999999999992</v>
      </c>
      <c r="AR46">
        <v>0.16</v>
      </c>
      <c r="AS46">
        <v>1</v>
      </c>
      <c r="AT46">
        <v>0</v>
      </c>
      <c r="AU46">
        <v>64</v>
      </c>
    </row>
    <row r="47" spans="2:47" x14ac:dyDescent="0.25">
      <c r="B47" s="9">
        <v>34</v>
      </c>
      <c r="C47" s="35">
        <v>1200</v>
      </c>
      <c r="D47" s="3"/>
      <c r="E47" s="9">
        <f t="shared" si="0"/>
        <v>643</v>
      </c>
      <c r="F47" s="54">
        <f t="shared" si="9"/>
        <v>2438</v>
      </c>
      <c r="G47" s="73">
        <f t="shared" si="1"/>
        <v>2.2280000000000002</v>
      </c>
      <c r="H47" s="56">
        <f t="shared" si="2"/>
        <v>1.1739999999999999</v>
      </c>
      <c r="I47" s="57">
        <f t="shared" si="3"/>
        <v>3830</v>
      </c>
      <c r="J47" s="58">
        <f t="shared" si="4"/>
        <v>10.8</v>
      </c>
      <c r="L47" s="31">
        <f t="shared" si="5"/>
        <v>8.5000000000000006E-2</v>
      </c>
      <c r="M47" s="32">
        <f t="shared" si="10"/>
        <v>0.35949999999999999</v>
      </c>
      <c r="N47" s="32">
        <f t="shared" si="6"/>
        <v>0.89600000000000002</v>
      </c>
      <c r="O47" s="32">
        <f t="shared" si="7"/>
        <v>-5.0999999999999997E-2</v>
      </c>
      <c r="P47" s="32">
        <f t="shared" si="11"/>
        <v>12.087999999999999</v>
      </c>
      <c r="Q47" s="33">
        <f t="shared" si="11"/>
        <v>2.3140000000000001</v>
      </c>
      <c r="AB47">
        <v>2</v>
      </c>
      <c r="AC47">
        <v>4</v>
      </c>
      <c r="AD47">
        <v>32</v>
      </c>
      <c r="AE47">
        <v>-0.27500000000000002</v>
      </c>
      <c r="AF47">
        <v>-0.35899999999999999</v>
      </c>
      <c r="AG47">
        <v>8.4000000000000005E-2</v>
      </c>
      <c r="AH47">
        <v>-5.0999999999999997E-2</v>
      </c>
      <c r="AI47">
        <v>0.89700000000000002</v>
      </c>
      <c r="AJ47">
        <v>12.087999999999999</v>
      </c>
      <c r="AK47">
        <v>2.2709999999999999</v>
      </c>
      <c r="AL47">
        <v>10.64</v>
      </c>
      <c r="AM47">
        <v>0.188</v>
      </c>
      <c r="AN47">
        <v>12.298999999999999</v>
      </c>
      <c r="AO47">
        <v>10.98</v>
      </c>
      <c r="AP47">
        <v>8.9999999999999993E-3</v>
      </c>
      <c r="AQ47">
        <v>9.4190000000000005</v>
      </c>
      <c r="AR47">
        <v>0.16600000000000001</v>
      </c>
      <c r="AS47">
        <v>1</v>
      </c>
      <c r="AT47">
        <v>0</v>
      </c>
      <c r="AU47">
        <v>64</v>
      </c>
    </row>
    <row r="48" spans="2:47" x14ac:dyDescent="0.25">
      <c r="B48" s="9">
        <v>35</v>
      </c>
      <c r="C48" s="35">
        <v>1300</v>
      </c>
      <c r="D48" s="3"/>
      <c r="E48" s="9">
        <f t="shared" si="0"/>
        <v>643</v>
      </c>
      <c r="F48" s="54">
        <f t="shared" si="9"/>
        <v>2612</v>
      </c>
      <c r="G48" s="73">
        <f t="shared" si="1"/>
        <v>2.2330000000000001</v>
      </c>
      <c r="H48" s="56">
        <f t="shared" si="2"/>
        <v>1.177</v>
      </c>
      <c r="I48" s="57">
        <f t="shared" si="3"/>
        <v>3805</v>
      </c>
      <c r="J48" s="58">
        <f t="shared" si="4"/>
        <v>10.7</v>
      </c>
      <c r="L48" s="31">
        <f t="shared" si="5"/>
        <v>8.5000000000000006E-2</v>
      </c>
      <c r="M48" s="32">
        <f t="shared" si="10"/>
        <v>0.38250000000000001</v>
      </c>
      <c r="N48" s="32">
        <f t="shared" si="6"/>
        <v>0.89700000000000002</v>
      </c>
      <c r="O48" s="32">
        <f t="shared" si="7"/>
        <v>-5.1999999999999998E-2</v>
      </c>
      <c r="P48" s="32">
        <f t="shared" si="11"/>
        <v>12.012</v>
      </c>
      <c r="Q48" s="33">
        <f t="shared" si="11"/>
        <v>2.2789999999999999</v>
      </c>
      <c r="AB48">
        <v>2</v>
      </c>
      <c r="AC48">
        <v>4</v>
      </c>
      <c r="AD48">
        <v>33</v>
      </c>
      <c r="AE48">
        <v>-0.29799999999999999</v>
      </c>
      <c r="AF48">
        <v>-0.378</v>
      </c>
      <c r="AG48">
        <v>8.1000000000000003E-2</v>
      </c>
      <c r="AH48">
        <v>-5.0999999999999997E-2</v>
      </c>
      <c r="AI48">
        <v>0.89600000000000002</v>
      </c>
      <c r="AJ48">
        <v>12.101000000000001</v>
      </c>
      <c r="AK48">
        <v>2.3159999999999998</v>
      </c>
      <c r="AL48">
        <v>10.836</v>
      </c>
      <c r="AM48">
        <v>0.191</v>
      </c>
      <c r="AN48">
        <v>12.321</v>
      </c>
      <c r="AO48">
        <v>11.323</v>
      </c>
      <c r="AP48">
        <v>0.01</v>
      </c>
      <c r="AQ48">
        <v>9.9009999999999998</v>
      </c>
      <c r="AR48">
        <v>0.17499999999999999</v>
      </c>
      <c r="AS48">
        <v>1</v>
      </c>
      <c r="AT48">
        <v>0</v>
      </c>
      <c r="AU48">
        <v>64</v>
      </c>
    </row>
    <row r="49" spans="2:47" x14ac:dyDescent="0.25">
      <c r="B49" s="9">
        <v>36</v>
      </c>
      <c r="C49" s="35">
        <v>1400</v>
      </c>
      <c r="D49" s="3"/>
      <c r="E49" s="9">
        <f t="shared" si="0"/>
        <v>627</v>
      </c>
      <c r="F49" s="54">
        <f t="shared" si="9"/>
        <v>2771</v>
      </c>
      <c r="G49" s="73">
        <f t="shared" si="1"/>
        <v>2.23</v>
      </c>
      <c r="H49" s="56">
        <f t="shared" si="2"/>
        <v>1.175</v>
      </c>
      <c r="I49" s="57">
        <f t="shared" si="3"/>
        <v>3789</v>
      </c>
      <c r="J49" s="58">
        <f t="shared" si="4"/>
        <v>10.7</v>
      </c>
      <c r="L49" s="31">
        <f t="shared" si="5"/>
        <v>8.3000000000000004E-2</v>
      </c>
      <c r="M49" s="32">
        <f t="shared" si="10"/>
        <v>0.40349999999999997</v>
      </c>
      <c r="N49" s="32">
        <f t="shared" si="6"/>
        <v>0.89700000000000002</v>
      </c>
      <c r="O49" s="32">
        <f t="shared" si="7"/>
        <v>-5.0999999999999997E-2</v>
      </c>
      <c r="P49" s="32">
        <f t="shared" si="11"/>
        <v>11.964</v>
      </c>
      <c r="Q49" s="33">
        <f t="shared" si="11"/>
        <v>2.2650000000000001</v>
      </c>
      <c r="AB49">
        <v>2</v>
      </c>
      <c r="AC49">
        <v>4</v>
      </c>
      <c r="AD49">
        <v>34</v>
      </c>
      <c r="AE49">
        <v>-0.317</v>
      </c>
      <c r="AF49">
        <v>-0.40200000000000002</v>
      </c>
      <c r="AG49">
        <v>8.5000000000000006E-2</v>
      </c>
      <c r="AH49">
        <v>-5.0999999999999997E-2</v>
      </c>
      <c r="AI49">
        <v>0.89600000000000002</v>
      </c>
      <c r="AJ49">
        <v>12.087999999999999</v>
      </c>
      <c r="AK49">
        <v>2.3140000000000001</v>
      </c>
      <c r="AL49">
        <v>10.837999999999999</v>
      </c>
      <c r="AM49">
        <v>0.191</v>
      </c>
      <c r="AN49">
        <v>12.308</v>
      </c>
      <c r="AO49">
        <v>10.996</v>
      </c>
      <c r="AP49">
        <v>0.01</v>
      </c>
      <c r="AQ49">
        <v>9.6170000000000009</v>
      </c>
      <c r="AR49">
        <v>0.16900000000000001</v>
      </c>
      <c r="AS49">
        <v>1</v>
      </c>
      <c r="AT49">
        <v>0</v>
      </c>
      <c r="AU49">
        <v>64</v>
      </c>
    </row>
    <row r="50" spans="2:47" x14ac:dyDescent="0.25">
      <c r="B50" s="9">
        <v>37</v>
      </c>
      <c r="C50" s="35">
        <v>1500</v>
      </c>
      <c r="D50" s="3"/>
      <c r="E50" s="9">
        <f t="shared" si="0"/>
        <v>620</v>
      </c>
      <c r="F50" s="54">
        <f t="shared" si="9"/>
        <v>2918</v>
      </c>
      <c r="G50" s="73">
        <f t="shared" si="1"/>
        <v>2.2349999999999999</v>
      </c>
      <c r="H50" s="56">
        <f t="shared" si="2"/>
        <v>1.177</v>
      </c>
      <c r="I50" s="57">
        <f t="shared" si="3"/>
        <v>3782</v>
      </c>
      <c r="J50" s="58">
        <f t="shared" si="4"/>
        <v>11.1</v>
      </c>
      <c r="L50" s="31">
        <f t="shared" si="5"/>
        <v>8.2000000000000003E-2</v>
      </c>
      <c r="M50" s="32">
        <f t="shared" si="10"/>
        <v>0.42299999999999999</v>
      </c>
      <c r="N50" s="32">
        <f t="shared" si="6"/>
        <v>0.89900000000000002</v>
      </c>
      <c r="O50" s="32">
        <f t="shared" si="7"/>
        <v>-5.0999999999999997E-2</v>
      </c>
      <c r="P50" s="32">
        <f t="shared" si="11"/>
        <v>11.926</v>
      </c>
      <c r="Q50" s="33">
        <f t="shared" si="11"/>
        <v>2.3319999999999999</v>
      </c>
      <c r="AB50">
        <v>2</v>
      </c>
      <c r="AC50">
        <v>4</v>
      </c>
      <c r="AD50">
        <v>35</v>
      </c>
      <c r="AE50">
        <v>-0.34</v>
      </c>
      <c r="AF50">
        <v>-0.42499999999999999</v>
      </c>
      <c r="AG50">
        <v>8.5000000000000006E-2</v>
      </c>
      <c r="AH50">
        <v>-5.1999999999999998E-2</v>
      </c>
      <c r="AI50">
        <v>0.89700000000000002</v>
      </c>
      <c r="AJ50">
        <v>12.012</v>
      </c>
      <c r="AK50">
        <v>2.2789999999999999</v>
      </c>
      <c r="AL50">
        <v>10.743</v>
      </c>
      <c r="AM50">
        <v>0.19</v>
      </c>
      <c r="AN50">
        <v>12.226000000000001</v>
      </c>
      <c r="AO50">
        <v>10.907</v>
      </c>
      <c r="AP50">
        <v>0.01</v>
      </c>
      <c r="AQ50">
        <v>9.5169999999999995</v>
      </c>
      <c r="AR50">
        <v>0.16800000000000001</v>
      </c>
      <c r="AS50">
        <v>1</v>
      </c>
      <c r="AT50">
        <v>0</v>
      </c>
      <c r="AU50">
        <v>64</v>
      </c>
    </row>
    <row r="51" spans="2:47" x14ac:dyDescent="0.25">
      <c r="B51" s="9">
        <v>38</v>
      </c>
      <c r="C51" s="35">
        <v>1600</v>
      </c>
      <c r="D51" s="3"/>
      <c r="E51" s="9">
        <f t="shared" si="0"/>
        <v>643</v>
      </c>
      <c r="F51" s="54">
        <f t="shared" si="9"/>
        <v>3088</v>
      </c>
      <c r="G51" s="73">
        <f t="shared" si="1"/>
        <v>2.2330000000000001</v>
      </c>
      <c r="H51" s="56">
        <f t="shared" si="2"/>
        <v>1.175</v>
      </c>
      <c r="I51" s="57">
        <f t="shared" si="3"/>
        <v>3769</v>
      </c>
      <c r="J51" s="58">
        <f t="shared" si="4"/>
        <v>11</v>
      </c>
      <c r="L51" s="31">
        <f t="shared" si="5"/>
        <v>8.5000000000000006E-2</v>
      </c>
      <c r="M51" s="32">
        <f t="shared" si="10"/>
        <v>0.44550000000000001</v>
      </c>
      <c r="N51" s="32">
        <f t="shared" si="6"/>
        <v>0.89900000000000002</v>
      </c>
      <c r="O51" s="32">
        <f t="shared" si="7"/>
        <v>-0.05</v>
      </c>
      <c r="P51" s="32">
        <f t="shared" si="11"/>
        <v>11.887</v>
      </c>
      <c r="Q51" s="33">
        <f t="shared" si="11"/>
        <v>2.3199999999999998</v>
      </c>
      <c r="AB51">
        <v>2</v>
      </c>
      <c r="AC51">
        <v>4</v>
      </c>
      <c r="AD51">
        <v>36</v>
      </c>
      <c r="AE51">
        <v>-0.36199999999999999</v>
      </c>
      <c r="AF51">
        <v>-0.44500000000000001</v>
      </c>
      <c r="AG51">
        <v>8.3000000000000004E-2</v>
      </c>
      <c r="AH51">
        <v>-5.0999999999999997E-2</v>
      </c>
      <c r="AI51">
        <v>0.89700000000000002</v>
      </c>
      <c r="AJ51">
        <v>11.964</v>
      </c>
      <c r="AK51">
        <v>2.2650000000000001</v>
      </c>
      <c r="AL51">
        <v>10.723000000000001</v>
      </c>
      <c r="AM51">
        <v>0.189</v>
      </c>
      <c r="AN51">
        <v>12.177</v>
      </c>
      <c r="AO51">
        <v>11.021000000000001</v>
      </c>
      <c r="AP51">
        <v>0.01</v>
      </c>
      <c r="AQ51">
        <v>9.6430000000000007</v>
      </c>
      <c r="AR51">
        <v>0.17</v>
      </c>
      <c r="AS51">
        <v>1</v>
      </c>
      <c r="AT51">
        <v>0</v>
      </c>
      <c r="AU51">
        <v>64</v>
      </c>
    </row>
    <row r="52" spans="2:47" x14ac:dyDescent="0.25">
      <c r="B52" s="9">
        <v>39</v>
      </c>
      <c r="C52" s="35">
        <v>1700</v>
      </c>
      <c r="D52" s="3"/>
      <c r="E52" s="9">
        <f t="shared" si="0"/>
        <v>635</v>
      </c>
      <c r="F52" s="54">
        <f t="shared" si="9"/>
        <v>3243</v>
      </c>
      <c r="G52" s="73">
        <f t="shared" si="1"/>
        <v>2.2330000000000001</v>
      </c>
      <c r="H52" s="56">
        <f t="shared" si="2"/>
        <v>1.1759999999999999</v>
      </c>
      <c r="I52" s="57">
        <f t="shared" si="3"/>
        <v>3752</v>
      </c>
      <c r="J52" s="58">
        <f t="shared" si="4"/>
        <v>10.8</v>
      </c>
      <c r="L52" s="31">
        <f t="shared" si="5"/>
        <v>8.4000000000000005E-2</v>
      </c>
      <c r="M52" s="32">
        <f t="shared" si="10"/>
        <v>0.46599999999999997</v>
      </c>
      <c r="N52" s="32">
        <f t="shared" si="6"/>
        <v>0.89800000000000002</v>
      </c>
      <c r="O52" s="32">
        <f t="shared" si="7"/>
        <v>-5.0999999999999997E-2</v>
      </c>
      <c r="P52" s="32">
        <f t="shared" si="11"/>
        <v>11.842000000000001</v>
      </c>
      <c r="Q52" s="33">
        <f t="shared" si="11"/>
        <v>2.266</v>
      </c>
      <c r="AB52">
        <v>2</v>
      </c>
      <c r="AC52">
        <v>4</v>
      </c>
      <c r="AD52">
        <v>37</v>
      </c>
      <c r="AE52">
        <v>-0.38200000000000001</v>
      </c>
      <c r="AF52">
        <v>-0.46400000000000002</v>
      </c>
      <c r="AG52">
        <v>8.2000000000000003E-2</v>
      </c>
      <c r="AH52">
        <v>-5.0999999999999997E-2</v>
      </c>
      <c r="AI52">
        <v>0.89900000000000002</v>
      </c>
      <c r="AJ52">
        <v>11.926</v>
      </c>
      <c r="AK52">
        <v>2.3319999999999999</v>
      </c>
      <c r="AL52">
        <v>11.067</v>
      </c>
      <c r="AM52">
        <v>0.19600000000000001</v>
      </c>
      <c r="AN52">
        <v>12.151999999999999</v>
      </c>
      <c r="AO52">
        <v>11.117000000000001</v>
      </c>
      <c r="AP52">
        <v>0.01</v>
      </c>
      <c r="AQ52">
        <v>10.054</v>
      </c>
      <c r="AR52">
        <v>0.17699999999999999</v>
      </c>
      <c r="AS52">
        <v>1</v>
      </c>
      <c r="AT52">
        <v>0</v>
      </c>
      <c r="AU52">
        <v>64</v>
      </c>
    </row>
    <row r="53" spans="2:47" x14ac:dyDescent="0.25">
      <c r="B53" s="9">
        <v>40</v>
      </c>
      <c r="C53" s="35">
        <v>1800</v>
      </c>
      <c r="D53" s="3"/>
      <c r="E53" s="9">
        <f t="shared" si="0"/>
        <v>658</v>
      </c>
      <c r="F53" s="54">
        <f t="shared" si="9"/>
        <v>3413</v>
      </c>
      <c r="G53" s="73">
        <f t="shared" si="1"/>
        <v>2.2330000000000001</v>
      </c>
      <c r="H53" s="56">
        <f t="shared" si="2"/>
        <v>1.175</v>
      </c>
      <c r="I53" s="57">
        <f t="shared" si="3"/>
        <v>3725</v>
      </c>
      <c r="J53" s="58">
        <f t="shared" si="4"/>
        <v>10.9</v>
      </c>
      <c r="L53" s="31">
        <f t="shared" si="5"/>
        <v>8.6999999999999994E-2</v>
      </c>
      <c r="M53" s="32">
        <f t="shared" si="10"/>
        <v>0.48849999999999999</v>
      </c>
      <c r="N53" s="32">
        <f t="shared" si="6"/>
        <v>0.89900000000000002</v>
      </c>
      <c r="O53" s="32">
        <f t="shared" si="7"/>
        <v>-0.05</v>
      </c>
      <c r="P53" s="32">
        <f t="shared" si="11"/>
        <v>11.754</v>
      </c>
      <c r="Q53" s="33">
        <f t="shared" si="11"/>
        <v>2.2599999999999998</v>
      </c>
      <c r="AB53">
        <v>2</v>
      </c>
      <c r="AC53">
        <v>4</v>
      </c>
      <c r="AD53">
        <v>38</v>
      </c>
      <c r="AE53">
        <v>-0.40300000000000002</v>
      </c>
      <c r="AF53">
        <v>-0.48799999999999999</v>
      </c>
      <c r="AG53">
        <v>8.5000000000000006E-2</v>
      </c>
      <c r="AH53">
        <v>-0.05</v>
      </c>
      <c r="AI53">
        <v>0.89900000000000002</v>
      </c>
      <c r="AJ53">
        <v>11.887</v>
      </c>
      <c r="AK53">
        <v>2.3199999999999998</v>
      </c>
      <c r="AL53">
        <v>11.044</v>
      </c>
      <c r="AM53">
        <v>0.19500000000000001</v>
      </c>
      <c r="AN53">
        <v>12.112</v>
      </c>
      <c r="AO53">
        <v>11.032</v>
      </c>
      <c r="AP53">
        <v>0.01</v>
      </c>
      <c r="AQ53">
        <v>9.98</v>
      </c>
      <c r="AR53">
        <v>0.17599999999999999</v>
      </c>
      <c r="AS53">
        <v>1</v>
      </c>
      <c r="AT53">
        <v>0</v>
      </c>
      <c r="AU53">
        <v>64</v>
      </c>
    </row>
    <row r="54" spans="2:47" x14ac:dyDescent="0.25">
      <c r="B54" s="9">
        <v>41</v>
      </c>
      <c r="C54" s="35">
        <v>1900</v>
      </c>
      <c r="D54" s="3"/>
      <c r="E54" s="9">
        <f t="shared" si="0"/>
        <v>643</v>
      </c>
      <c r="F54" s="54">
        <f t="shared" si="9"/>
        <v>3580</v>
      </c>
      <c r="G54" s="73">
        <f t="shared" si="1"/>
        <v>2.2370000000000001</v>
      </c>
      <c r="H54" s="56">
        <f t="shared" si="2"/>
        <v>1.179</v>
      </c>
      <c r="I54" s="57">
        <f t="shared" si="3"/>
        <v>3718</v>
      </c>
      <c r="J54" s="58">
        <f t="shared" si="4"/>
        <v>11.3</v>
      </c>
      <c r="L54" s="31">
        <f t="shared" si="5"/>
        <v>8.5000000000000006E-2</v>
      </c>
      <c r="M54" s="32">
        <f t="shared" si="10"/>
        <v>0.51050000000000006</v>
      </c>
      <c r="N54" s="32">
        <f t="shared" si="6"/>
        <v>0.9</v>
      </c>
      <c r="O54" s="32">
        <f t="shared" si="7"/>
        <v>-5.0999999999999997E-2</v>
      </c>
      <c r="P54" s="32">
        <f t="shared" si="11"/>
        <v>11.714</v>
      </c>
      <c r="Q54" s="33">
        <f t="shared" si="11"/>
        <v>2.347</v>
      </c>
      <c r="AB54">
        <v>2</v>
      </c>
      <c r="AC54">
        <v>4</v>
      </c>
      <c r="AD54">
        <v>39</v>
      </c>
      <c r="AE54">
        <v>-0.42399999999999999</v>
      </c>
      <c r="AF54">
        <v>-0.50900000000000001</v>
      </c>
      <c r="AG54">
        <v>8.4000000000000005E-2</v>
      </c>
      <c r="AH54">
        <v>-5.0999999999999997E-2</v>
      </c>
      <c r="AI54">
        <v>0.89800000000000002</v>
      </c>
      <c r="AJ54">
        <v>11.842000000000001</v>
      </c>
      <c r="AK54">
        <v>2.266</v>
      </c>
      <c r="AL54">
        <v>10.831</v>
      </c>
      <c r="AM54">
        <v>0.191</v>
      </c>
      <c r="AN54">
        <v>12.057</v>
      </c>
      <c r="AO54">
        <v>10.853999999999999</v>
      </c>
      <c r="AP54">
        <v>0.01</v>
      </c>
      <c r="AQ54">
        <v>9.6620000000000008</v>
      </c>
      <c r="AR54">
        <v>0.17</v>
      </c>
      <c r="AS54">
        <v>1</v>
      </c>
      <c r="AT54">
        <v>0</v>
      </c>
      <c r="AU54">
        <v>64</v>
      </c>
    </row>
    <row r="55" spans="2:47" x14ac:dyDescent="0.25">
      <c r="B55" s="9">
        <v>42</v>
      </c>
      <c r="C55" s="35">
        <v>2000</v>
      </c>
      <c r="D55" s="3"/>
      <c r="E55" s="9">
        <f t="shared" si="0"/>
        <v>635</v>
      </c>
      <c r="F55" s="54">
        <f t="shared" si="9"/>
        <v>3727</v>
      </c>
      <c r="G55" s="73">
        <f t="shared" si="1"/>
        <v>2.23</v>
      </c>
      <c r="H55" s="56">
        <f t="shared" si="2"/>
        <v>1.175</v>
      </c>
      <c r="I55" s="57">
        <f t="shared" si="3"/>
        <v>3718</v>
      </c>
      <c r="J55" s="58">
        <f t="shared" si="4"/>
        <v>11.4</v>
      </c>
      <c r="L55" s="31">
        <f t="shared" si="5"/>
        <v>8.4000000000000005E-2</v>
      </c>
      <c r="M55" s="32">
        <f t="shared" si="10"/>
        <v>0.53</v>
      </c>
      <c r="N55" s="32">
        <f t="shared" si="6"/>
        <v>0.89700000000000002</v>
      </c>
      <c r="O55" s="32">
        <f t="shared" si="7"/>
        <v>-5.0999999999999997E-2</v>
      </c>
      <c r="P55" s="32">
        <f t="shared" si="11"/>
        <v>11.712</v>
      </c>
      <c r="Q55" s="33">
        <f t="shared" si="11"/>
        <v>2.3570000000000002</v>
      </c>
      <c r="AB55">
        <v>2</v>
      </c>
      <c r="AC55">
        <v>4</v>
      </c>
      <c r="AD55">
        <v>40</v>
      </c>
      <c r="AE55">
        <v>-0.44500000000000001</v>
      </c>
      <c r="AF55">
        <v>-0.53200000000000003</v>
      </c>
      <c r="AG55">
        <v>8.6999999999999994E-2</v>
      </c>
      <c r="AH55">
        <v>-0.05</v>
      </c>
      <c r="AI55">
        <v>0.89900000000000002</v>
      </c>
      <c r="AJ55">
        <v>11.754</v>
      </c>
      <c r="AK55">
        <v>2.2599999999999998</v>
      </c>
      <c r="AL55">
        <v>10.882</v>
      </c>
      <c r="AM55">
        <v>0.192</v>
      </c>
      <c r="AN55">
        <v>11.968999999999999</v>
      </c>
      <c r="AO55">
        <v>10.794</v>
      </c>
      <c r="AP55">
        <v>0.01</v>
      </c>
      <c r="AQ55">
        <v>9.7110000000000003</v>
      </c>
      <c r="AR55">
        <v>0.17100000000000001</v>
      </c>
      <c r="AS55">
        <v>1</v>
      </c>
      <c r="AT55">
        <v>0</v>
      </c>
      <c r="AU55">
        <v>64</v>
      </c>
    </row>
    <row r="56" spans="2:47" x14ac:dyDescent="0.25">
      <c r="B56" s="9">
        <v>43</v>
      </c>
      <c r="C56" s="35">
        <v>2500</v>
      </c>
      <c r="D56" s="3"/>
      <c r="E56" s="9">
        <f t="shared" si="0"/>
        <v>665</v>
      </c>
      <c r="F56" s="54">
        <f t="shared" si="9"/>
        <v>4513</v>
      </c>
      <c r="G56" s="73">
        <f t="shared" si="1"/>
        <v>2.2330000000000001</v>
      </c>
      <c r="H56" s="56">
        <f t="shared" si="2"/>
        <v>1.1759999999999999</v>
      </c>
      <c r="I56" s="57">
        <f t="shared" si="3"/>
        <v>3638</v>
      </c>
      <c r="J56" s="58">
        <f t="shared" si="4"/>
        <v>11.5</v>
      </c>
      <c r="L56" s="31">
        <f t="shared" si="5"/>
        <v>8.7999999999999995E-2</v>
      </c>
      <c r="M56" s="32">
        <f t="shared" si="10"/>
        <v>0.63400000000000001</v>
      </c>
      <c r="N56" s="32">
        <f t="shared" si="6"/>
        <v>0.89800000000000002</v>
      </c>
      <c r="O56" s="32">
        <f t="shared" si="7"/>
        <v>-5.0999999999999997E-2</v>
      </c>
      <c r="P56" s="32">
        <f t="shared" si="11"/>
        <v>11.455</v>
      </c>
      <c r="Q56" s="33">
        <f t="shared" si="11"/>
        <v>2.3340000000000001</v>
      </c>
      <c r="AB56">
        <v>2</v>
      </c>
      <c r="AC56">
        <v>4</v>
      </c>
      <c r="AD56">
        <v>41</v>
      </c>
      <c r="AE56">
        <v>-0.46800000000000003</v>
      </c>
      <c r="AF56">
        <v>-0.55300000000000005</v>
      </c>
      <c r="AG56">
        <v>8.5000000000000006E-2</v>
      </c>
      <c r="AH56">
        <v>-5.0999999999999997E-2</v>
      </c>
      <c r="AI56">
        <v>0.9</v>
      </c>
      <c r="AJ56">
        <v>11.714</v>
      </c>
      <c r="AK56">
        <v>2.347</v>
      </c>
      <c r="AL56">
        <v>11.327999999999999</v>
      </c>
      <c r="AM56">
        <v>0.2</v>
      </c>
      <c r="AN56">
        <v>11.946999999999999</v>
      </c>
      <c r="AO56">
        <v>10.954000000000001</v>
      </c>
      <c r="AP56">
        <v>0.01</v>
      </c>
      <c r="AQ56">
        <v>10.295999999999999</v>
      </c>
      <c r="AR56">
        <v>0.182</v>
      </c>
      <c r="AS56">
        <v>1</v>
      </c>
      <c r="AT56">
        <v>0</v>
      </c>
      <c r="AU56">
        <v>64</v>
      </c>
    </row>
    <row r="57" spans="2:47" x14ac:dyDescent="0.25">
      <c r="B57" s="9">
        <v>44</v>
      </c>
      <c r="C57" s="35">
        <v>3000</v>
      </c>
      <c r="D57" s="3"/>
      <c r="E57" s="9">
        <f t="shared" si="0"/>
        <v>680</v>
      </c>
      <c r="F57" s="54">
        <f t="shared" si="9"/>
        <v>5322</v>
      </c>
      <c r="G57" s="73">
        <f t="shared" si="1"/>
        <v>2.2330000000000001</v>
      </c>
      <c r="H57" s="56">
        <f t="shared" si="2"/>
        <v>1.1739999999999999</v>
      </c>
      <c r="I57" s="57">
        <f t="shared" si="3"/>
        <v>3513</v>
      </c>
      <c r="J57" s="58">
        <f t="shared" si="4"/>
        <v>11.6</v>
      </c>
      <c r="L57" s="31">
        <f t="shared" si="5"/>
        <v>0.09</v>
      </c>
      <c r="M57" s="32">
        <f t="shared" si="10"/>
        <v>0.74099999999999999</v>
      </c>
      <c r="N57" s="32">
        <f t="shared" si="6"/>
        <v>0.9</v>
      </c>
      <c r="O57" s="32">
        <f t="shared" si="7"/>
        <v>-4.9000000000000002E-2</v>
      </c>
      <c r="P57" s="32">
        <f t="shared" si="11"/>
        <v>11.057</v>
      </c>
      <c r="Q57" s="33">
        <f t="shared" si="11"/>
        <v>2.2759999999999998</v>
      </c>
      <c r="AB57">
        <v>2</v>
      </c>
      <c r="AC57">
        <v>4</v>
      </c>
      <c r="AD57">
        <v>42</v>
      </c>
      <c r="AE57">
        <v>-0.48799999999999999</v>
      </c>
      <c r="AF57">
        <v>-0.57299999999999995</v>
      </c>
      <c r="AG57">
        <v>8.4000000000000005E-2</v>
      </c>
      <c r="AH57">
        <v>-5.0999999999999997E-2</v>
      </c>
      <c r="AI57">
        <v>0.89700000000000002</v>
      </c>
      <c r="AJ57">
        <v>11.712</v>
      </c>
      <c r="AK57">
        <v>2.3570000000000002</v>
      </c>
      <c r="AL57">
        <v>11.378</v>
      </c>
      <c r="AM57">
        <v>0.20100000000000001</v>
      </c>
      <c r="AN57">
        <v>11.946999999999999</v>
      </c>
      <c r="AO57">
        <v>10.939</v>
      </c>
      <c r="AP57">
        <v>0.01</v>
      </c>
      <c r="AQ57">
        <v>10.326000000000001</v>
      </c>
      <c r="AR57">
        <v>0.182</v>
      </c>
      <c r="AS57">
        <v>1</v>
      </c>
      <c r="AT57">
        <v>0</v>
      </c>
      <c r="AU57">
        <v>64</v>
      </c>
    </row>
    <row r="58" spans="2:47" x14ac:dyDescent="0.25">
      <c r="B58" s="9">
        <v>45</v>
      </c>
      <c r="C58" s="35">
        <v>3500</v>
      </c>
      <c r="D58" s="3"/>
      <c r="E58" s="9">
        <f t="shared" si="0"/>
        <v>688</v>
      </c>
      <c r="F58" s="54">
        <f t="shared" si="9"/>
        <v>6286</v>
      </c>
      <c r="G58" s="73">
        <f t="shared" si="1"/>
        <v>2.2330000000000001</v>
      </c>
      <c r="H58" s="56">
        <f t="shared" si="2"/>
        <v>1.177</v>
      </c>
      <c r="I58" s="57">
        <f t="shared" si="3"/>
        <v>3387</v>
      </c>
      <c r="J58" s="58">
        <f t="shared" si="4"/>
        <v>12.5</v>
      </c>
      <c r="L58" s="31">
        <f t="shared" si="5"/>
        <v>9.0999999999999998E-2</v>
      </c>
      <c r="M58" s="32">
        <f t="shared" si="10"/>
        <v>0.86849999999999994</v>
      </c>
      <c r="N58" s="32">
        <f t="shared" si="6"/>
        <v>0.89700000000000002</v>
      </c>
      <c r="O58" s="32">
        <f t="shared" si="7"/>
        <v>-5.1999999999999998E-2</v>
      </c>
      <c r="P58" s="32">
        <f t="shared" si="11"/>
        <v>10.627000000000001</v>
      </c>
      <c r="Q58" s="33">
        <f t="shared" si="11"/>
        <v>2.3490000000000002</v>
      </c>
      <c r="AB58">
        <v>2</v>
      </c>
      <c r="AC58">
        <v>4</v>
      </c>
      <c r="AD58">
        <v>43</v>
      </c>
      <c r="AE58">
        <v>-0.59</v>
      </c>
      <c r="AF58">
        <v>-0.67800000000000005</v>
      </c>
      <c r="AG58">
        <v>8.7999999999999995E-2</v>
      </c>
      <c r="AH58">
        <v>-5.0999999999999997E-2</v>
      </c>
      <c r="AI58">
        <v>0.89800000000000002</v>
      </c>
      <c r="AJ58">
        <v>11.455</v>
      </c>
      <c r="AK58">
        <v>2.3340000000000001</v>
      </c>
      <c r="AL58">
        <v>11.515000000000001</v>
      </c>
      <c r="AM58">
        <v>0.20399999999999999</v>
      </c>
      <c r="AN58">
        <v>11.691000000000001</v>
      </c>
      <c r="AO58">
        <v>10.554</v>
      </c>
      <c r="AP58">
        <v>1.0999999999999999E-2</v>
      </c>
      <c r="AQ58">
        <v>10.298</v>
      </c>
      <c r="AR58">
        <v>0.182</v>
      </c>
      <c r="AS58">
        <v>1</v>
      </c>
      <c r="AT58">
        <v>0</v>
      </c>
      <c r="AU58">
        <v>64</v>
      </c>
    </row>
    <row r="59" spans="2:47" x14ac:dyDescent="0.25">
      <c r="B59" s="9">
        <v>46</v>
      </c>
      <c r="C59" s="35">
        <v>4000</v>
      </c>
      <c r="D59" s="3"/>
      <c r="E59" s="9">
        <f t="shared" si="0"/>
        <v>764</v>
      </c>
      <c r="F59" s="54">
        <f t="shared" si="9"/>
        <v>7655</v>
      </c>
      <c r="G59" s="73">
        <f t="shared" si="1"/>
        <v>2.23</v>
      </c>
      <c r="H59" s="56">
        <f t="shared" si="2"/>
        <v>1.1759999999999999</v>
      </c>
      <c r="I59" s="57">
        <f t="shared" si="3"/>
        <v>3049</v>
      </c>
      <c r="J59" s="58">
        <f t="shared" si="4"/>
        <v>13.6</v>
      </c>
      <c r="L59" s="31">
        <f t="shared" si="5"/>
        <v>0.10100000000000001</v>
      </c>
      <c r="M59" s="32">
        <f t="shared" si="10"/>
        <v>1.0495000000000001</v>
      </c>
      <c r="N59" s="32">
        <f t="shared" si="6"/>
        <v>0.89600000000000002</v>
      </c>
      <c r="O59" s="32">
        <f t="shared" si="7"/>
        <v>-5.1999999999999998E-2</v>
      </c>
      <c r="P59" s="32">
        <f t="shared" si="11"/>
        <v>9.5229999999999997</v>
      </c>
      <c r="Q59" s="33">
        <f t="shared" si="11"/>
        <v>2.3069999999999999</v>
      </c>
      <c r="AB59">
        <v>2</v>
      </c>
      <c r="AC59">
        <v>4</v>
      </c>
      <c r="AD59">
        <v>44</v>
      </c>
      <c r="AE59">
        <v>-0.69599999999999995</v>
      </c>
      <c r="AF59">
        <v>-0.78600000000000003</v>
      </c>
      <c r="AG59">
        <v>0.09</v>
      </c>
      <c r="AH59">
        <v>-4.9000000000000002E-2</v>
      </c>
      <c r="AI59">
        <v>0.9</v>
      </c>
      <c r="AJ59">
        <v>11.057</v>
      </c>
      <c r="AK59">
        <v>2.2759999999999998</v>
      </c>
      <c r="AL59">
        <v>11.63</v>
      </c>
      <c r="AM59">
        <v>0.20599999999999999</v>
      </c>
      <c r="AN59">
        <v>11.289</v>
      </c>
      <c r="AO59">
        <v>10.365</v>
      </c>
      <c r="AP59">
        <v>1.0999999999999999E-2</v>
      </c>
      <c r="AQ59">
        <v>10.561</v>
      </c>
      <c r="AR59">
        <v>0.186</v>
      </c>
      <c r="AS59">
        <v>1</v>
      </c>
      <c r="AT59">
        <v>0</v>
      </c>
      <c r="AU59">
        <v>64</v>
      </c>
    </row>
    <row r="60" spans="2:47" x14ac:dyDescent="0.25">
      <c r="B60" s="9">
        <v>47</v>
      </c>
      <c r="C60" s="35">
        <v>4500</v>
      </c>
      <c r="D60" s="3"/>
      <c r="E60" s="9">
        <f t="shared" si="0"/>
        <v>23330</v>
      </c>
      <c r="F60" s="54">
        <f t="shared" si="9"/>
        <v>53064</v>
      </c>
      <c r="G60" s="73">
        <f t="shared" si="1"/>
        <v>2.2330000000000001</v>
      </c>
      <c r="H60" s="56">
        <f t="shared" si="2"/>
        <v>1.1870000000000001</v>
      </c>
      <c r="I60" s="57">
        <f t="shared" si="3"/>
        <v>94</v>
      </c>
      <c r="J60" s="58">
        <f t="shared" si="4"/>
        <v>12.8</v>
      </c>
      <c r="L60" s="31">
        <f t="shared" si="5"/>
        <v>3.0859999999999999</v>
      </c>
      <c r="M60" s="32">
        <f t="shared" si="10"/>
        <v>7.056</v>
      </c>
      <c r="N60" s="32">
        <f t="shared" si="6"/>
        <v>0.88900000000000001</v>
      </c>
      <c r="O60" s="32">
        <f t="shared" si="7"/>
        <v>-0.06</v>
      </c>
      <c r="P60" s="32">
        <f t="shared" si="11"/>
        <v>0.29499999999999998</v>
      </c>
      <c r="Q60" s="33">
        <f t="shared" si="11"/>
        <v>6.7000000000000004E-2</v>
      </c>
      <c r="AB60">
        <v>2</v>
      </c>
      <c r="AC60">
        <v>4</v>
      </c>
      <c r="AD60">
        <v>45</v>
      </c>
      <c r="AE60">
        <v>-0.82299999999999995</v>
      </c>
      <c r="AF60">
        <v>-0.91400000000000003</v>
      </c>
      <c r="AG60">
        <v>9.0999999999999998E-2</v>
      </c>
      <c r="AH60">
        <v>-5.1999999999999998E-2</v>
      </c>
      <c r="AI60">
        <v>0.89700000000000002</v>
      </c>
      <c r="AJ60">
        <v>10.627000000000001</v>
      </c>
      <c r="AK60">
        <v>2.3490000000000002</v>
      </c>
      <c r="AL60">
        <v>12.465</v>
      </c>
      <c r="AM60">
        <v>0.221</v>
      </c>
      <c r="AN60">
        <v>10.882999999999999</v>
      </c>
      <c r="AO60">
        <v>10.099</v>
      </c>
      <c r="AP60">
        <v>1.2E-2</v>
      </c>
      <c r="AQ60">
        <v>11.484</v>
      </c>
      <c r="AR60">
        <v>0.20300000000000001</v>
      </c>
      <c r="AS60">
        <v>1</v>
      </c>
      <c r="AT60">
        <v>0</v>
      </c>
      <c r="AU60">
        <v>64</v>
      </c>
    </row>
    <row r="61" spans="2:47" x14ac:dyDescent="0.25">
      <c r="B61" s="9">
        <v>48</v>
      </c>
      <c r="C61" s="35">
        <v>5000</v>
      </c>
      <c r="D61" s="3"/>
      <c r="E61" s="9" t="str">
        <f t="shared" si="0"/>
        <v/>
      </c>
      <c r="F61" s="54" t="str">
        <f t="shared" si="9"/>
        <v/>
      </c>
      <c r="G61" s="73" t="str">
        <f t="shared" si="1"/>
        <v/>
      </c>
      <c r="H61" s="56" t="str">
        <f t="shared" si="2"/>
        <v/>
      </c>
      <c r="I61" s="57" t="str">
        <f t="shared" si="3"/>
        <v/>
      </c>
      <c r="J61" s="58" t="str">
        <f t="shared" si="4"/>
        <v/>
      </c>
      <c r="L61" s="31" t="str">
        <f t="shared" si="5"/>
        <v/>
      </c>
      <c r="M61" s="32" t="str">
        <f t="shared" si="10"/>
        <v/>
      </c>
      <c r="N61" s="32" t="str">
        <f t="shared" si="6"/>
        <v/>
      </c>
      <c r="O61" s="32" t="str">
        <f t="shared" si="7"/>
        <v/>
      </c>
      <c r="P61" s="32" t="str">
        <f t="shared" si="11"/>
        <v/>
      </c>
      <c r="Q61" s="33" t="str">
        <f t="shared" si="11"/>
        <v/>
      </c>
      <c r="AB61">
        <v>2</v>
      </c>
      <c r="AC61">
        <v>4</v>
      </c>
      <c r="AD61">
        <v>46</v>
      </c>
      <c r="AE61">
        <v>-0.999</v>
      </c>
      <c r="AF61">
        <v>-1.1000000000000001</v>
      </c>
      <c r="AG61">
        <v>0.10100000000000001</v>
      </c>
      <c r="AH61">
        <v>-5.1999999999999998E-2</v>
      </c>
      <c r="AI61">
        <v>0.89600000000000002</v>
      </c>
      <c r="AJ61">
        <v>9.5229999999999997</v>
      </c>
      <c r="AK61">
        <v>2.3069999999999999</v>
      </c>
      <c r="AL61">
        <v>13.618</v>
      </c>
      <c r="AM61">
        <v>0.24199999999999999</v>
      </c>
      <c r="AN61">
        <v>9.7989999999999995</v>
      </c>
      <c r="AO61">
        <v>9.032</v>
      </c>
      <c r="AP61">
        <v>1.4999999999999999E-2</v>
      </c>
      <c r="AQ61">
        <v>12.494</v>
      </c>
      <c r="AR61">
        <v>0.222</v>
      </c>
      <c r="AS61">
        <v>1</v>
      </c>
      <c r="AT61">
        <v>0</v>
      </c>
      <c r="AU61">
        <v>64</v>
      </c>
    </row>
    <row r="62" spans="2:47" x14ac:dyDescent="0.25">
      <c r="B62" s="9">
        <v>49</v>
      </c>
      <c r="C62" s="35">
        <v>5500</v>
      </c>
      <c r="D62" s="3"/>
      <c r="E62" s="9" t="str">
        <f t="shared" si="0"/>
        <v/>
      </c>
      <c r="F62" s="54" t="str">
        <f t="shared" si="9"/>
        <v/>
      </c>
      <c r="G62" s="73" t="str">
        <f t="shared" si="1"/>
        <v/>
      </c>
      <c r="H62" s="56" t="str">
        <f t="shared" si="2"/>
        <v/>
      </c>
      <c r="I62" s="57" t="str">
        <f t="shared" si="3"/>
        <v/>
      </c>
      <c r="J62" s="58" t="str">
        <f t="shared" si="4"/>
        <v/>
      </c>
      <c r="L62" s="31" t="str">
        <f t="shared" si="5"/>
        <v/>
      </c>
      <c r="M62" s="32" t="str">
        <f t="shared" si="10"/>
        <v/>
      </c>
      <c r="N62" s="32" t="str">
        <f t="shared" si="6"/>
        <v/>
      </c>
      <c r="O62" s="32" t="str">
        <f t="shared" si="7"/>
        <v/>
      </c>
      <c r="P62" s="32" t="str">
        <f t="shared" si="11"/>
        <v/>
      </c>
      <c r="Q62" s="33" t="str">
        <f t="shared" si="11"/>
        <v/>
      </c>
      <c r="AB62">
        <v>2</v>
      </c>
      <c r="AC62">
        <v>4</v>
      </c>
      <c r="AD62">
        <v>47</v>
      </c>
      <c r="AE62">
        <v>-5.5129999999999999</v>
      </c>
      <c r="AF62">
        <v>-8.6</v>
      </c>
      <c r="AG62">
        <v>3.0859999999999999</v>
      </c>
      <c r="AH62">
        <v>-0.06</v>
      </c>
      <c r="AI62">
        <v>0.88900000000000001</v>
      </c>
      <c r="AJ62">
        <v>0.29499999999999998</v>
      </c>
      <c r="AK62">
        <v>6.7000000000000004E-2</v>
      </c>
      <c r="AL62">
        <v>12.757999999999999</v>
      </c>
      <c r="AM62">
        <v>0.22600000000000001</v>
      </c>
      <c r="AN62">
        <v>0.30299999999999999</v>
      </c>
      <c r="AO62">
        <v>0.28899999999999998</v>
      </c>
      <c r="AP62">
        <v>0.33600000000000002</v>
      </c>
      <c r="AQ62">
        <v>9.0440000000000005</v>
      </c>
      <c r="AR62">
        <v>0.159</v>
      </c>
      <c r="AS62">
        <v>1</v>
      </c>
      <c r="AT62">
        <v>0</v>
      </c>
      <c r="AU62">
        <v>64</v>
      </c>
    </row>
    <row r="63" spans="2:47" x14ac:dyDescent="0.25">
      <c r="B63" s="9">
        <v>50</v>
      </c>
      <c r="C63" s="35">
        <v>6000</v>
      </c>
      <c r="D63" s="3"/>
      <c r="E63" s="9" t="str">
        <f t="shared" si="0"/>
        <v/>
      </c>
      <c r="F63" s="54" t="str">
        <f t="shared" si="9"/>
        <v/>
      </c>
      <c r="G63" s="73" t="str">
        <f t="shared" si="1"/>
        <v/>
      </c>
      <c r="H63" s="56" t="str">
        <f t="shared" si="2"/>
        <v/>
      </c>
      <c r="I63" s="57" t="str">
        <f t="shared" si="3"/>
        <v/>
      </c>
      <c r="J63" s="58" t="str">
        <f t="shared" si="4"/>
        <v/>
      </c>
      <c r="L63" s="31" t="str">
        <f t="shared" si="5"/>
        <v/>
      </c>
      <c r="M63" s="32" t="str">
        <f t="shared" si="10"/>
        <v/>
      </c>
      <c r="N63" s="32" t="str">
        <f t="shared" si="6"/>
        <v/>
      </c>
      <c r="O63" s="32" t="str">
        <f t="shared" si="7"/>
        <v/>
      </c>
      <c r="P63" s="32" t="str">
        <f t="shared" si="11"/>
        <v/>
      </c>
      <c r="Q63" s="33" t="str">
        <f t="shared" si="11"/>
        <v/>
      </c>
    </row>
    <row r="64" spans="2:47" x14ac:dyDescent="0.25">
      <c r="B64" s="9">
        <v>51</v>
      </c>
      <c r="C64" s="35">
        <v>6500</v>
      </c>
      <c r="D64" s="3"/>
      <c r="E64" s="9" t="str">
        <f t="shared" si="0"/>
        <v/>
      </c>
      <c r="F64" s="54" t="str">
        <f t="shared" si="9"/>
        <v/>
      </c>
      <c r="G64" s="73" t="str">
        <f t="shared" si="1"/>
        <v/>
      </c>
      <c r="H64" s="56" t="str">
        <f t="shared" si="2"/>
        <v/>
      </c>
      <c r="I64" s="57" t="str">
        <f t="shared" si="3"/>
        <v/>
      </c>
      <c r="J64" s="58" t="str">
        <f t="shared" si="4"/>
        <v/>
      </c>
      <c r="L64" s="31" t="str">
        <f t="shared" si="5"/>
        <v/>
      </c>
      <c r="M64" s="32" t="str">
        <f t="shared" si="10"/>
        <v/>
      </c>
      <c r="N64" s="32" t="str">
        <f t="shared" si="6"/>
        <v/>
      </c>
      <c r="O64" s="32" t="str">
        <f t="shared" si="7"/>
        <v/>
      </c>
      <c r="P64" s="32" t="str">
        <f t="shared" si="11"/>
        <v/>
      </c>
      <c r="Q64" s="33" t="str">
        <f t="shared" si="11"/>
        <v/>
      </c>
    </row>
    <row r="65" spans="2:17" x14ac:dyDescent="0.25">
      <c r="B65" s="9">
        <v>52</v>
      </c>
      <c r="C65" s="35">
        <v>7000</v>
      </c>
      <c r="D65" s="3"/>
      <c r="E65" s="9" t="str">
        <f t="shared" si="0"/>
        <v/>
      </c>
      <c r="F65" s="54" t="str">
        <f t="shared" si="9"/>
        <v/>
      </c>
      <c r="G65" s="73" t="str">
        <f t="shared" si="1"/>
        <v/>
      </c>
      <c r="H65" s="56" t="str">
        <f t="shared" si="2"/>
        <v/>
      </c>
      <c r="I65" s="57" t="str">
        <f t="shared" si="3"/>
        <v/>
      </c>
      <c r="J65" s="58" t="str">
        <f t="shared" si="4"/>
        <v/>
      </c>
      <c r="L65" s="31" t="str">
        <f t="shared" si="5"/>
        <v/>
      </c>
      <c r="M65" s="32" t="str">
        <f t="shared" si="10"/>
        <v/>
      </c>
      <c r="N65" s="32" t="str">
        <f t="shared" si="6"/>
        <v/>
      </c>
      <c r="O65" s="32" t="str">
        <f t="shared" si="7"/>
        <v/>
      </c>
      <c r="P65" s="32" t="str">
        <f t="shared" si="11"/>
        <v/>
      </c>
      <c r="Q65" s="33" t="str">
        <f t="shared" si="11"/>
        <v/>
      </c>
    </row>
    <row r="66" spans="2:17" x14ac:dyDescent="0.25">
      <c r="B66" s="9">
        <v>53</v>
      </c>
      <c r="C66" s="35">
        <v>7500</v>
      </c>
      <c r="D66" s="3"/>
      <c r="E66" s="9" t="str">
        <f t="shared" si="0"/>
        <v/>
      </c>
      <c r="F66" s="54" t="str">
        <f t="shared" si="9"/>
        <v/>
      </c>
      <c r="G66" s="73" t="str">
        <f t="shared" si="1"/>
        <v/>
      </c>
      <c r="H66" s="56" t="str">
        <f t="shared" si="2"/>
        <v/>
      </c>
      <c r="I66" s="57" t="str">
        <f t="shared" si="3"/>
        <v/>
      </c>
      <c r="J66" s="58" t="str">
        <f t="shared" si="4"/>
        <v/>
      </c>
      <c r="L66" s="31" t="str">
        <f t="shared" si="5"/>
        <v/>
      </c>
      <c r="M66" s="32" t="str">
        <f t="shared" si="10"/>
        <v/>
      </c>
      <c r="N66" s="32" t="str">
        <f t="shared" si="6"/>
        <v/>
      </c>
      <c r="O66" s="32" t="str">
        <f t="shared" si="7"/>
        <v/>
      </c>
      <c r="P66" s="32" t="str">
        <f t="shared" si="11"/>
        <v/>
      </c>
      <c r="Q66" s="33" t="str">
        <f t="shared" si="11"/>
        <v/>
      </c>
    </row>
    <row r="67" spans="2:17" x14ac:dyDescent="0.25">
      <c r="B67" s="9">
        <v>54</v>
      </c>
      <c r="C67" s="35">
        <v>8000</v>
      </c>
      <c r="D67" s="3"/>
      <c r="E67" s="9" t="str">
        <f t="shared" si="0"/>
        <v/>
      </c>
      <c r="F67" s="54" t="str">
        <f t="shared" si="9"/>
        <v/>
      </c>
      <c r="G67" s="73" t="str">
        <f t="shared" si="1"/>
        <v/>
      </c>
      <c r="H67" s="56" t="str">
        <f t="shared" si="2"/>
        <v/>
      </c>
      <c r="I67" s="57" t="str">
        <f t="shared" si="3"/>
        <v/>
      </c>
      <c r="J67" s="58" t="str">
        <f t="shared" si="4"/>
        <v/>
      </c>
      <c r="L67" s="31" t="str">
        <f t="shared" si="5"/>
        <v/>
      </c>
      <c r="M67" s="32" t="str">
        <f t="shared" si="10"/>
        <v/>
      </c>
      <c r="N67" s="32" t="str">
        <f t="shared" si="6"/>
        <v/>
      </c>
      <c r="O67" s="32" t="str">
        <f t="shared" si="7"/>
        <v/>
      </c>
      <c r="P67" s="32" t="str">
        <f t="shared" si="11"/>
        <v/>
      </c>
      <c r="Q67" s="33" t="str">
        <f t="shared" si="11"/>
        <v/>
      </c>
    </row>
    <row r="68" spans="2:17" x14ac:dyDescent="0.25">
      <c r="B68" s="9">
        <v>55</v>
      </c>
      <c r="C68" s="35">
        <v>8500</v>
      </c>
      <c r="D68" s="3"/>
      <c r="E68" s="9" t="str">
        <f t="shared" si="0"/>
        <v/>
      </c>
      <c r="F68" s="54" t="str">
        <f t="shared" si="9"/>
        <v/>
      </c>
      <c r="G68" s="73" t="str">
        <f t="shared" si="1"/>
        <v/>
      </c>
      <c r="H68" s="56" t="str">
        <f t="shared" si="2"/>
        <v/>
      </c>
      <c r="I68" s="57" t="str">
        <f t="shared" si="3"/>
        <v/>
      </c>
      <c r="J68" s="58" t="str">
        <f t="shared" si="4"/>
        <v/>
      </c>
      <c r="L68" s="31" t="str">
        <f t="shared" si="5"/>
        <v/>
      </c>
      <c r="M68" s="32" t="str">
        <f t="shared" si="10"/>
        <v/>
      </c>
      <c r="N68" s="32" t="str">
        <f t="shared" si="6"/>
        <v/>
      </c>
      <c r="O68" s="32" t="str">
        <f t="shared" si="7"/>
        <v/>
      </c>
      <c r="P68" s="32" t="str">
        <f t="shared" si="11"/>
        <v/>
      </c>
      <c r="Q68" s="33" t="str">
        <f t="shared" si="11"/>
        <v/>
      </c>
    </row>
    <row r="69" spans="2:17" x14ac:dyDescent="0.25">
      <c r="B69" s="9">
        <v>56</v>
      </c>
      <c r="C69" s="35">
        <v>9000</v>
      </c>
      <c r="D69" s="3"/>
      <c r="E69" s="9" t="str">
        <f t="shared" si="0"/>
        <v/>
      </c>
      <c r="F69" s="54" t="str">
        <f t="shared" si="9"/>
        <v/>
      </c>
      <c r="G69" s="73" t="str">
        <f t="shared" si="1"/>
        <v/>
      </c>
      <c r="H69" s="56" t="str">
        <f t="shared" si="2"/>
        <v/>
      </c>
      <c r="I69" s="57" t="str">
        <f t="shared" si="3"/>
        <v/>
      </c>
      <c r="J69" s="58" t="str">
        <f t="shared" si="4"/>
        <v/>
      </c>
      <c r="L69" s="31" t="str">
        <f t="shared" si="5"/>
        <v/>
      </c>
      <c r="M69" s="32" t="str">
        <f t="shared" si="10"/>
        <v/>
      </c>
      <c r="N69" s="32" t="str">
        <f t="shared" si="6"/>
        <v/>
      </c>
      <c r="O69" s="32" t="str">
        <f t="shared" si="7"/>
        <v/>
      </c>
      <c r="P69" s="32" t="str">
        <f t="shared" si="11"/>
        <v/>
      </c>
      <c r="Q69" s="33" t="str">
        <f t="shared" si="11"/>
        <v/>
      </c>
    </row>
    <row r="70" spans="2:17" x14ac:dyDescent="0.25">
      <c r="B70" s="9">
        <v>57</v>
      </c>
      <c r="C70" s="35">
        <v>9500</v>
      </c>
      <c r="D70" s="3"/>
      <c r="E70" s="9" t="str">
        <f t="shared" si="0"/>
        <v/>
      </c>
      <c r="F70" s="54" t="str">
        <f t="shared" si="9"/>
        <v/>
      </c>
      <c r="G70" s="73" t="str">
        <f t="shared" si="1"/>
        <v/>
      </c>
      <c r="H70" s="56" t="str">
        <f t="shared" si="2"/>
        <v/>
      </c>
      <c r="I70" s="57" t="str">
        <f t="shared" si="3"/>
        <v/>
      </c>
      <c r="J70" s="58" t="str">
        <f t="shared" si="4"/>
        <v/>
      </c>
      <c r="L70" s="31" t="str">
        <f t="shared" si="5"/>
        <v/>
      </c>
      <c r="M70" s="32" t="str">
        <f t="shared" si="10"/>
        <v/>
      </c>
      <c r="N70" s="32" t="str">
        <f t="shared" si="6"/>
        <v/>
      </c>
      <c r="O70" s="32" t="str">
        <f t="shared" si="7"/>
        <v/>
      </c>
      <c r="P70" s="32" t="str">
        <f t="shared" si="11"/>
        <v/>
      </c>
      <c r="Q70" s="33" t="str">
        <f t="shared" si="11"/>
        <v/>
      </c>
    </row>
    <row r="71" spans="2:17" x14ac:dyDescent="0.25">
      <c r="B71" s="9">
        <v>58</v>
      </c>
      <c r="C71" s="35">
        <v>10000</v>
      </c>
      <c r="D71" s="3"/>
      <c r="E71" s="9" t="str">
        <f t="shared" si="0"/>
        <v/>
      </c>
      <c r="F71" s="54" t="str">
        <f t="shared" si="9"/>
        <v/>
      </c>
      <c r="G71" s="73" t="str">
        <f t="shared" si="1"/>
        <v/>
      </c>
      <c r="H71" s="56" t="str">
        <f t="shared" si="2"/>
        <v/>
      </c>
      <c r="I71" s="57" t="str">
        <f t="shared" si="3"/>
        <v/>
      </c>
      <c r="J71" s="58" t="str">
        <f t="shared" si="4"/>
        <v/>
      </c>
      <c r="L71" s="31" t="str">
        <f t="shared" si="5"/>
        <v/>
      </c>
      <c r="M71" s="32" t="str">
        <f t="shared" si="10"/>
        <v/>
      </c>
      <c r="N71" s="32" t="str">
        <f t="shared" si="6"/>
        <v/>
      </c>
      <c r="O71" s="32" t="str">
        <f t="shared" si="7"/>
        <v/>
      </c>
      <c r="P71" s="32" t="str">
        <f t="shared" si="11"/>
        <v/>
      </c>
      <c r="Q71" s="33" t="str">
        <f t="shared" si="11"/>
        <v/>
      </c>
    </row>
    <row r="72" spans="2:17" x14ac:dyDescent="0.25">
      <c r="B72" s="9">
        <v>59</v>
      </c>
      <c r="C72" s="35">
        <v>10500</v>
      </c>
      <c r="D72" s="3"/>
      <c r="E72" s="9" t="str">
        <f t="shared" si="0"/>
        <v/>
      </c>
      <c r="F72" s="54" t="str">
        <f t="shared" si="9"/>
        <v/>
      </c>
      <c r="G72" s="73" t="str">
        <f t="shared" si="1"/>
        <v/>
      </c>
      <c r="H72" s="56" t="str">
        <f t="shared" si="2"/>
        <v/>
      </c>
      <c r="I72" s="57" t="str">
        <f t="shared" si="3"/>
        <v/>
      </c>
      <c r="J72" s="58" t="str">
        <f t="shared" si="4"/>
        <v/>
      </c>
      <c r="L72" s="31" t="str">
        <f t="shared" si="5"/>
        <v/>
      </c>
      <c r="M72" s="32" t="str">
        <f t="shared" si="10"/>
        <v/>
      </c>
      <c r="N72" s="32" t="str">
        <f t="shared" si="6"/>
        <v/>
      </c>
      <c r="O72" s="32" t="str">
        <f t="shared" si="7"/>
        <v/>
      </c>
      <c r="P72" s="32" t="str">
        <f t="shared" si="11"/>
        <v/>
      </c>
      <c r="Q72" s="33" t="str">
        <f t="shared" si="11"/>
        <v/>
      </c>
    </row>
    <row r="73" spans="2:17" x14ac:dyDescent="0.25">
      <c r="B73" s="9">
        <v>60</v>
      </c>
      <c r="C73" s="35">
        <v>11000</v>
      </c>
      <c r="D73" s="3"/>
      <c r="E73" s="9" t="str">
        <f t="shared" si="0"/>
        <v/>
      </c>
      <c r="F73" s="54" t="str">
        <f t="shared" si="9"/>
        <v/>
      </c>
      <c r="G73" s="73" t="str">
        <f t="shared" si="1"/>
        <v/>
      </c>
      <c r="H73" s="56" t="str">
        <f t="shared" si="2"/>
        <v/>
      </c>
      <c r="I73" s="57" t="str">
        <f t="shared" si="3"/>
        <v/>
      </c>
      <c r="J73" s="58" t="str">
        <f t="shared" si="4"/>
        <v/>
      </c>
      <c r="L73" s="31" t="str">
        <f t="shared" si="5"/>
        <v/>
      </c>
      <c r="M73" s="32" t="str">
        <f t="shared" si="10"/>
        <v/>
      </c>
      <c r="N73" s="32" t="str">
        <f t="shared" si="6"/>
        <v/>
      </c>
      <c r="O73" s="32" t="str">
        <f t="shared" si="7"/>
        <v/>
      </c>
      <c r="P73" s="32" t="str">
        <f t="shared" si="11"/>
        <v/>
      </c>
      <c r="Q73" s="33" t="str">
        <f t="shared" si="11"/>
        <v/>
      </c>
    </row>
    <row r="74" spans="2:17" x14ac:dyDescent="0.25">
      <c r="B74" s="9">
        <v>61</v>
      </c>
      <c r="C74" s="35">
        <v>11500</v>
      </c>
      <c r="D74" s="3"/>
      <c r="E74" s="9" t="str">
        <f t="shared" si="0"/>
        <v/>
      </c>
      <c r="F74" s="54" t="str">
        <f t="shared" si="9"/>
        <v/>
      </c>
      <c r="G74" s="73" t="str">
        <f t="shared" si="1"/>
        <v/>
      </c>
      <c r="H74" s="56" t="str">
        <f t="shared" si="2"/>
        <v/>
      </c>
      <c r="I74" s="57" t="str">
        <f t="shared" si="3"/>
        <v/>
      </c>
      <c r="J74" s="58" t="str">
        <f t="shared" si="4"/>
        <v/>
      </c>
      <c r="L74" s="31" t="str">
        <f t="shared" si="5"/>
        <v/>
      </c>
      <c r="M74" s="32" t="str">
        <f t="shared" si="10"/>
        <v/>
      </c>
      <c r="N74" s="32" t="str">
        <f t="shared" si="6"/>
        <v/>
      </c>
      <c r="O74" s="32" t="str">
        <f t="shared" si="7"/>
        <v/>
      </c>
      <c r="P74" s="32" t="str">
        <f t="shared" si="11"/>
        <v/>
      </c>
      <c r="Q74" s="33" t="str">
        <f t="shared" si="11"/>
        <v/>
      </c>
    </row>
    <row r="75" spans="2:17" x14ac:dyDescent="0.25">
      <c r="B75" s="9">
        <v>62</v>
      </c>
      <c r="C75" s="35">
        <v>12000</v>
      </c>
      <c r="D75" s="3"/>
      <c r="E75" s="9" t="str">
        <f t="shared" si="0"/>
        <v/>
      </c>
      <c r="F75" s="54" t="str">
        <f t="shared" si="9"/>
        <v/>
      </c>
      <c r="G75" s="73" t="str">
        <f t="shared" si="1"/>
        <v/>
      </c>
      <c r="H75" s="56" t="str">
        <f t="shared" si="2"/>
        <v/>
      </c>
      <c r="I75" s="57" t="str">
        <f t="shared" si="3"/>
        <v/>
      </c>
      <c r="J75" s="58" t="str">
        <f t="shared" si="4"/>
        <v/>
      </c>
      <c r="L75" s="31" t="str">
        <f t="shared" si="5"/>
        <v/>
      </c>
      <c r="M75" s="32" t="str">
        <f t="shared" si="10"/>
        <v/>
      </c>
      <c r="N75" s="32" t="str">
        <f t="shared" si="6"/>
        <v/>
      </c>
      <c r="O75" s="32" t="str">
        <f t="shared" si="7"/>
        <v/>
      </c>
      <c r="P75" s="32" t="str">
        <f t="shared" si="11"/>
        <v/>
      </c>
      <c r="Q75" s="33" t="str">
        <f t="shared" si="11"/>
        <v/>
      </c>
    </row>
    <row r="76" spans="2:17" x14ac:dyDescent="0.25">
      <c r="B76" s="9">
        <v>63</v>
      </c>
      <c r="C76" s="35">
        <v>12500</v>
      </c>
      <c r="D76" s="3"/>
      <c r="E76" s="9" t="str">
        <f t="shared" si="0"/>
        <v/>
      </c>
      <c r="F76" s="54" t="str">
        <f t="shared" si="9"/>
        <v/>
      </c>
      <c r="G76" s="73" t="str">
        <f t="shared" si="1"/>
        <v/>
      </c>
      <c r="H76" s="56" t="str">
        <f t="shared" si="2"/>
        <v/>
      </c>
      <c r="I76" s="57" t="str">
        <f t="shared" si="3"/>
        <v/>
      </c>
      <c r="J76" s="58" t="str">
        <f t="shared" si="4"/>
        <v/>
      </c>
      <c r="L76" s="31" t="str">
        <f t="shared" si="5"/>
        <v/>
      </c>
      <c r="M76" s="32" t="str">
        <f t="shared" si="10"/>
        <v/>
      </c>
      <c r="N76" s="32" t="str">
        <f t="shared" si="6"/>
        <v/>
      </c>
      <c r="O76" s="32" t="str">
        <f t="shared" si="7"/>
        <v/>
      </c>
      <c r="P76" s="32" t="str">
        <f t="shared" si="11"/>
        <v/>
      </c>
      <c r="Q76" s="33" t="str">
        <f t="shared" si="11"/>
        <v/>
      </c>
    </row>
    <row r="77" spans="2:17" x14ac:dyDescent="0.25">
      <c r="B77" s="9">
        <v>64</v>
      </c>
      <c r="C77" s="35">
        <v>13000</v>
      </c>
      <c r="D77" s="3"/>
      <c r="E77" s="9" t="str">
        <f t="shared" si="0"/>
        <v/>
      </c>
      <c r="F77" s="54" t="str">
        <f t="shared" si="9"/>
        <v/>
      </c>
      <c r="G77" s="73" t="str">
        <f t="shared" si="1"/>
        <v/>
      </c>
      <c r="H77" s="56" t="str">
        <f t="shared" si="2"/>
        <v/>
      </c>
      <c r="I77" s="57" t="str">
        <f t="shared" si="3"/>
        <v/>
      </c>
      <c r="J77" s="58" t="str">
        <f t="shared" si="4"/>
        <v/>
      </c>
      <c r="L77" s="31" t="str">
        <f t="shared" si="5"/>
        <v/>
      </c>
      <c r="M77" s="32" t="str">
        <f t="shared" si="10"/>
        <v/>
      </c>
      <c r="N77" s="32" t="str">
        <f t="shared" si="6"/>
        <v/>
      </c>
      <c r="O77" s="32" t="str">
        <f t="shared" si="7"/>
        <v/>
      </c>
      <c r="P77" s="32" t="str">
        <f t="shared" si="11"/>
        <v/>
      </c>
      <c r="Q77" s="33" t="str">
        <f t="shared" si="11"/>
        <v/>
      </c>
    </row>
    <row r="78" spans="2:17" x14ac:dyDescent="0.25">
      <c r="B78" s="9">
        <v>65</v>
      </c>
      <c r="C78" s="35">
        <v>13500</v>
      </c>
      <c r="D78" s="3"/>
      <c r="E78" s="9" t="str">
        <f t="shared" ref="E78:E141" si="12">IF(L78="","",ROUND(12*C$7/(2*H$7^2+2*H$6*H$7-H$6^2)*L78*1000000,0))</f>
        <v/>
      </c>
      <c r="F78" s="54" t="str">
        <f t="shared" si="9"/>
        <v/>
      </c>
      <c r="G78" s="73" t="str">
        <f t="shared" ref="G78:G141" si="13">IF(L78="","",ROUND(1.5*((N78-O78)*1000*H$7)/(C$6*C$7^2),3))</f>
        <v/>
      </c>
      <c r="H78" s="56" t="str">
        <f t="shared" ref="H78:H141" si="14">IF(L78="","",ROUND(1.5*((N78/2-O78)*1000*H$7)/(C$6*C$7^2),3))</f>
        <v/>
      </c>
      <c r="I78" s="57" t="str">
        <f t="shared" ref="I78:I141" si="15">IF(L78="","",IF(P78&lt;=0,"foute meting",ROUND(0.000001*V$4*SQRT((1000000*Q78)^2+(1000000*P78+V$5*(2*PI()*H$5)^2)^2),0)))</f>
        <v/>
      </c>
      <c r="J78" s="58" t="str">
        <f t="shared" ref="J78:J141" si="16">IF(L78="","",ROUND(ATAN(Q78/P78)/PI()*180,1))</f>
        <v/>
      </c>
      <c r="L78" s="31" t="str">
        <f t="shared" ref="L78:L141" si="17">IF(AG80&lt;=0,"",AG80)</f>
        <v/>
      </c>
      <c r="M78" s="32" t="str">
        <f t="shared" si="10"/>
        <v/>
      </c>
      <c r="N78" s="32" t="str">
        <f t="shared" ref="N78:N141" si="18">IF(AI80="","",AI80)</f>
        <v/>
      </c>
      <c r="O78" s="32" t="str">
        <f t="shared" ref="O78:O141" si="19">IF(AH80="","",AH80)</f>
        <v/>
      </c>
      <c r="P78" s="32" t="str">
        <f t="shared" ref="P78:Q109" si="20">IF(AJ80="","",AJ80)</f>
        <v/>
      </c>
      <c r="Q78" s="33" t="str">
        <f t="shared" si="20"/>
        <v/>
      </c>
    </row>
    <row r="79" spans="2:17" x14ac:dyDescent="0.25">
      <c r="B79" s="9">
        <v>66</v>
      </c>
      <c r="C79" s="35">
        <v>14000</v>
      </c>
      <c r="D79" s="3"/>
      <c r="E79" s="9" t="str">
        <f t="shared" si="12"/>
        <v/>
      </c>
      <c r="F79" s="54" t="str">
        <f t="shared" ref="F79:F142" si="21">IF(L79="","",ABS(ROUND(12*C$7/(2*(H$7/1000)^2+2*(H$6/1000)*(H$7/1000)-(H$6/1000)^2)*(M79-M$14)*1,0)))</f>
        <v/>
      </c>
      <c r="G79" s="73" t="str">
        <f t="shared" si="13"/>
        <v/>
      </c>
      <c r="H79" s="56" t="str">
        <f t="shared" si="14"/>
        <v/>
      </c>
      <c r="I79" s="57" t="str">
        <f t="shared" si="15"/>
        <v/>
      </c>
      <c r="J79" s="58" t="str">
        <f t="shared" si="16"/>
        <v/>
      </c>
      <c r="L79" s="31" t="str">
        <f t="shared" si="17"/>
        <v/>
      </c>
      <c r="M79" s="32" t="str">
        <f t="shared" ref="M79:M142" si="22">IF(AG81="","",AG81/2-AE81)</f>
        <v/>
      </c>
      <c r="N79" s="32" t="str">
        <f t="shared" si="18"/>
        <v/>
      </c>
      <c r="O79" s="32" t="str">
        <f t="shared" si="19"/>
        <v/>
      </c>
      <c r="P79" s="32" t="str">
        <f t="shared" si="20"/>
        <v/>
      </c>
      <c r="Q79" s="33" t="str">
        <f t="shared" si="20"/>
        <v/>
      </c>
    </row>
    <row r="80" spans="2:17" x14ac:dyDescent="0.25">
      <c r="B80" s="9">
        <v>67</v>
      </c>
      <c r="C80" s="35">
        <v>14500</v>
      </c>
      <c r="D80" s="3"/>
      <c r="E80" s="9" t="str">
        <f t="shared" si="12"/>
        <v/>
      </c>
      <c r="F80" s="54" t="str">
        <f t="shared" si="21"/>
        <v/>
      </c>
      <c r="G80" s="73" t="str">
        <f t="shared" si="13"/>
        <v/>
      </c>
      <c r="H80" s="56" t="str">
        <f t="shared" si="14"/>
        <v/>
      </c>
      <c r="I80" s="57" t="str">
        <f t="shared" si="15"/>
        <v/>
      </c>
      <c r="J80" s="58" t="str">
        <f t="shared" si="16"/>
        <v/>
      </c>
      <c r="L80" s="31" t="str">
        <f t="shared" si="17"/>
        <v/>
      </c>
      <c r="M80" s="32" t="str">
        <f t="shared" si="22"/>
        <v/>
      </c>
      <c r="N80" s="32" t="str">
        <f t="shared" si="18"/>
        <v/>
      </c>
      <c r="O80" s="32" t="str">
        <f t="shared" si="19"/>
        <v/>
      </c>
      <c r="P80" s="32" t="str">
        <f t="shared" si="20"/>
        <v/>
      </c>
      <c r="Q80" s="33" t="str">
        <f t="shared" si="20"/>
        <v/>
      </c>
    </row>
    <row r="81" spans="2:17" x14ac:dyDescent="0.25">
      <c r="B81" s="9">
        <v>68</v>
      </c>
      <c r="C81" s="35">
        <v>15000</v>
      </c>
      <c r="D81" s="3"/>
      <c r="E81" s="9" t="str">
        <f t="shared" si="12"/>
        <v/>
      </c>
      <c r="F81" s="54" t="str">
        <f t="shared" si="21"/>
        <v/>
      </c>
      <c r="G81" s="73" t="str">
        <f t="shared" si="13"/>
        <v/>
      </c>
      <c r="H81" s="56" t="str">
        <f t="shared" si="14"/>
        <v/>
      </c>
      <c r="I81" s="57" t="str">
        <f t="shared" si="15"/>
        <v/>
      </c>
      <c r="J81" s="58" t="str">
        <f t="shared" si="16"/>
        <v/>
      </c>
      <c r="L81" s="31" t="str">
        <f t="shared" si="17"/>
        <v/>
      </c>
      <c r="M81" s="32" t="str">
        <f t="shared" si="22"/>
        <v/>
      </c>
      <c r="N81" s="32" t="str">
        <f t="shared" si="18"/>
        <v/>
      </c>
      <c r="O81" s="32" t="str">
        <f t="shared" si="19"/>
        <v/>
      </c>
      <c r="P81" s="32" t="str">
        <f t="shared" si="20"/>
        <v/>
      </c>
      <c r="Q81" s="33" t="str">
        <f t="shared" si="20"/>
        <v/>
      </c>
    </row>
    <row r="82" spans="2:17" x14ac:dyDescent="0.25">
      <c r="B82" s="9">
        <v>69</v>
      </c>
      <c r="C82" s="35">
        <v>15500</v>
      </c>
      <c r="D82" s="3"/>
      <c r="E82" s="9" t="str">
        <f t="shared" si="12"/>
        <v/>
      </c>
      <c r="F82" s="54" t="str">
        <f t="shared" si="21"/>
        <v/>
      </c>
      <c r="G82" s="73" t="str">
        <f t="shared" si="13"/>
        <v/>
      </c>
      <c r="H82" s="56" t="str">
        <f t="shared" si="14"/>
        <v/>
      </c>
      <c r="I82" s="57" t="str">
        <f t="shared" si="15"/>
        <v/>
      </c>
      <c r="J82" s="58" t="str">
        <f t="shared" si="16"/>
        <v/>
      </c>
      <c r="L82" s="31" t="str">
        <f t="shared" si="17"/>
        <v/>
      </c>
      <c r="M82" s="32" t="str">
        <f t="shared" si="22"/>
        <v/>
      </c>
      <c r="N82" s="32" t="str">
        <f t="shared" si="18"/>
        <v/>
      </c>
      <c r="O82" s="32" t="str">
        <f t="shared" si="19"/>
        <v/>
      </c>
      <c r="P82" s="32" t="str">
        <f t="shared" si="20"/>
        <v/>
      </c>
      <c r="Q82" s="33" t="str">
        <f t="shared" si="20"/>
        <v/>
      </c>
    </row>
    <row r="83" spans="2:17" x14ac:dyDescent="0.25">
      <c r="B83" s="9">
        <v>70</v>
      </c>
      <c r="C83" s="35">
        <v>16000</v>
      </c>
      <c r="D83" s="3"/>
      <c r="E83" s="9" t="str">
        <f t="shared" si="12"/>
        <v/>
      </c>
      <c r="F83" s="54" t="str">
        <f t="shared" si="21"/>
        <v/>
      </c>
      <c r="G83" s="73" t="str">
        <f t="shared" si="13"/>
        <v/>
      </c>
      <c r="H83" s="56" t="str">
        <f t="shared" si="14"/>
        <v/>
      </c>
      <c r="I83" s="57" t="str">
        <f t="shared" si="15"/>
        <v/>
      </c>
      <c r="J83" s="58" t="str">
        <f t="shared" si="16"/>
        <v/>
      </c>
      <c r="L83" s="31" t="str">
        <f t="shared" si="17"/>
        <v/>
      </c>
      <c r="M83" s="32" t="str">
        <f t="shared" si="22"/>
        <v/>
      </c>
      <c r="N83" s="32" t="str">
        <f t="shared" si="18"/>
        <v/>
      </c>
      <c r="O83" s="32" t="str">
        <f t="shared" si="19"/>
        <v/>
      </c>
      <c r="P83" s="32" t="str">
        <f t="shared" si="20"/>
        <v/>
      </c>
      <c r="Q83" s="33" t="str">
        <f t="shared" si="20"/>
        <v/>
      </c>
    </row>
    <row r="84" spans="2:17" x14ac:dyDescent="0.25">
      <c r="B84" s="9">
        <v>71</v>
      </c>
      <c r="C84" s="35">
        <v>16500</v>
      </c>
      <c r="D84" s="3"/>
      <c r="E84" s="9" t="str">
        <f t="shared" si="12"/>
        <v/>
      </c>
      <c r="F84" s="54" t="str">
        <f t="shared" si="21"/>
        <v/>
      </c>
      <c r="G84" s="73" t="str">
        <f t="shared" si="13"/>
        <v/>
      </c>
      <c r="H84" s="56" t="str">
        <f t="shared" si="14"/>
        <v/>
      </c>
      <c r="I84" s="57" t="str">
        <f t="shared" si="15"/>
        <v/>
      </c>
      <c r="J84" s="58" t="str">
        <f t="shared" si="16"/>
        <v/>
      </c>
      <c r="L84" s="31" t="str">
        <f t="shared" si="17"/>
        <v/>
      </c>
      <c r="M84" s="32" t="str">
        <f t="shared" si="22"/>
        <v/>
      </c>
      <c r="N84" s="32" t="str">
        <f t="shared" si="18"/>
        <v/>
      </c>
      <c r="O84" s="32" t="str">
        <f t="shared" si="19"/>
        <v/>
      </c>
      <c r="P84" s="32" t="str">
        <f t="shared" si="20"/>
        <v/>
      </c>
      <c r="Q84" s="33" t="str">
        <f t="shared" si="20"/>
        <v/>
      </c>
    </row>
    <row r="85" spans="2:17" x14ac:dyDescent="0.25">
      <c r="B85" s="9">
        <v>72</v>
      </c>
      <c r="C85" s="35">
        <v>17000</v>
      </c>
      <c r="D85" s="3"/>
      <c r="E85" s="9" t="str">
        <f t="shared" si="12"/>
        <v/>
      </c>
      <c r="F85" s="54" t="str">
        <f t="shared" si="21"/>
        <v/>
      </c>
      <c r="G85" s="73" t="str">
        <f t="shared" si="13"/>
        <v/>
      </c>
      <c r="H85" s="56" t="str">
        <f t="shared" si="14"/>
        <v/>
      </c>
      <c r="I85" s="57" t="str">
        <f t="shared" si="15"/>
        <v/>
      </c>
      <c r="J85" s="58" t="str">
        <f t="shared" si="16"/>
        <v/>
      </c>
      <c r="L85" s="31" t="str">
        <f t="shared" si="17"/>
        <v/>
      </c>
      <c r="M85" s="32" t="str">
        <f t="shared" si="22"/>
        <v/>
      </c>
      <c r="N85" s="32" t="str">
        <f t="shared" si="18"/>
        <v/>
      </c>
      <c r="O85" s="32" t="str">
        <f t="shared" si="19"/>
        <v/>
      </c>
      <c r="P85" s="32" t="str">
        <f t="shared" si="20"/>
        <v/>
      </c>
      <c r="Q85" s="33" t="str">
        <f t="shared" si="20"/>
        <v/>
      </c>
    </row>
    <row r="86" spans="2:17" x14ac:dyDescent="0.25">
      <c r="B86" s="9">
        <v>73</v>
      </c>
      <c r="C86" s="35">
        <v>17500</v>
      </c>
      <c r="D86" s="3"/>
      <c r="E86" s="9" t="str">
        <f t="shared" si="12"/>
        <v/>
      </c>
      <c r="F86" s="54" t="str">
        <f t="shared" si="21"/>
        <v/>
      </c>
      <c r="G86" s="73" t="str">
        <f t="shared" si="13"/>
        <v/>
      </c>
      <c r="H86" s="56" t="str">
        <f t="shared" si="14"/>
        <v/>
      </c>
      <c r="I86" s="57" t="str">
        <f t="shared" si="15"/>
        <v/>
      </c>
      <c r="J86" s="58" t="str">
        <f t="shared" si="16"/>
        <v/>
      </c>
      <c r="L86" s="31" t="str">
        <f t="shared" si="17"/>
        <v/>
      </c>
      <c r="M86" s="32" t="str">
        <f t="shared" si="22"/>
        <v/>
      </c>
      <c r="N86" s="32" t="str">
        <f t="shared" si="18"/>
        <v/>
      </c>
      <c r="O86" s="32" t="str">
        <f t="shared" si="19"/>
        <v/>
      </c>
      <c r="P86" s="32" t="str">
        <f t="shared" si="20"/>
        <v/>
      </c>
      <c r="Q86" s="33" t="str">
        <f t="shared" si="20"/>
        <v/>
      </c>
    </row>
    <row r="87" spans="2:17" x14ac:dyDescent="0.25">
      <c r="B87" s="9">
        <v>74</v>
      </c>
      <c r="C87" s="35">
        <v>18000</v>
      </c>
      <c r="D87" s="3"/>
      <c r="E87" s="9" t="str">
        <f t="shared" si="12"/>
        <v/>
      </c>
      <c r="F87" s="54" t="str">
        <f t="shared" si="21"/>
        <v/>
      </c>
      <c r="G87" s="73" t="str">
        <f t="shared" si="13"/>
        <v/>
      </c>
      <c r="H87" s="56" t="str">
        <f t="shared" si="14"/>
        <v/>
      </c>
      <c r="I87" s="57" t="str">
        <f t="shared" si="15"/>
        <v/>
      </c>
      <c r="J87" s="58" t="str">
        <f t="shared" si="16"/>
        <v/>
      </c>
      <c r="L87" s="31" t="str">
        <f t="shared" si="17"/>
        <v/>
      </c>
      <c r="M87" s="32" t="str">
        <f t="shared" si="22"/>
        <v/>
      </c>
      <c r="N87" s="32" t="str">
        <f t="shared" si="18"/>
        <v/>
      </c>
      <c r="O87" s="32" t="str">
        <f t="shared" si="19"/>
        <v/>
      </c>
      <c r="P87" s="32" t="str">
        <f t="shared" si="20"/>
        <v/>
      </c>
      <c r="Q87" s="33" t="str">
        <f t="shared" si="20"/>
        <v/>
      </c>
    </row>
    <row r="88" spans="2:17" x14ac:dyDescent="0.25">
      <c r="B88" s="9">
        <v>75</v>
      </c>
      <c r="C88" s="35">
        <v>18500</v>
      </c>
      <c r="D88" s="3"/>
      <c r="E88" s="9" t="str">
        <f t="shared" si="12"/>
        <v/>
      </c>
      <c r="F88" s="54" t="str">
        <f t="shared" si="21"/>
        <v/>
      </c>
      <c r="G88" s="73" t="str">
        <f t="shared" si="13"/>
        <v/>
      </c>
      <c r="H88" s="56" t="str">
        <f t="shared" si="14"/>
        <v/>
      </c>
      <c r="I88" s="57" t="str">
        <f t="shared" si="15"/>
        <v/>
      </c>
      <c r="J88" s="58" t="str">
        <f t="shared" si="16"/>
        <v/>
      </c>
      <c r="L88" s="31" t="str">
        <f t="shared" si="17"/>
        <v/>
      </c>
      <c r="M88" s="32" t="str">
        <f t="shared" si="22"/>
        <v/>
      </c>
      <c r="N88" s="32" t="str">
        <f t="shared" si="18"/>
        <v/>
      </c>
      <c r="O88" s="32" t="str">
        <f t="shared" si="19"/>
        <v/>
      </c>
      <c r="P88" s="32" t="str">
        <f t="shared" si="20"/>
        <v/>
      </c>
      <c r="Q88" s="33" t="str">
        <f t="shared" si="20"/>
        <v/>
      </c>
    </row>
    <row r="89" spans="2:17" x14ac:dyDescent="0.25">
      <c r="B89" s="9">
        <v>76</v>
      </c>
      <c r="C89" s="35">
        <v>19000</v>
      </c>
      <c r="D89" s="3"/>
      <c r="E89" s="9" t="str">
        <f t="shared" si="12"/>
        <v/>
      </c>
      <c r="F89" s="54" t="str">
        <f t="shared" si="21"/>
        <v/>
      </c>
      <c r="G89" s="73" t="str">
        <f t="shared" si="13"/>
        <v/>
      </c>
      <c r="H89" s="56" t="str">
        <f t="shared" si="14"/>
        <v/>
      </c>
      <c r="I89" s="57" t="str">
        <f t="shared" si="15"/>
        <v/>
      </c>
      <c r="J89" s="58" t="str">
        <f t="shared" si="16"/>
        <v/>
      </c>
      <c r="L89" s="31" t="str">
        <f t="shared" si="17"/>
        <v/>
      </c>
      <c r="M89" s="32" t="str">
        <f t="shared" si="22"/>
        <v/>
      </c>
      <c r="N89" s="32" t="str">
        <f t="shared" si="18"/>
        <v/>
      </c>
      <c r="O89" s="32" t="str">
        <f t="shared" si="19"/>
        <v/>
      </c>
      <c r="P89" s="32" t="str">
        <f t="shared" si="20"/>
        <v/>
      </c>
      <c r="Q89" s="33" t="str">
        <f t="shared" si="20"/>
        <v/>
      </c>
    </row>
    <row r="90" spans="2:17" x14ac:dyDescent="0.25">
      <c r="B90" s="9">
        <v>77</v>
      </c>
      <c r="C90" s="35">
        <v>19500</v>
      </c>
      <c r="D90" s="3"/>
      <c r="E90" s="9" t="str">
        <f t="shared" si="12"/>
        <v/>
      </c>
      <c r="F90" s="54" t="str">
        <f t="shared" si="21"/>
        <v/>
      </c>
      <c r="G90" s="73" t="str">
        <f t="shared" si="13"/>
        <v/>
      </c>
      <c r="H90" s="56" t="str">
        <f t="shared" si="14"/>
        <v/>
      </c>
      <c r="I90" s="57" t="str">
        <f t="shared" si="15"/>
        <v/>
      </c>
      <c r="J90" s="58" t="str">
        <f t="shared" si="16"/>
        <v/>
      </c>
      <c r="L90" s="31" t="str">
        <f t="shared" si="17"/>
        <v/>
      </c>
      <c r="M90" s="32" t="str">
        <f t="shared" si="22"/>
        <v/>
      </c>
      <c r="N90" s="32" t="str">
        <f t="shared" si="18"/>
        <v/>
      </c>
      <c r="O90" s="32" t="str">
        <f t="shared" si="19"/>
        <v/>
      </c>
      <c r="P90" s="32" t="str">
        <f t="shared" si="20"/>
        <v/>
      </c>
      <c r="Q90" s="33" t="str">
        <f t="shared" si="20"/>
        <v/>
      </c>
    </row>
    <row r="91" spans="2:17" x14ac:dyDescent="0.25">
      <c r="B91" s="9">
        <v>78</v>
      </c>
      <c r="C91" s="35">
        <v>20000</v>
      </c>
      <c r="D91" s="3"/>
      <c r="E91" s="9" t="str">
        <f t="shared" si="12"/>
        <v/>
      </c>
      <c r="F91" s="54" t="str">
        <f t="shared" si="21"/>
        <v/>
      </c>
      <c r="G91" s="73" t="str">
        <f t="shared" si="13"/>
        <v/>
      </c>
      <c r="H91" s="56" t="str">
        <f t="shared" si="14"/>
        <v/>
      </c>
      <c r="I91" s="57" t="str">
        <f t="shared" si="15"/>
        <v/>
      </c>
      <c r="J91" s="58" t="str">
        <f t="shared" si="16"/>
        <v/>
      </c>
      <c r="L91" s="31" t="str">
        <f t="shared" si="17"/>
        <v/>
      </c>
      <c r="M91" s="32" t="str">
        <f t="shared" si="22"/>
        <v/>
      </c>
      <c r="N91" s="32" t="str">
        <f t="shared" si="18"/>
        <v/>
      </c>
      <c r="O91" s="32" t="str">
        <f t="shared" si="19"/>
        <v/>
      </c>
      <c r="P91" s="32" t="str">
        <f t="shared" si="20"/>
        <v/>
      </c>
      <c r="Q91" s="33" t="str">
        <f t="shared" si="20"/>
        <v/>
      </c>
    </row>
    <row r="92" spans="2:17" x14ac:dyDescent="0.25">
      <c r="B92" s="9">
        <v>79</v>
      </c>
      <c r="C92" s="35">
        <v>20500</v>
      </c>
      <c r="D92" s="3"/>
      <c r="E92" s="9" t="str">
        <f t="shared" si="12"/>
        <v/>
      </c>
      <c r="F92" s="54" t="str">
        <f t="shared" si="21"/>
        <v/>
      </c>
      <c r="G92" s="73" t="str">
        <f t="shared" si="13"/>
        <v/>
      </c>
      <c r="H92" s="56" t="str">
        <f t="shared" si="14"/>
        <v/>
      </c>
      <c r="I92" s="57" t="str">
        <f t="shared" si="15"/>
        <v/>
      </c>
      <c r="J92" s="58" t="str">
        <f t="shared" si="16"/>
        <v/>
      </c>
      <c r="L92" s="31" t="str">
        <f t="shared" si="17"/>
        <v/>
      </c>
      <c r="M92" s="32" t="str">
        <f t="shared" si="22"/>
        <v/>
      </c>
      <c r="N92" s="32" t="str">
        <f t="shared" si="18"/>
        <v/>
      </c>
      <c r="O92" s="32" t="str">
        <f t="shared" si="19"/>
        <v/>
      </c>
      <c r="P92" s="32" t="str">
        <f t="shared" si="20"/>
        <v/>
      </c>
      <c r="Q92" s="33" t="str">
        <f t="shared" si="20"/>
        <v/>
      </c>
    </row>
    <row r="93" spans="2:17" x14ac:dyDescent="0.25">
      <c r="B93" s="9">
        <v>80</v>
      </c>
      <c r="C93" s="35">
        <v>21000</v>
      </c>
      <c r="D93" s="3"/>
      <c r="E93" s="9" t="str">
        <f t="shared" si="12"/>
        <v/>
      </c>
      <c r="F93" s="54" t="str">
        <f t="shared" si="21"/>
        <v/>
      </c>
      <c r="G93" s="73" t="str">
        <f t="shared" si="13"/>
        <v/>
      </c>
      <c r="H93" s="56" t="str">
        <f t="shared" si="14"/>
        <v/>
      </c>
      <c r="I93" s="57" t="str">
        <f t="shared" si="15"/>
        <v/>
      </c>
      <c r="J93" s="58" t="str">
        <f t="shared" si="16"/>
        <v/>
      </c>
      <c r="L93" s="31" t="str">
        <f t="shared" si="17"/>
        <v/>
      </c>
      <c r="M93" s="32" t="str">
        <f t="shared" si="22"/>
        <v/>
      </c>
      <c r="N93" s="32" t="str">
        <f t="shared" si="18"/>
        <v/>
      </c>
      <c r="O93" s="32" t="str">
        <f t="shared" si="19"/>
        <v/>
      </c>
      <c r="P93" s="32" t="str">
        <f t="shared" si="20"/>
        <v/>
      </c>
      <c r="Q93" s="33" t="str">
        <f t="shared" si="20"/>
        <v/>
      </c>
    </row>
    <row r="94" spans="2:17" x14ac:dyDescent="0.25">
      <c r="B94" s="9">
        <v>81</v>
      </c>
      <c r="C94" s="35">
        <v>21500</v>
      </c>
      <c r="D94" s="3"/>
      <c r="E94" s="9" t="str">
        <f t="shared" si="12"/>
        <v/>
      </c>
      <c r="F94" s="54" t="str">
        <f t="shared" si="21"/>
        <v/>
      </c>
      <c r="G94" s="73" t="str">
        <f t="shared" si="13"/>
        <v/>
      </c>
      <c r="H94" s="56" t="str">
        <f t="shared" si="14"/>
        <v/>
      </c>
      <c r="I94" s="57" t="str">
        <f t="shared" si="15"/>
        <v/>
      </c>
      <c r="J94" s="58" t="str">
        <f t="shared" si="16"/>
        <v/>
      </c>
      <c r="L94" s="31" t="str">
        <f t="shared" si="17"/>
        <v/>
      </c>
      <c r="M94" s="32" t="str">
        <f t="shared" si="22"/>
        <v/>
      </c>
      <c r="N94" s="32" t="str">
        <f t="shared" si="18"/>
        <v/>
      </c>
      <c r="O94" s="32" t="str">
        <f t="shared" si="19"/>
        <v/>
      </c>
      <c r="P94" s="32" t="str">
        <f t="shared" si="20"/>
        <v/>
      </c>
      <c r="Q94" s="33" t="str">
        <f t="shared" si="20"/>
        <v/>
      </c>
    </row>
    <row r="95" spans="2:17" x14ac:dyDescent="0.25">
      <c r="B95" s="9">
        <v>82</v>
      </c>
      <c r="C95" s="35">
        <v>22000</v>
      </c>
      <c r="D95" s="3"/>
      <c r="E95" s="9" t="str">
        <f t="shared" si="12"/>
        <v/>
      </c>
      <c r="F95" s="54" t="str">
        <f t="shared" si="21"/>
        <v/>
      </c>
      <c r="G95" s="73" t="str">
        <f t="shared" si="13"/>
        <v/>
      </c>
      <c r="H95" s="56" t="str">
        <f t="shared" si="14"/>
        <v/>
      </c>
      <c r="I95" s="57" t="str">
        <f t="shared" si="15"/>
        <v/>
      </c>
      <c r="J95" s="58" t="str">
        <f t="shared" si="16"/>
        <v/>
      </c>
      <c r="L95" s="31" t="str">
        <f t="shared" si="17"/>
        <v/>
      </c>
      <c r="M95" s="32" t="str">
        <f t="shared" si="22"/>
        <v/>
      </c>
      <c r="N95" s="32" t="str">
        <f t="shared" si="18"/>
        <v/>
      </c>
      <c r="O95" s="32" t="str">
        <f t="shared" si="19"/>
        <v/>
      </c>
      <c r="P95" s="32" t="str">
        <f t="shared" si="20"/>
        <v/>
      </c>
      <c r="Q95" s="33" t="str">
        <f t="shared" si="20"/>
        <v/>
      </c>
    </row>
    <row r="96" spans="2:17" x14ac:dyDescent="0.25">
      <c r="B96" s="9">
        <v>83</v>
      </c>
      <c r="C96" s="35">
        <v>22500</v>
      </c>
      <c r="D96" s="3"/>
      <c r="E96" s="9" t="str">
        <f t="shared" si="12"/>
        <v/>
      </c>
      <c r="F96" s="54" t="str">
        <f t="shared" si="21"/>
        <v/>
      </c>
      <c r="G96" s="73" t="str">
        <f t="shared" si="13"/>
        <v/>
      </c>
      <c r="H96" s="56" t="str">
        <f t="shared" si="14"/>
        <v/>
      </c>
      <c r="I96" s="57" t="str">
        <f t="shared" si="15"/>
        <v/>
      </c>
      <c r="J96" s="58" t="str">
        <f t="shared" si="16"/>
        <v/>
      </c>
      <c r="L96" s="31" t="str">
        <f t="shared" si="17"/>
        <v/>
      </c>
      <c r="M96" s="32" t="str">
        <f t="shared" si="22"/>
        <v/>
      </c>
      <c r="N96" s="32" t="str">
        <f t="shared" si="18"/>
        <v/>
      </c>
      <c r="O96" s="32" t="str">
        <f t="shared" si="19"/>
        <v/>
      </c>
      <c r="P96" s="32" t="str">
        <f t="shared" si="20"/>
        <v/>
      </c>
      <c r="Q96" s="33" t="str">
        <f t="shared" si="20"/>
        <v/>
      </c>
    </row>
    <row r="97" spans="2:17" x14ac:dyDescent="0.25">
      <c r="B97" s="9">
        <v>84</v>
      </c>
      <c r="C97" s="35">
        <v>23000</v>
      </c>
      <c r="D97" s="3"/>
      <c r="E97" s="9" t="str">
        <f t="shared" si="12"/>
        <v/>
      </c>
      <c r="F97" s="54" t="str">
        <f t="shared" si="21"/>
        <v/>
      </c>
      <c r="G97" s="73" t="str">
        <f t="shared" si="13"/>
        <v/>
      </c>
      <c r="H97" s="56" t="str">
        <f t="shared" si="14"/>
        <v/>
      </c>
      <c r="I97" s="57" t="str">
        <f t="shared" si="15"/>
        <v/>
      </c>
      <c r="J97" s="58" t="str">
        <f t="shared" si="16"/>
        <v/>
      </c>
      <c r="L97" s="31" t="str">
        <f t="shared" si="17"/>
        <v/>
      </c>
      <c r="M97" s="32" t="str">
        <f t="shared" si="22"/>
        <v/>
      </c>
      <c r="N97" s="32" t="str">
        <f t="shared" si="18"/>
        <v/>
      </c>
      <c r="O97" s="32" t="str">
        <f t="shared" si="19"/>
        <v/>
      </c>
      <c r="P97" s="32" t="str">
        <f t="shared" si="20"/>
        <v/>
      </c>
      <c r="Q97" s="33" t="str">
        <f t="shared" si="20"/>
        <v/>
      </c>
    </row>
    <row r="98" spans="2:17" x14ac:dyDescent="0.25">
      <c r="B98" s="9">
        <v>85</v>
      </c>
      <c r="C98" s="35">
        <v>23500</v>
      </c>
      <c r="D98" s="3"/>
      <c r="E98" s="9" t="str">
        <f t="shared" si="12"/>
        <v/>
      </c>
      <c r="F98" s="54" t="str">
        <f t="shared" si="21"/>
        <v/>
      </c>
      <c r="G98" s="73" t="str">
        <f t="shared" si="13"/>
        <v/>
      </c>
      <c r="H98" s="56" t="str">
        <f t="shared" si="14"/>
        <v/>
      </c>
      <c r="I98" s="57" t="str">
        <f t="shared" si="15"/>
        <v/>
      </c>
      <c r="J98" s="58" t="str">
        <f t="shared" si="16"/>
        <v/>
      </c>
      <c r="L98" s="31" t="str">
        <f t="shared" si="17"/>
        <v/>
      </c>
      <c r="M98" s="32" t="str">
        <f t="shared" si="22"/>
        <v/>
      </c>
      <c r="N98" s="32" t="str">
        <f t="shared" si="18"/>
        <v/>
      </c>
      <c r="O98" s="32" t="str">
        <f t="shared" si="19"/>
        <v/>
      </c>
      <c r="P98" s="32" t="str">
        <f t="shared" si="20"/>
        <v/>
      </c>
      <c r="Q98" s="33" t="str">
        <f t="shared" si="20"/>
        <v/>
      </c>
    </row>
    <row r="99" spans="2:17" x14ac:dyDescent="0.25">
      <c r="B99" s="9">
        <v>86</v>
      </c>
      <c r="C99" s="35">
        <v>24000</v>
      </c>
      <c r="D99" s="3"/>
      <c r="E99" s="9" t="str">
        <f t="shared" si="12"/>
        <v/>
      </c>
      <c r="F99" s="54" t="str">
        <f t="shared" si="21"/>
        <v/>
      </c>
      <c r="G99" s="73" t="str">
        <f t="shared" si="13"/>
        <v/>
      </c>
      <c r="H99" s="56" t="str">
        <f t="shared" si="14"/>
        <v/>
      </c>
      <c r="I99" s="57" t="str">
        <f t="shared" si="15"/>
        <v/>
      </c>
      <c r="J99" s="58" t="str">
        <f t="shared" si="16"/>
        <v/>
      </c>
      <c r="L99" s="31" t="str">
        <f t="shared" si="17"/>
        <v/>
      </c>
      <c r="M99" s="32" t="str">
        <f t="shared" si="22"/>
        <v/>
      </c>
      <c r="N99" s="32" t="str">
        <f t="shared" si="18"/>
        <v/>
      </c>
      <c r="O99" s="32" t="str">
        <f t="shared" si="19"/>
        <v/>
      </c>
      <c r="P99" s="32" t="str">
        <f t="shared" si="20"/>
        <v/>
      </c>
      <c r="Q99" s="33" t="str">
        <f t="shared" si="20"/>
        <v/>
      </c>
    </row>
    <row r="100" spans="2:17" x14ac:dyDescent="0.25">
      <c r="B100" s="9">
        <v>87</v>
      </c>
      <c r="C100" s="35">
        <v>24500</v>
      </c>
      <c r="D100" s="3"/>
      <c r="E100" s="9" t="str">
        <f t="shared" si="12"/>
        <v/>
      </c>
      <c r="F100" s="54" t="str">
        <f t="shared" si="21"/>
        <v/>
      </c>
      <c r="G100" s="73" t="str">
        <f t="shared" si="13"/>
        <v/>
      </c>
      <c r="H100" s="56" t="str">
        <f t="shared" si="14"/>
        <v/>
      </c>
      <c r="I100" s="57" t="str">
        <f t="shared" si="15"/>
        <v/>
      </c>
      <c r="J100" s="58" t="str">
        <f t="shared" si="16"/>
        <v/>
      </c>
      <c r="L100" s="31" t="str">
        <f t="shared" si="17"/>
        <v/>
      </c>
      <c r="M100" s="32" t="str">
        <f t="shared" si="22"/>
        <v/>
      </c>
      <c r="N100" s="32" t="str">
        <f t="shared" si="18"/>
        <v/>
      </c>
      <c r="O100" s="32" t="str">
        <f t="shared" si="19"/>
        <v/>
      </c>
      <c r="P100" s="32" t="str">
        <f t="shared" si="20"/>
        <v/>
      </c>
      <c r="Q100" s="33" t="str">
        <f t="shared" si="20"/>
        <v/>
      </c>
    </row>
    <row r="101" spans="2:17" x14ac:dyDescent="0.25">
      <c r="B101" s="9">
        <v>88</v>
      </c>
      <c r="C101" s="35">
        <v>25000</v>
      </c>
      <c r="D101" s="3"/>
      <c r="E101" s="9" t="str">
        <f t="shared" si="12"/>
        <v/>
      </c>
      <c r="F101" s="54" t="str">
        <f t="shared" si="21"/>
        <v/>
      </c>
      <c r="G101" s="73" t="str">
        <f t="shared" si="13"/>
        <v/>
      </c>
      <c r="H101" s="56" t="str">
        <f t="shared" si="14"/>
        <v/>
      </c>
      <c r="I101" s="57" t="str">
        <f t="shared" si="15"/>
        <v/>
      </c>
      <c r="J101" s="58" t="str">
        <f t="shared" si="16"/>
        <v/>
      </c>
      <c r="L101" s="31" t="str">
        <f t="shared" si="17"/>
        <v/>
      </c>
      <c r="M101" s="32" t="str">
        <f t="shared" si="22"/>
        <v/>
      </c>
      <c r="N101" s="32" t="str">
        <f t="shared" si="18"/>
        <v/>
      </c>
      <c r="O101" s="32" t="str">
        <f t="shared" si="19"/>
        <v/>
      </c>
      <c r="P101" s="32" t="str">
        <f t="shared" si="20"/>
        <v/>
      </c>
      <c r="Q101" s="33" t="str">
        <f t="shared" si="20"/>
        <v/>
      </c>
    </row>
    <row r="102" spans="2:17" x14ac:dyDescent="0.25">
      <c r="B102" s="9">
        <v>89</v>
      </c>
      <c r="C102" s="35">
        <v>25500</v>
      </c>
      <c r="D102" s="3"/>
      <c r="E102" s="9" t="str">
        <f t="shared" si="12"/>
        <v/>
      </c>
      <c r="F102" s="54" t="str">
        <f t="shared" si="21"/>
        <v/>
      </c>
      <c r="G102" s="73" t="str">
        <f t="shared" si="13"/>
        <v/>
      </c>
      <c r="H102" s="56" t="str">
        <f t="shared" si="14"/>
        <v/>
      </c>
      <c r="I102" s="57" t="str">
        <f t="shared" si="15"/>
        <v/>
      </c>
      <c r="J102" s="58" t="str">
        <f t="shared" si="16"/>
        <v/>
      </c>
      <c r="L102" s="31" t="str">
        <f t="shared" si="17"/>
        <v/>
      </c>
      <c r="M102" s="32" t="str">
        <f t="shared" si="22"/>
        <v/>
      </c>
      <c r="N102" s="32" t="str">
        <f t="shared" si="18"/>
        <v/>
      </c>
      <c r="O102" s="32" t="str">
        <f t="shared" si="19"/>
        <v/>
      </c>
      <c r="P102" s="32" t="str">
        <f t="shared" si="20"/>
        <v/>
      </c>
      <c r="Q102" s="33" t="str">
        <f t="shared" si="20"/>
        <v/>
      </c>
    </row>
    <row r="103" spans="2:17" x14ac:dyDescent="0.25">
      <c r="B103" s="9">
        <v>90</v>
      </c>
      <c r="C103" s="35">
        <v>26000</v>
      </c>
      <c r="D103" s="3"/>
      <c r="E103" s="9" t="str">
        <f t="shared" si="12"/>
        <v/>
      </c>
      <c r="F103" s="54" t="str">
        <f t="shared" si="21"/>
        <v/>
      </c>
      <c r="G103" s="73" t="str">
        <f t="shared" si="13"/>
        <v/>
      </c>
      <c r="H103" s="56" t="str">
        <f t="shared" si="14"/>
        <v/>
      </c>
      <c r="I103" s="57" t="str">
        <f t="shared" si="15"/>
        <v/>
      </c>
      <c r="J103" s="58" t="str">
        <f t="shared" si="16"/>
        <v/>
      </c>
      <c r="L103" s="31" t="str">
        <f t="shared" si="17"/>
        <v/>
      </c>
      <c r="M103" s="32" t="str">
        <f t="shared" si="22"/>
        <v/>
      </c>
      <c r="N103" s="32" t="str">
        <f t="shared" si="18"/>
        <v/>
      </c>
      <c r="O103" s="32" t="str">
        <f t="shared" si="19"/>
        <v/>
      </c>
      <c r="P103" s="32" t="str">
        <f t="shared" si="20"/>
        <v/>
      </c>
      <c r="Q103" s="33" t="str">
        <f t="shared" si="20"/>
        <v/>
      </c>
    </row>
    <row r="104" spans="2:17" x14ac:dyDescent="0.25">
      <c r="B104" s="9">
        <v>91</v>
      </c>
      <c r="C104" s="35">
        <v>26500</v>
      </c>
      <c r="D104" s="3"/>
      <c r="E104" s="9" t="str">
        <f t="shared" si="12"/>
        <v/>
      </c>
      <c r="F104" s="54" t="str">
        <f t="shared" si="21"/>
        <v/>
      </c>
      <c r="G104" s="73" t="str">
        <f t="shared" si="13"/>
        <v/>
      </c>
      <c r="H104" s="56" t="str">
        <f t="shared" si="14"/>
        <v/>
      </c>
      <c r="I104" s="57" t="str">
        <f t="shared" si="15"/>
        <v/>
      </c>
      <c r="J104" s="58" t="str">
        <f t="shared" si="16"/>
        <v/>
      </c>
      <c r="L104" s="31" t="str">
        <f t="shared" si="17"/>
        <v/>
      </c>
      <c r="M104" s="32" t="str">
        <f t="shared" si="22"/>
        <v/>
      </c>
      <c r="N104" s="32" t="str">
        <f t="shared" si="18"/>
        <v/>
      </c>
      <c r="O104" s="32" t="str">
        <f t="shared" si="19"/>
        <v/>
      </c>
      <c r="P104" s="32" t="str">
        <f t="shared" si="20"/>
        <v/>
      </c>
      <c r="Q104" s="33" t="str">
        <f t="shared" si="20"/>
        <v/>
      </c>
    </row>
    <row r="105" spans="2:17" x14ac:dyDescent="0.25">
      <c r="B105" s="9">
        <v>92</v>
      </c>
      <c r="C105" s="35">
        <v>27000</v>
      </c>
      <c r="D105" s="3"/>
      <c r="E105" s="9" t="str">
        <f t="shared" si="12"/>
        <v/>
      </c>
      <c r="F105" s="54" t="str">
        <f t="shared" si="21"/>
        <v/>
      </c>
      <c r="G105" s="73" t="str">
        <f t="shared" si="13"/>
        <v/>
      </c>
      <c r="H105" s="56" t="str">
        <f t="shared" si="14"/>
        <v/>
      </c>
      <c r="I105" s="57" t="str">
        <f t="shared" si="15"/>
        <v/>
      </c>
      <c r="J105" s="58" t="str">
        <f t="shared" si="16"/>
        <v/>
      </c>
      <c r="L105" s="31" t="str">
        <f t="shared" si="17"/>
        <v/>
      </c>
      <c r="M105" s="32" t="str">
        <f t="shared" si="22"/>
        <v/>
      </c>
      <c r="N105" s="32" t="str">
        <f t="shared" si="18"/>
        <v/>
      </c>
      <c r="O105" s="32" t="str">
        <f t="shared" si="19"/>
        <v/>
      </c>
      <c r="P105" s="32" t="str">
        <f t="shared" si="20"/>
        <v/>
      </c>
      <c r="Q105" s="33" t="str">
        <f t="shared" si="20"/>
        <v/>
      </c>
    </row>
    <row r="106" spans="2:17" x14ac:dyDescent="0.25">
      <c r="B106" s="9">
        <v>93</v>
      </c>
      <c r="C106" s="35">
        <v>27500</v>
      </c>
      <c r="D106" s="3"/>
      <c r="E106" s="9" t="str">
        <f t="shared" si="12"/>
        <v/>
      </c>
      <c r="F106" s="54" t="str">
        <f t="shared" si="21"/>
        <v/>
      </c>
      <c r="G106" s="73" t="str">
        <f t="shared" si="13"/>
        <v/>
      </c>
      <c r="H106" s="56" t="str">
        <f t="shared" si="14"/>
        <v/>
      </c>
      <c r="I106" s="57" t="str">
        <f t="shared" si="15"/>
        <v/>
      </c>
      <c r="J106" s="58" t="str">
        <f t="shared" si="16"/>
        <v/>
      </c>
      <c r="L106" s="31" t="str">
        <f t="shared" si="17"/>
        <v/>
      </c>
      <c r="M106" s="32" t="str">
        <f t="shared" si="22"/>
        <v/>
      </c>
      <c r="N106" s="32" t="str">
        <f t="shared" si="18"/>
        <v/>
      </c>
      <c r="O106" s="32" t="str">
        <f t="shared" si="19"/>
        <v/>
      </c>
      <c r="P106" s="32" t="str">
        <f t="shared" si="20"/>
        <v/>
      </c>
      <c r="Q106" s="33" t="str">
        <f t="shared" si="20"/>
        <v/>
      </c>
    </row>
    <row r="107" spans="2:17" x14ac:dyDescent="0.25">
      <c r="B107" s="9">
        <v>94</v>
      </c>
      <c r="C107" s="35">
        <v>28000</v>
      </c>
      <c r="D107" s="3"/>
      <c r="E107" s="9" t="str">
        <f t="shared" si="12"/>
        <v/>
      </c>
      <c r="F107" s="54" t="str">
        <f t="shared" si="21"/>
        <v/>
      </c>
      <c r="G107" s="73" t="str">
        <f t="shared" si="13"/>
        <v/>
      </c>
      <c r="H107" s="56" t="str">
        <f t="shared" si="14"/>
        <v/>
      </c>
      <c r="I107" s="57" t="str">
        <f t="shared" si="15"/>
        <v/>
      </c>
      <c r="J107" s="58" t="str">
        <f t="shared" si="16"/>
        <v/>
      </c>
      <c r="L107" s="31" t="str">
        <f t="shared" si="17"/>
        <v/>
      </c>
      <c r="M107" s="32" t="str">
        <f t="shared" si="22"/>
        <v/>
      </c>
      <c r="N107" s="32" t="str">
        <f t="shared" si="18"/>
        <v/>
      </c>
      <c r="O107" s="32" t="str">
        <f t="shared" si="19"/>
        <v/>
      </c>
      <c r="P107" s="32" t="str">
        <f t="shared" si="20"/>
        <v/>
      </c>
      <c r="Q107" s="33" t="str">
        <f t="shared" si="20"/>
        <v/>
      </c>
    </row>
    <row r="108" spans="2:17" x14ac:dyDescent="0.25">
      <c r="B108" s="9">
        <v>95</v>
      </c>
      <c r="C108" s="35">
        <v>28500</v>
      </c>
      <c r="D108" s="3"/>
      <c r="E108" s="9" t="str">
        <f t="shared" si="12"/>
        <v/>
      </c>
      <c r="F108" s="54" t="str">
        <f t="shared" si="21"/>
        <v/>
      </c>
      <c r="G108" s="73" t="str">
        <f t="shared" si="13"/>
        <v/>
      </c>
      <c r="H108" s="56" t="str">
        <f t="shared" si="14"/>
        <v/>
      </c>
      <c r="I108" s="57" t="str">
        <f t="shared" si="15"/>
        <v/>
      </c>
      <c r="J108" s="58" t="str">
        <f t="shared" si="16"/>
        <v/>
      </c>
      <c r="L108" s="31" t="str">
        <f t="shared" si="17"/>
        <v/>
      </c>
      <c r="M108" s="32" t="str">
        <f t="shared" si="22"/>
        <v/>
      </c>
      <c r="N108" s="32" t="str">
        <f t="shared" si="18"/>
        <v/>
      </c>
      <c r="O108" s="32" t="str">
        <f t="shared" si="19"/>
        <v/>
      </c>
      <c r="P108" s="32" t="str">
        <f t="shared" si="20"/>
        <v/>
      </c>
      <c r="Q108" s="33" t="str">
        <f t="shared" si="20"/>
        <v/>
      </c>
    </row>
    <row r="109" spans="2:17" x14ac:dyDescent="0.25">
      <c r="B109" s="9">
        <v>96</v>
      </c>
      <c r="C109" s="35">
        <v>29000</v>
      </c>
      <c r="D109" s="3"/>
      <c r="E109" s="9" t="str">
        <f t="shared" si="12"/>
        <v/>
      </c>
      <c r="F109" s="54" t="str">
        <f t="shared" si="21"/>
        <v/>
      </c>
      <c r="G109" s="73" t="str">
        <f t="shared" si="13"/>
        <v/>
      </c>
      <c r="H109" s="56" t="str">
        <f t="shared" si="14"/>
        <v/>
      </c>
      <c r="I109" s="57" t="str">
        <f t="shared" si="15"/>
        <v/>
      </c>
      <c r="J109" s="58" t="str">
        <f t="shared" si="16"/>
        <v/>
      </c>
      <c r="L109" s="31" t="str">
        <f t="shared" si="17"/>
        <v/>
      </c>
      <c r="M109" s="32" t="str">
        <f t="shared" si="22"/>
        <v/>
      </c>
      <c r="N109" s="32" t="str">
        <f t="shared" si="18"/>
        <v/>
      </c>
      <c r="O109" s="32" t="str">
        <f t="shared" si="19"/>
        <v/>
      </c>
      <c r="P109" s="32" t="str">
        <f t="shared" si="20"/>
        <v/>
      </c>
      <c r="Q109" s="33" t="str">
        <f t="shared" si="20"/>
        <v/>
      </c>
    </row>
    <row r="110" spans="2:17" x14ac:dyDescent="0.25">
      <c r="B110" s="9">
        <v>97</v>
      </c>
      <c r="C110" s="35">
        <v>29500</v>
      </c>
      <c r="D110" s="3"/>
      <c r="E110" s="9" t="str">
        <f t="shared" si="12"/>
        <v/>
      </c>
      <c r="F110" s="54" t="str">
        <f t="shared" si="21"/>
        <v/>
      </c>
      <c r="G110" s="73" t="str">
        <f t="shared" si="13"/>
        <v/>
      </c>
      <c r="H110" s="56" t="str">
        <f t="shared" si="14"/>
        <v/>
      </c>
      <c r="I110" s="57" t="str">
        <f t="shared" si="15"/>
        <v/>
      </c>
      <c r="J110" s="58" t="str">
        <f t="shared" si="16"/>
        <v/>
      </c>
      <c r="L110" s="31" t="str">
        <f t="shared" si="17"/>
        <v/>
      </c>
      <c r="M110" s="32" t="str">
        <f t="shared" si="22"/>
        <v/>
      </c>
      <c r="N110" s="32" t="str">
        <f t="shared" si="18"/>
        <v/>
      </c>
      <c r="O110" s="32" t="str">
        <f t="shared" si="19"/>
        <v/>
      </c>
      <c r="P110" s="32" t="str">
        <f t="shared" ref="P110:Q141" si="23">IF(AJ112="","",AJ112)</f>
        <v/>
      </c>
      <c r="Q110" s="33" t="str">
        <f t="shared" si="23"/>
        <v/>
      </c>
    </row>
    <row r="111" spans="2:17" x14ac:dyDescent="0.25">
      <c r="B111" s="9">
        <v>98</v>
      </c>
      <c r="C111" s="35">
        <v>30000</v>
      </c>
      <c r="D111" s="3"/>
      <c r="E111" s="9" t="str">
        <f t="shared" si="12"/>
        <v/>
      </c>
      <c r="F111" s="54" t="str">
        <f t="shared" si="21"/>
        <v/>
      </c>
      <c r="G111" s="73" t="str">
        <f t="shared" si="13"/>
        <v/>
      </c>
      <c r="H111" s="56" t="str">
        <f t="shared" si="14"/>
        <v/>
      </c>
      <c r="I111" s="57" t="str">
        <f t="shared" si="15"/>
        <v/>
      </c>
      <c r="J111" s="58" t="str">
        <f t="shared" si="16"/>
        <v/>
      </c>
      <c r="L111" s="31" t="str">
        <f t="shared" si="17"/>
        <v/>
      </c>
      <c r="M111" s="32" t="str">
        <f t="shared" si="22"/>
        <v/>
      </c>
      <c r="N111" s="32" t="str">
        <f t="shared" si="18"/>
        <v/>
      </c>
      <c r="O111" s="32" t="str">
        <f t="shared" si="19"/>
        <v/>
      </c>
      <c r="P111" s="32" t="str">
        <f t="shared" si="23"/>
        <v/>
      </c>
      <c r="Q111" s="33" t="str">
        <f t="shared" si="23"/>
        <v/>
      </c>
    </row>
    <row r="112" spans="2:17" x14ac:dyDescent="0.25">
      <c r="B112" s="9">
        <v>99</v>
      </c>
      <c r="C112" s="35">
        <v>30500</v>
      </c>
      <c r="D112" s="3"/>
      <c r="E112" s="9" t="str">
        <f t="shared" si="12"/>
        <v/>
      </c>
      <c r="F112" s="54" t="str">
        <f t="shared" si="21"/>
        <v/>
      </c>
      <c r="G112" s="73" t="str">
        <f t="shared" si="13"/>
        <v/>
      </c>
      <c r="H112" s="56" t="str">
        <f t="shared" si="14"/>
        <v/>
      </c>
      <c r="I112" s="57" t="str">
        <f t="shared" si="15"/>
        <v/>
      </c>
      <c r="J112" s="58" t="str">
        <f t="shared" si="16"/>
        <v/>
      </c>
      <c r="L112" s="31" t="str">
        <f t="shared" si="17"/>
        <v/>
      </c>
      <c r="M112" s="32" t="str">
        <f t="shared" si="22"/>
        <v/>
      </c>
      <c r="N112" s="32" t="str">
        <f t="shared" si="18"/>
        <v/>
      </c>
      <c r="O112" s="32" t="str">
        <f t="shared" si="19"/>
        <v/>
      </c>
      <c r="P112" s="32" t="str">
        <f t="shared" si="23"/>
        <v/>
      </c>
      <c r="Q112" s="33" t="str">
        <f t="shared" si="23"/>
        <v/>
      </c>
    </row>
    <row r="113" spans="2:17" x14ac:dyDescent="0.25">
      <c r="B113" s="9">
        <v>100</v>
      </c>
      <c r="C113" s="35">
        <v>31000</v>
      </c>
      <c r="D113" s="3"/>
      <c r="E113" s="9" t="str">
        <f t="shared" si="12"/>
        <v/>
      </c>
      <c r="F113" s="54" t="str">
        <f t="shared" si="21"/>
        <v/>
      </c>
      <c r="G113" s="73" t="str">
        <f t="shared" si="13"/>
        <v/>
      </c>
      <c r="H113" s="56" t="str">
        <f t="shared" si="14"/>
        <v/>
      </c>
      <c r="I113" s="57" t="str">
        <f t="shared" si="15"/>
        <v/>
      </c>
      <c r="J113" s="58" t="str">
        <f t="shared" si="16"/>
        <v/>
      </c>
      <c r="L113" s="31" t="str">
        <f t="shared" si="17"/>
        <v/>
      </c>
      <c r="M113" s="32" t="str">
        <f t="shared" si="22"/>
        <v/>
      </c>
      <c r="N113" s="32" t="str">
        <f t="shared" si="18"/>
        <v/>
      </c>
      <c r="O113" s="32" t="str">
        <f t="shared" si="19"/>
        <v/>
      </c>
      <c r="P113" s="32" t="str">
        <f t="shared" si="23"/>
        <v/>
      </c>
      <c r="Q113" s="33" t="str">
        <f t="shared" si="23"/>
        <v/>
      </c>
    </row>
    <row r="114" spans="2:17" x14ac:dyDescent="0.25">
      <c r="B114" s="9">
        <v>101</v>
      </c>
      <c r="C114" s="35">
        <v>31500</v>
      </c>
      <c r="D114" s="3"/>
      <c r="E114" s="9" t="str">
        <f t="shared" si="12"/>
        <v/>
      </c>
      <c r="F114" s="54" t="str">
        <f t="shared" si="21"/>
        <v/>
      </c>
      <c r="G114" s="73" t="str">
        <f t="shared" si="13"/>
        <v/>
      </c>
      <c r="H114" s="56" t="str">
        <f t="shared" si="14"/>
        <v/>
      </c>
      <c r="I114" s="57" t="str">
        <f t="shared" si="15"/>
        <v/>
      </c>
      <c r="J114" s="58" t="str">
        <f t="shared" si="16"/>
        <v/>
      </c>
      <c r="L114" s="31" t="str">
        <f t="shared" si="17"/>
        <v/>
      </c>
      <c r="M114" s="32" t="str">
        <f t="shared" si="22"/>
        <v/>
      </c>
      <c r="N114" s="32" t="str">
        <f t="shared" si="18"/>
        <v/>
      </c>
      <c r="O114" s="32" t="str">
        <f t="shared" si="19"/>
        <v/>
      </c>
      <c r="P114" s="32" t="str">
        <f t="shared" si="23"/>
        <v/>
      </c>
      <c r="Q114" s="33" t="str">
        <f t="shared" si="23"/>
        <v/>
      </c>
    </row>
    <row r="115" spans="2:17" x14ac:dyDescent="0.25">
      <c r="B115" s="9">
        <v>102</v>
      </c>
      <c r="C115" s="35">
        <v>32000</v>
      </c>
      <c r="D115" s="3"/>
      <c r="E115" s="9" t="str">
        <f t="shared" si="12"/>
        <v/>
      </c>
      <c r="F115" s="54" t="str">
        <f t="shared" si="21"/>
        <v/>
      </c>
      <c r="G115" s="73" t="str">
        <f t="shared" si="13"/>
        <v/>
      </c>
      <c r="H115" s="56" t="str">
        <f t="shared" si="14"/>
        <v/>
      </c>
      <c r="I115" s="57" t="str">
        <f t="shared" si="15"/>
        <v/>
      </c>
      <c r="J115" s="58" t="str">
        <f t="shared" si="16"/>
        <v/>
      </c>
      <c r="L115" s="31" t="str">
        <f t="shared" si="17"/>
        <v/>
      </c>
      <c r="M115" s="32" t="str">
        <f t="shared" si="22"/>
        <v/>
      </c>
      <c r="N115" s="32" t="str">
        <f t="shared" si="18"/>
        <v/>
      </c>
      <c r="O115" s="32" t="str">
        <f t="shared" si="19"/>
        <v/>
      </c>
      <c r="P115" s="32" t="str">
        <f t="shared" si="23"/>
        <v/>
      </c>
      <c r="Q115" s="33" t="str">
        <f t="shared" si="23"/>
        <v/>
      </c>
    </row>
    <row r="116" spans="2:17" x14ac:dyDescent="0.25">
      <c r="B116" s="9">
        <v>103</v>
      </c>
      <c r="C116" s="35">
        <v>32500</v>
      </c>
      <c r="D116" s="3"/>
      <c r="E116" s="9" t="str">
        <f t="shared" si="12"/>
        <v/>
      </c>
      <c r="F116" s="54" t="str">
        <f t="shared" si="21"/>
        <v/>
      </c>
      <c r="G116" s="73" t="str">
        <f t="shared" si="13"/>
        <v/>
      </c>
      <c r="H116" s="56" t="str">
        <f t="shared" si="14"/>
        <v/>
      </c>
      <c r="I116" s="57" t="str">
        <f t="shared" si="15"/>
        <v/>
      </c>
      <c r="J116" s="58" t="str">
        <f t="shared" si="16"/>
        <v/>
      </c>
      <c r="L116" s="31" t="str">
        <f t="shared" si="17"/>
        <v/>
      </c>
      <c r="M116" s="32" t="str">
        <f t="shared" si="22"/>
        <v/>
      </c>
      <c r="N116" s="32" t="str">
        <f t="shared" si="18"/>
        <v/>
      </c>
      <c r="O116" s="32" t="str">
        <f t="shared" si="19"/>
        <v/>
      </c>
      <c r="P116" s="32" t="str">
        <f t="shared" si="23"/>
        <v/>
      </c>
      <c r="Q116" s="33" t="str">
        <f t="shared" si="23"/>
        <v/>
      </c>
    </row>
    <row r="117" spans="2:17" x14ac:dyDescent="0.25">
      <c r="B117" s="9">
        <v>104</v>
      </c>
      <c r="C117" s="35">
        <v>33000</v>
      </c>
      <c r="D117" s="3"/>
      <c r="E117" s="9" t="str">
        <f t="shared" si="12"/>
        <v/>
      </c>
      <c r="F117" s="54" t="str">
        <f t="shared" si="21"/>
        <v/>
      </c>
      <c r="G117" s="73" t="str">
        <f t="shared" si="13"/>
        <v/>
      </c>
      <c r="H117" s="56" t="str">
        <f t="shared" si="14"/>
        <v/>
      </c>
      <c r="I117" s="57" t="str">
        <f t="shared" si="15"/>
        <v/>
      </c>
      <c r="J117" s="58" t="str">
        <f t="shared" si="16"/>
        <v/>
      </c>
      <c r="L117" s="31" t="str">
        <f t="shared" si="17"/>
        <v/>
      </c>
      <c r="M117" s="32" t="str">
        <f t="shared" si="22"/>
        <v/>
      </c>
      <c r="N117" s="32" t="str">
        <f t="shared" si="18"/>
        <v/>
      </c>
      <c r="O117" s="32" t="str">
        <f t="shared" si="19"/>
        <v/>
      </c>
      <c r="P117" s="32" t="str">
        <f t="shared" si="23"/>
        <v/>
      </c>
      <c r="Q117" s="33" t="str">
        <f t="shared" si="23"/>
        <v/>
      </c>
    </row>
    <row r="118" spans="2:17" x14ac:dyDescent="0.25">
      <c r="B118" s="9">
        <v>105</v>
      </c>
      <c r="C118" s="35">
        <v>33500</v>
      </c>
      <c r="D118" s="3"/>
      <c r="E118" s="9" t="str">
        <f t="shared" si="12"/>
        <v/>
      </c>
      <c r="F118" s="54" t="str">
        <f t="shared" si="21"/>
        <v/>
      </c>
      <c r="G118" s="73" t="str">
        <f t="shared" si="13"/>
        <v/>
      </c>
      <c r="H118" s="56" t="str">
        <f t="shared" si="14"/>
        <v/>
      </c>
      <c r="I118" s="57" t="str">
        <f t="shared" si="15"/>
        <v/>
      </c>
      <c r="J118" s="58" t="str">
        <f t="shared" si="16"/>
        <v/>
      </c>
      <c r="L118" s="31" t="str">
        <f t="shared" si="17"/>
        <v/>
      </c>
      <c r="M118" s="32" t="str">
        <f t="shared" si="22"/>
        <v/>
      </c>
      <c r="N118" s="32" t="str">
        <f t="shared" si="18"/>
        <v/>
      </c>
      <c r="O118" s="32" t="str">
        <f t="shared" si="19"/>
        <v/>
      </c>
      <c r="P118" s="32" t="str">
        <f t="shared" si="23"/>
        <v/>
      </c>
      <c r="Q118" s="33" t="str">
        <f t="shared" si="23"/>
        <v/>
      </c>
    </row>
    <row r="119" spans="2:17" x14ac:dyDescent="0.25">
      <c r="B119" s="9">
        <v>106</v>
      </c>
      <c r="C119" s="35">
        <v>34000</v>
      </c>
      <c r="D119" s="3"/>
      <c r="E119" s="9" t="str">
        <f t="shared" si="12"/>
        <v/>
      </c>
      <c r="F119" s="54" t="str">
        <f t="shared" si="21"/>
        <v/>
      </c>
      <c r="G119" s="73" t="str">
        <f t="shared" si="13"/>
        <v/>
      </c>
      <c r="H119" s="56" t="str">
        <f t="shared" si="14"/>
        <v/>
      </c>
      <c r="I119" s="57" t="str">
        <f t="shared" si="15"/>
        <v/>
      </c>
      <c r="J119" s="58" t="str">
        <f t="shared" si="16"/>
        <v/>
      </c>
      <c r="L119" s="31" t="str">
        <f t="shared" si="17"/>
        <v/>
      </c>
      <c r="M119" s="32" t="str">
        <f t="shared" si="22"/>
        <v/>
      </c>
      <c r="N119" s="32" t="str">
        <f t="shared" si="18"/>
        <v/>
      </c>
      <c r="O119" s="32" t="str">
        <f t="shared" si="19"/>
        <v/>
      </c>
      <c r="P119" s="32" t="str">
        <f t="shared" si="23"/>
        <v/>
      </c>
      <c r="Q119" s="33" t="str">
        <f t="shared" si="23"/>
        <v/>
      </c>
    </row>
    <row r="120" spans="2:17" x14ac:dyDescent="0.25">
      <c r="B120" s="9">
        <v>107</v>
      </c>
      <c r="C120" s="35">
        <v>34500</v>
      </c>
      <c r="D120" s="3"/>
      <c r="E120" s="9" t="str">
        <f t="shared" si="12"/>
        <v/>
      </c>
      <c r="F120" s="54" t="str">
        <f t="shared" si="21"/>
        <v/>
      </c>
      <c r="G120" s="73" t="str">
        <f t="shared" si="13"/>
        <v/>
      </c>
      <c r="H120" s="56" t="str">
        <f t="shared" si="14"/>
        <v/>
      </c>
      <c r="I120" s="57" t="str">
        <f t="shared" si="15"/>
        <v/>
      </c>
      <c r="J120" s="58" t="str">
        <f t="shared" si="16"/>
        <v/>
      </c>
      <c r="L120" s="31" t="str">
        <f t="shared" si="17"/>
        <v/>
      </c>
      <c r="M120" s="32" t="str">
        <f t="shared" si="22"/>
        <v/>
      </c>
      <c r="N120" s="32" t="str">
        <f t="shared" si="18"/>
        <v/>
      </c>
      <c r="O120" s="32" t="str">
        <f t="shared" si="19"/>
        <v/>
      </c>
      <c r="P120" s="32" t="str">
        <f t="shared" si="23"/>
        <v/>
      </c>
      <c r="Q120" s="33" t="str">
        <f t="shared" si="23"/>
        <v/>
      </c>
    </row>
    <row r="121" spans="2:17" x14ac:dyDescent="0.25">
      <c r="B121" s="9">
        <v>108</v>
      </c>
      <c r="C121" s="35">
        <v>35000</v>
      </c>
      <c r="D121" s="3"/>
      <c r="E121" s="9" t="str">
        <f t="shared" si="12"/>
        <v/>
      </c>
      <c r="F121" s="54" t="str">
        <f t="shared" si="21"/>
        <v/>
      </c>
      <c r="G121" s="73" t="str">
        <f t="shared" si="13"/>
        <v/>
      </c>
      <c r="H121" s="56" t="str">
        <f t="shared" si="14"/>
        <v/>
      </c>
      <c r="I121" s="57" t="str">
        <f t="shared" si="15"/>
        <v/>
      </c>
      <c r="J121" s="58" t="str">
        <f t="shared" si="16"/>
        <v/>
      </c>
      <c r="L121" s="31" t="str">
        <f t="shared" si="17"/>
        <v/>
      </c>
      <c r="M121" s="32" t="str">
        <f t="shared" si="22"/>
        <v/>
      </c>
      <c r="N121" s="32" t="str">
        <f t="shared" si="18"/>
        <v/>
      </c>
      <c r="O121" s="32" t="str">
        <f t="shared" si="19"/>
        <v/>
      </c>
      <c r="P121" s="32" t="str">
        <f t="shared" si="23"/>
        <v/>
      </c>
      <c r="Q121" s="33" t="str">
        <f t="shared" si="23"/>
        <v/>
      </c>
    </row>
    <row r="122" spans="2:17" x14ac:dyDescent="0.25">
      <c r="B122" s="9">
        <v>109</v>
      </c>
      <c r="C122" s="35">
        <v>35500</v>
      </c>
      <c r="D122" s="3"/>
      <c r="E122" s="9" t="str">
        <f t="shared" si="12"/>
        <v/>
      </c>
      <c r="F122" s="54" t="str">
        <f t="shared" si="21"/>
        <v/>
      </c>
      <c r="G122" s="73" t="str">
        <f t="shared" si="13"/>
        <v/>
      </c>
      <c r="H122" s="56" t="str">
        <f t="shared" si="14"/>
        <v/>
      </c>
      <c r="I122" s="57" t="str">
        <f t="shared" si="15"/>
        <v/>
      </c>
      <c r="J122" s="58" t="str">
        <f t="shared" si="16"/>
        <v/>
      </c>
      <c r="L122" s="31" t="str">
        <f t="shared" si="17"/>
        <v/>
      </c>
      <c r="M122" s="32" t="str">
        <f t="shared" si="22"/>
        <v/>
      </c>
      <c r="N122" s="32" t="str">
        <f t="shared" si="18"/>
        <v/>
      </c>
      <c r="O122" s="32" t="str">
        <f t="shared" si="19"/>
        <v/>
      </c>
      <c r="P122" s="32" t="str">
        <f t="shared" si="23"/>
        <v/>
      </c>
      <c r="Q122" s="33" t="str">
        <f t="shared" si="23"/>
        <v/>
      </c>
    </row>
    <row r="123" spans="2:17" x14ac:dyDescent="0.25">
      <c r="B123" s="9">
        <v>110</v>
      </c>
      <c r="C123" s="35">
        <v>36000</v>
      </c>
      <c r="D123" s="3"/>
      <c r="E123" s="9" t="str">
        <f t="shared" si="12"/>
        <v/>
      </c>
      <c r="F123" s="54" t="str">
        <f t="shared" si="21"/>
        <v/>
      </c>
      <c r="G123" s="73" t="str">
        <f t="shared" si="13"/>
        <v/>
      </c>
      <c r="H123" s="56" t="str">
        <f t="shared" si="14"/>
        <v/>
      </c>
      <c r="I123" s="57" t="str">
        <f t="shared" si="15"/>
        <v/>
      </c>
      <c r="J123" s="58" t="str">
        <f t="shared" si="16"/>
        <v/>
      </c>
      <c r="L123" s="31" t="str">
        <f t="shared" si="17"/>
        <v/>
      </c>
      <c r="M123" s="32" t="str">
        <f t="shared" si="22"/>
        <v/>
      </c>
      <c r="N123" s="32" t="str">
        <f t="shared" si="18"/>
        <v/>
      </c>
      <c r="O123" s="32" t="str">
        <f t="shared" si="19"/>
        <v/>
      </c>
      <c r="P123" s="32" t="str">
        <f t="shared" si="23"/>
        <v/>
      </c>
      <c r="Q123" s="33" t="str">
        <f t="shared" si="23"/>
        <v/>
      </c>
    </row>
    <row r="124" spans="2:17" x14ac:dyDescent="0.25">
      <c r="B124" s="9">
        <v>111</v>
      </c>
      <c r="C124" s="35">
        <v>36500</v>
      </c>
      <c r="D124" s="3"/>
      <c r="E124" s="9" t="str">
        <f t="shared" si="12"/>
        <v/>
      </c>
      <c r="F124" s="54" t="str">
        <f t="shared" si="21"/>
        <v/>
      </c>
      <c r="G124" s="73" t="str">
        <f t="shared" si="13"/>
        <v/>
      </c>
      <c r="H124" s="56" t="str">
        <f t="shared" si="14"/>
        <v/>
      </c>
      <c r="I124" s="57" t="str">
        <f t="shared" si="15"/>
        <v/>
      </c>
      <c r="J124" s="58" t="str">
        <f t="shared" si="16"/>
        <v/>
      </c>
      <c r="L124" s="31" t="str">
        <f t="shared" si="17"/>
        <v/>
      </c>
      <c r="M124" s="32" t="str">
        <f t="shared" si="22"/>
        <v/>
      </c>
      <c r="N124" s="32" t="str">
        <f t="shared" si="18"/>
        <v/>
      </c>
      <c r="O124" s="32" t="str">
        <f t="shared" si="19"/>
        <v/>
      </c>
      <c r="P124" s="32" t="str">
        <f t="shared" si="23"/>
        <v/>
      </c>
      <c r="Q124" s="33" t="str">
        <f t="shared" si="23"/>
        <v/>
      </c>
    </row>
    <row r="125" spans="2:17" x14ac:dyDescent="0.25">
      <c r="B125" s="9">
        <v>112</v>
      </c>
      <c r="C125" s="35">
        <v>37000</v>
      </c>
      <c r="D125" s="3"/>
      <c r="E125" s="9" t="str">
        <f t="shared" si="12"/>
        <v/>
      </c>
      <c r="F125" s="54" t="str">
        <f t="shared" si="21"/>
        <v/>
      </c>
      <c r="G125" s="73" t="str">
        <f t="shared" si="13"/>
        <v/>
      </c>
      <c r="H125" s="56" t="str">
        <f t="shared" si="14"/>
        <v/>
      </c>
      <c r="I125" s="57" t="str">
        <f t="shared" si="15"/>
        <v/>
      </c>
      <c r="J125" s="58" t="str">
        <f t="shared" si="16"/>
        <v/>
      </c>
      <c r="L125" s="31" t="str">
        <f t="shared" si="17"/>
        <v/>
      </c>
      <c r="M125" s="32" t="str">
        <f t="shared" si="22"/>
        <v/>
      </c>
      <c r="N125" s="32" t="str">
        <f t="shared" si="18"/>
        <v/>
      </c>
      <c r="O125" s="32" t="str">
        <f t="shared" si="19"/>
        <v/>
      </c>
      <c r="P125" s="32" t="str">
        <f t="shared" si="23"/>
        <v/>
      </c>
      <c r="Q125" s="33" t="str">
        <f t="shared" si="23"/>
        <v/>
      </c>
    </row>
    <row r="126" spans="2:17" x14ac:dyDescent="0.25">
      <c r="B126" s="9">
        <v>113</v>
      </c>
      <c r="C126" s="35">
        <v>37500</v>
      </c>
      <c r="D126" s="3"/>
      <c r="E126" s="9" t="str">
        <f t="shared" si="12"/>
        <v/>
      </c>
      <c r="F126" s="54" t="str">
        <f t="shared" si="21"/>
        <v/>
      </c>
      <c r="G126" s="73" t="str">
        <f t="shared" si="13"/>
        <v/>
      </c>
      <c r="H126" s="56" t="str">
        <f t="shared" si="14"/>
        <v/>
      </c>
      <c r="I126" s="57" t="str">
        <f t="shared" si="15"/>
        <v/>
      </c>
      <c r="J126" s="58" t="str">
        <f t="shared" si="16"/>
        <v/>
      </c>
      <c r="L126" s="31" t="str">
        <f t="shared" si="17"/>
        <v/>
      </c>
      <c r="M126" s="32" t="str">
        <f t="shared" si="22"/>
        <v/>
      </c>
      <c r="N126" s="32" t="str">
        <f t="shared" si="18"/>
        <v/>
      </c>
      <c r="O126" s="32" t="str">
        <f t="shared" si="19"/>
        <v/>
      </c>
      <c r="P126" s="32" t="str">
        <f t="shared" si="23"/>
        <v/>
      </c>
      <c r="Q126" s="33" t="str">
        <f t="shared" si="23"/>
        <v/>
      </c>
    </row>
    <row r="127" spans="2:17" x14ac:dyDescent="0.25">
      <c r="B127" s="9">
        <v>114</v>
      </c>
      <c r="C127" s="35">
        <v>38000</v>
      </c>
      <c r="D127" s="3"/>
      <c r="E127" s="9" t="str">
        <f t="shared" si="12"/>
        <v/>
      </c>
      <c r="F127" s="54" t="str">
        <f t="shared" si="21"/>
        <v/>
      </c>
      <c r="G127" s="73" t="str">
        <f t="shared" si="13"/>
        <v/>
      </c>
      <c r="H127" s="56" t="str">
        <f t="shared" si="14"/>
        <v/>
      </c>
      <c r="I127" s="57" t="str">
        <f t="shared" si="15"/>
        <v/>
      </c>
      <c r="J127" s="58" t="str">
        <f t="shared" si="16"/>
        <v/>
      </c>
      <c r="L127" s="31" t="str">
        <f t="shared" si="17"/>
        <v/>
      </c>
      <c r="M127" s="32" t="str">
        <f t="shared" si="22"/>
        <v/>
      </c>
      <c r="N127" s="32" t="str">
        <f t="shared" si="18"/>
        <v/>
      </c>
      <c r="O127" s="32" t="str">
        <f t="shared" si="19"/>
        <v/>
      </c>
      <c r="P127" s="32" t="str">
        <f t="shared" si="23"/>
        <v/>
      </c>
      <c r="Q127" s="33" t="str">
        <f t="shared" si="23"/>
        <v/>
      </c>
    </row>
    <row r="128" spans="2:17" x14ac:dyDescent="0.25">
      <c r="B128" s="9">
        <v>115</v>
      </c>
      <c r="C128" s="35">
        <v>38500</v>
      </c>
      <c r="D128" s="3"/>
      <c r="E128" s="9" t="str">
        <f t="shared" si="12"/>
        <v/>
      </c>
      <c r="F128" s="54" t="str">
        <f t="shared" si="21"/>
        <v/>
      </c>
      <c r="G128" s="73" t="str">
        <f t="shared" si="13"/>
        <v/>
      </c>
      <c r="H128" s="56" t="str">
        <f t="shared" si="14"/>
        <v/>
      </c>
      <c r="I128" s="57" t="str">
        <f t="shared" si="15"/>
        <v/>
      </c>
      <c r="J128" s="58" t="str">
        <f t="shared" si="16"/>
        <v/>
      </c>
      <c r="L128" s="31" t="str">
        <f t="shared" si="17"/>
        <v/>
      </c>
      <c r="M128" s="32" t="str">
        <f t="shared" si="22"/>
        <v/>
      </c>
      <c r="N128" s="32" t="str">
        <f t="shared" si="18"/>
        <v/>
      </c>
      <c r="O128" s="32" t="str">
        <f t="shared" si="19"/>
        <v/>
      </c>
      <c r="P128" s="32" t="str">
        <f t="shared" si="23"/>
        <v/>
      </c>
      <c r="Q128" s="33" t="str">
        <f t="shared" si="23"/>
        <v/>
      </c>
    </row>
    <row r="129" spans="2:17" x14ac:dyDescent="0.25">
      <c r="B129" s="9">
        <v>116</v>
      </c>
      <c r="C129" s="35">
        <v>39000</v>
      </c>
      <c r="D129" s="3"/>
      <c r="E129" s="9" t="str">
        <f t="shared" si="12"/>
        <v/>
      </c>
      <c r="F129" s="54" t="str">
        <f t="shared" si="21"/>
        <v/>
      </c>
      <c r="G129" s="73" t="str">
        <f t="shared" si="13"/>
        <v/>
      </c>
      <c r="H129" s="56" t="str">
        <f t="shared" si="14"/>
        <v/>
      </c>
      <c r="I129" s="57" t="str">
        <f t="shared" si="15"/>
        <v/>
      </c>
      <c r="J129" s="58" t="str">
        <f t="shared" si="16"/>
        <v/>
      </c>
      <c r="L129" s="31" t="str">
        <f t="shared" si="17"/>
        <v/>
      </c>
      <c r="M129" s="32" t="str">
        <f t="shared" si="22"/>
        <v/>
      </c>
      <c r="N129" s="32" t="str">
        <f t="shared" si="18"/>
        <v/>
      </c>
      <c r="O129" s="32" t="str">
        <f t="shared" si="19"/>
        <v/>
      </c>
      <c r="P129" s="32" t="str">
        <f t="shared" si="23"/>
        <v/>
      </c>
      <c r="Q129" s="33" t="str">
        <f t="shared" si="23"/>
        <v/>
      </c>
    </row>
    <row r="130" spans="2:17" x14ac:dyDescent="0.25">
      <c r="B130" s="9">
        <v>117</v>
      </c>
      <c r="C130" s="35">
        <v>39500</v>
      </c>
      <c r="D130" s="3"/>
      <c r="E130" s="9" t="str">
        <f t="shared" si="12"/>
        <v/>
      </c>
      <c r="F130" s="54" t="str">
        <f t="shared" si="21"/>
        <v/>
      </c>
      <c r="G130" s="73" t="str">
        <f t="shared" si="13"/>
        <v/>
      </c>
      <c r="H130" s="56" t="str">
        <f t="shared" si="14"/>
        <v/>
      </c>
      <c r="I130" s="57" t="str">
        <f t="shared" si="15"/>
        <v/>
      </c>
      <c r="J130" s="58" t="str">
        <f t="shared" si="16"/>
        <v/>
      </c>
      <c r="L130" s="31" t="str">
        <f t="shared" si="17"/>
        <v/>
      </c>
      <c r="M130" s="32" t="str">
        <f t="shared" si="22"/>
        <v/>
      </c>
      <c r="N130" s="32" t="str">
        <f t="shared" si="18"/>
        <v/>
      </c>
      <c r="O130" s="32" t="str">
        <f t="shared" si="19"/>
        <v/>
      </c>
      <c r="P130" s="32" t="str">
        <f t="shared" si="23"/>
        <v/>
      </c>
      <c r="Q130" s="33" t="str">
        <f t="shared" si="23"/>
        <v/>
      </c>
    </row>
    <row r="131" spans="2:17" x14ac:dyDescent="0.25">
      <c r="B131" s="9">
        <v>118</v>
      </c>
      <c r="C131" s="35">
        <v>40000</v>
      </c>
      <c r="D131" s="3"/>
      <c r="E131" s="9" t="str">
        <f t="shared" si="12"/>
        <v/>
      </c>
      <c r="F131" s="54" t="str">
        <f t="shared" si="21"/>
        <v/>
      </c>
      <c r="G131" s="73" t="str">
        <f t="shared" si="13"/>
        <v/>
      </c>
      <c r="H131" s="56" t="str">
        <f t="shared" si="14"/>
        <v/>
      </c>
      <c r="I131" s="57" t="str">
        <f t="shared" si="15"/>
        <v/>
      </c>
      <c r="J131" s="58" t="str">
        <f t="shared" si="16"/>
        <v/>
      </c>
      <c r="L131" s="31" t="str">
        <f t="shared" si="17"/>
        <v/>
      </c>
      <c r="M131" s="32" t="str">
        <f t="shared" si="22"/>
        <v/>
      </c>
      <c r="N131" s="32" t="str">
        <f t="shared" si="18"/>
        <v/>
      </c>
      <c r="O131" s="32" t="str">
        <f t="shared" si="19"/>
        <v/>
      </c>
      <c r="P131" s="32" t="str">
        <f t="shared" si="23"/>
        <v/>
      </c>
      <c r="Q131" s="33" t="str">
        <f t="shared" si="23"/>
        <v/>
      </c>
    </row>
    <row r="132" spans="2:17" x14ac:dyDescent="0.25">
      <c r="B132" s="9">
        <v>119</v>
      </c>
      <c r="C132" s="35">
        <v>40500</v>
      </c>
      <c r="D132" s="3"/>
      <c r="E132" s="9" t="str">
        <f t="shared" si="12"/>
        <v/>
      </c>
      <c r="F132" s="54" t="str">
        <f t="shared" si="21"/>
        <v/>
      </c>
      <c r="G132" s="73" t="str">
        <f t="shared" si="13"/>
        <v/>
      </c>
      <c r="H132" s="56" t="str">
        <f t="shared" si="14"/>
        <v/>
      </c>
      <c r="I132" s="57" t="str">
        <f t="shared" si="15"/>
        <v/>
      </c>
      <c r="J132" s="58" t="str">
        <f t="shared" si="16"/>
        <v/>
      </c>
      <c r="L132" s="31" t="str">
        <f t="shared" si="17"/>
        <v/>
      </c>
      <c r="M132" s="32" t="str">
        <f t="shared" si="22"/>
        <v/>
      </c>
      <c r="N132" s="32" t="str">
        <f t="shared" si="18"/>
        <v/>
      </c>
      <c r="O132" s="32" t="str">
        <f t="shared" si="19"/>
        <v/>
      </c>
      <c r="P132" s="32" t="str">
        <f t="shared" si="23"/>
        <v/>
      </c>
      <c r="Q132" s="33" t="str">
        <f t="shared" si="23"/>
        <v/>
      </c>
    </row>
    <row r="133" spans="2:17" x14ac:dyDescent="0.25">
      <c r="B133" s="9">
        <v>120</v>
      </c>
      <c r="C133" s="35">
        <v>41000</v>
      </c>
      <c r="D133" s="3"/>
      <c r="E133" s="9" t="str">
        <f t="shared" si="12"/>
        <v/>
      </c>
      <c r="F133" s="54" t="str">
        <f t="shared" si="21"/>
        <v/>
      </c>
      <c r="G133" s="73" t="str">
        <f t="shared" si="13"/>
        <v/>
      </c>
      <c r="H133" s="56" t="str">
        <f t="shared" si="14"/>
        <v/>
      </c>
      <c r="I133" s="57" t="str">
        <f t="shared" si="15"/>
        <v/>
      </c>
      <c r="J133" s="58" t="str">
        <f t="shared" si="16"/>
        <v/>
      </c>
      <c r="L133" s="31" t="str">
        <f t="shared" si="17"/>
        <v/>
      </c>
      <c r="M133" s="32" t="str">
        <f t="shared" si="22"/>
        <v/>
      </c>
      <c r="N133" s="32" t="str">
        <f t="shared" si="18"/>
        <v/>
      </c>
      <c r="O133" s="32" t="str">
        <f t="shared" si="19"/>
        <v/>
      </c>
      <c r="P133" s="32" t="str">
        <f t="shared" si="23"/>
        <v/>
      </c>
      <c r="Q133" s="33" t="str">
        <f t="shared" si="23"/>
        <v/>
      </c>
    </row>
    <row r="134" spans="2:17" x14ac:dyDescent="0.25">
      <c r="B134" s="9">
        <v>121</v>
      </c>
      <c r="C134" s="35">
        <v>41500</v>
      </c>
      <c r="D134" s="3"/>
      <c r="E134" s="9" t="str">
        <f t="shared" si="12"/>
        <v/>
      </c>
      <c r="F134" s="54" t="str">
        <f t="shared" si="21"/>
        <v/>
      </c>
      <c r="G134" s="73" t="str">
        <f t="shared" si="13"/>
        <v/>
      </c>
      <c r="H134" s="56" t="str">
        <f t="shared" si="14"/>
        <v/>
      </c>
      <c r="I134" s="57" t="str">
        <f t="shared" si="15"/>
        <v/>
      </c>
      <c r="J134" s="58" t="str">
        <f t="shared" si="16"/>
        <v/>
      </c>
      <c r="L134" s="31" t="str">
        <f t="shared" si="17"/>
        <v/>
      </c>
      <c r="M134" s="32" t="str">
        <f t="shared" si="22"/>
        <v/>
      </c>
      <c r="N134" s="32" t="str">
        <f t="shared" si="18"/>
        <v/>
      </c>
      <c r="O134" s="32" t="str">
        <f t="shared" si="19"/>
        <v/>
      </c>
      <c r="P134" s="32" t="str">
        <f t="shared" si="23"/>
        <v/>
      </c>
      <c r="Q134" s="33" t="str">
        <f t="shared" si="23"/>
        <v/>
      </c>
    </row>
    <row r="135" spans="2:17" x14ac:dyDescent="0.25">
      <c r="B135" s="9">
        <v>122</v>
      </c>
      <c r="C135" s="35">
        <v>42000</v>
      </c>
      <c r="D135" s="3"/>
      <c r="E135" s="9" t="str">
        <f t="shared" si="12"/>
        <v/>
      </c>
      <c r="F135" s="54" t="str">
        <f t="shared" si="21"/>
        <v/>
      </c>
      <c r="G135" s="73" t="str">
        <f t="shared" si="13"/>
        <v/>
      </c>
      <c r="H135" s="56" t="str">
        <f t="shared" si="14"/>
        <v/>
      </c>
      <c r="I135" s="57" t="str">
        <f t="shared" si="15"/>
        <v/>
      </c>
      <c r="J135" s="58" t="str">
        <f t="shared" si="16"/>
        <v/>
      </c>
      <c r="L135" s="31" t="str">
        <f t="shared" si="17"/>
        <v/>
      </c>
      <c r="M135" s="32" t="str">
        <f t="shared" si="22"/>
        <v/>
      </c>
      <c r="N135" s="32" t="str">
        <f t="shared" si="18"/>
        <v/>
      </c>
      <c r="O135" s="32" t="str">
        <f t="shared" si="19"/>
        <v/>
      </c>
      <c r="P135" s="32" t="str">
        <f t="shared" si="23"/>
        <v/>
      </c>
      <c r="Q135" s="33" t="str">
        <f t="shared" si="23"/>
        <v/>
      </c>
    </row>
    <row r="136" spans="2:17" x14ac:dyDescent="0.25">
      <c r="B136" s="9">
        <v>123</v>
      </c>
      <c r="C136" s="35">
        <v>42500</v>
      </c>
      <c r="D136" s="3"/>
      <c r="E136" s="9" t="str">
        <f t="shared" si="12"/>
        <v/>
      </c>
      <c r="F136" s="54" t="str">
        <f t="shared" si="21"/>
        <v/>
      </c>
      <c r="G136" s="73" t="str">
        <f t="shared" si="13"/>
        <v/>
      </c>
      <c r="H136" s="56" t="str">
        <f t="shared" si="14"/>
        <v/>
      </c>
      <c r="I136" s="57" t="str">
        <f t="shared" si="15"/>
        <v/>
      </c>
      <c r="J136" s="58" t="str">
        <f t="shared" si="16"/>
        <v/>
      </c>
      <c r="L136" s="31" t="str">
        <f t="shared" si="17"/>
        <v/>
      </c>
      <c r="M136" s="32" t="str">
        <f t="shared" si="22"/>
        <v/>
      </c>
      <c r="N136" s="32" t="str">
        <f t="shared" si="18"/>
        <v/>
      </c>
      <c r="O136" s="32" t="str">
        <f t="shared" si="19"/>
        <v/>
      </c>
      <c r="P136" s="32" t="str">
        <f t="shared" si="23"/>
        <v/>
      </c>
      <c r="Q136" s="33" t="str">
        <f t="shared" si="23"/>
        <v/>
      </c>
    </row>
    <row r="137" spans="2:17" x14ac:dyDescent="0.25">
      <c r="B137" s="9">
        <v>124</v>
      </c>
      <c r="C137" s="35">
        <v>43000</v>
      </c>
      <c r="D137" s="3"/>
      <c r="E137" s="9" t="str">
        <f t="shared" si="12"/>
        <v/>
      </c>
      <c r="F137" s="54" t="str">
        <f t="shared" si="21"/>
        <v/>
      </c>
      <c r="G137" s="73" t="str">
        <f t="shared" si="13"/>
        <v/>
      </c>
      <c r="H137" s="56" t="str">
        <f t="shared" si="14"/>
        <v/>
      </c>
      <c r="I137" s="57" t="str">
        <f t="shared" si="15"/>
        <v/>
      </c>
      <c r="J137" s="58" t="str">
        <f t="shared" si="16"/>
        <v/>
      </c>
      <c r="L137" s="31" t="str">
        <f t="shared" si="17"/>
        <v/>
      </c>
      <c r="M137" s="32" t="str">
        <f t="shared" si="22"/>
        <v/>
      </c>
      <c r="N137" s="32" t="str">
        <f t="shared" si="18"/>
        <v/>
      </c>
      <c r="O137" s="32" t="str">
        <f t="shared" si="19"/>
        <v/>
      </c>
      <c r="P137" s="32" t="str">
        <f t="shared" si="23"/>
        <v/>
      </c>
      <c r="Q137" s="33" t="str">
        <f t="shared" si="23"/>
        <v/>
      </c>
    </row>
    <row r="138" spans="2:17" x14ac:dyDescent="0.25">
      <c r="B138" s="9">
        <v>125</v>
      </c>
      <c r="C138" s="35">
        <v>43500</v>
      </c>
      <c r="D138" s="3"/>
      <c r="E138" s="9" t="str">
        <f t="shared" si="12"/>
        <v/>
      </c>
      <c r="F138" s="54" t="str">
        <f t="shared" si="21"/>
        <v/>
      </c>
      <c r="G138" s="73" t="str">
        <f t="shared" si="13"/>
        <v/>
      </c>
      <c r="H138" s="56" t="str">
        <f t="shared" si="14"/>
        <v/>
      </c>
      <c r="I138" s="57" t="str">
        <f t="shared" si="15"/>
        <v/>
      </c>
      <c r="J138" s="58" t="str">
        <f t="shared" si="16"/>
        <v/>
      </c>
      <c r="L138" s="31" t="str">
        <f t="shared" si="17"/>
        <v/>
      </c>
      <c r="M138" s="32" t="str">
        <f t="shared" si="22"/>
        <v/>
      </c>
      <c r="N138" s="32" t="str">
        <f t="shared" si="18"/>
        <v/>
      </c>
      <c r="O138" s="32" t="str">
        <f t="shared" si="19"/>
        <v/>
      </c>
      <c r="P138" s="32" t="str">
        <f t="shared" si="23"/>
        <v/>
      </c>
      <c r="Q138" s="33" t="str">
        <f t="shared" si="23"/>
        <v/>
      </c>
    </row>
    <row r="139" spans="2:17" x14ac:dyDescent="0.25">
      <c r="B139" s="9">
        <v>126</v>
      </c>
      <c r="C139" s="35">
        <v>44000</v>
      </c>
      <c r="D139" s="3"/>
      <c r="E139" s="9" t="str">
        <f t="shared" si="12"/>
        <v/>
      </c>
      <c r="F139" s="54" t="str">
        <f t="shared" si="21"/>
        <v/>
      </c>
      <c r="G139" s="73" t="str">
        <f t="shared" si="13"/>
        <v/>
      </c>
      <c r="H139" s="56" t="str">
        <f t="shared" si="14"/>
        <v/>
      </c>
      <c r="I139" s="57" t="str">
        <f t="shared" si="15"/>
        <v/>
      </c>
      <c r="J139" s="58" t="str">
        <f t="shared" si="16"/>
        <v/>
      </c>
      <c r="L139" s="31" t="str">
        <f t="shared" si="17"/>
        <v/>
      </c>
      <c r="M139" s="32" t="str">
        <f t="shared" si="22"/>
        <v/>
      </c>
      <c r="N139" s="32" t="str">
        <f t="shared" si="18"/>
        <v/>
      </c>
      <c r="O139" s="32" t="str">
        <f t="shared" si="19"/>
        <v/>
      </c>
      <c r="P139" s="32" t="str">
        <f t="shared" si="23"/>
        <v/>
      </c>
      <c r="Q139" s="33" t="str">
        <f t="shared" si="23"/>
        <v/>
      </c>
    </row>
    <row r="140" spans="2:17" x14ac:dyDescent="0.25">
      <c r="B140" s="9">
        <v>127</v>
      </c>
      <c r="C140" s="35">
        <v>44500</v>
      </c>
      <c r="D140" s="3"/>
      <c r="E140" s="9" t="str">
        <f t="shared" si="12"/>
        <v/>
      </c>
      <c r="F140" s="54" t="str">
        <f t="shared" si="21"/>
        <v/>
      </c>
      <c r="G140" s="73" t="str">
        <f t="shared" si="13"/>
        <v/>
      </c>
      <c r="H140" s="56" t="str">
        <f t="shared" si="14"/>
        <v/>
      </c>
      <c r="I140" s="57" t="str">
        <f t="shared" si="15"/>
        <v/>
      </c>
      <c r="J140" s="58" t="str">
        <f t="shared" si="16"/>
        <v/>
      </c>
      <c r="L140" s="31" t="str">
        <f t="shared" si="17"/>
        <v/>
      </c>
      <c r="M140" s="32" t="str">
        <f t="shared" si="22"/>
        <v/>
      </c>
      <c r="N140" s="32" t="str">
        <f t="shared" si="18"/>
        <v/>
      </c>
      <c r="O140" s="32" t="str">
        <f t="shared" si="19"/>
        <v/>
      </c>
      <c r="P140" s="32" t="str">
        <f t="shared" si="23"/>
        <v/>
      </c>
      <c r="Q140" s="33" t="str">
        <f t="shared" si="23"/>
        <v/>
      </c>
    </row>
    <row r="141" spans="2:17" x14ac:dyDescent="0.25">
      <c r="B141" s="9">
        <v>128</v>
      </c>
      <c r="C141" s="35">
        <v>45000</v>
      </c>
      <c r="D141" s="3"/>
      <c r="E141" s="9" t="str">
        <f t="shared" si="12"/>
        <v/>
      </c>
      <c r="F141" s="54" t="str">
        <f t="shared" si="21"/>
        <v/>
      </c>
      <c r="G141" s="73" t="str">
        <f t="shared" si="13"/>
        <v/>
      </c>
      <c r="H141" s="56" t="str">
        <f t="shared" si="14"/>
        <v/>
      </c>
      <c r="I141" s="57" t="str">
        <f t="shared" si="15"/>
        <v/>
      </c>
      <c r="J141" s="58" t="str">
        <f t="shared" si="16"/>
        <v/>
      </c>
      <c r="L141" s="31" t="str">
        <f t="shared" si="17"/>
        <v/>
      </c>
      <c r="M141" s="32" t="str">
        <f t="shared" si="22"/>
        <v/>
      </c>
      <c r="N141" s="32" t="str">
        <f t="shared" si="18"/>
        <v/>
      </c>
      <c r="O141" s="32" t="str">
        <f t="shared" si="19"/>
        <v/>
      </c>
      <c r="P141" s="32" t="str">
        <f t="shared" si="23"/>
        <v/>
      </c>
      <c r="Q141" s="33" t="str">
        <f t="shared" si="23"/>
        <v/>
      </c>
    </row>
    <row r="142" spans="2:17" x14ac:dyDescent="0.25">
      <c r="B142" s="9">
        <v>129</v>
      </c>
      <c r="C142" s="35">
        <v>45500</v>
      </c>
      <c r="D142" s="3"/>
      <c r="E142" s="9" t="str">
        <f t="shared" ref="E142:E203" si="24">IF(L142="","",ROUND(12*C$7/(2*H$7^2+2*H$6*H$7-H$6^2)*L142*1000000,0))</f>
        <v/>
      </c>
      <c r="F142" s="54" t="str">
        <f t="shared" si="21"/>
        <v/>
      </c>
      <c r="G142" s="73" t="str">
        <f t="shared" ref="G142:G203" si="25">IF(L142="","",ROUND(1.5*((N142-O142)*1000*H$7)/(C$6*C$7^2),3))</f>
        <v/>
      </c>
      <c r="H142" s="56" t="str">
        <f t="shared" ref="H142:H203" si="26">IF(L142="","",ROUND(1.5*((N142/2-O142)*1000*H$7)/(C$6*C$7^2),3))</f>
        <v/>
      </c>
      <c r="I142" s="57" t="str">
        <f t="shared" ref="I142:I203" si="27">IF(L142="","",IF(P142&lt;=0,"foute meting",ROUND(0.000001*V$4*SQRT((1000000*Q142)^2+(1000000*P142+V$5*(2*PI()*H$5)^2)^2),0)))</f>
        <v/>
      </c>
      <c r="J142" s="58" t="str">
        <f t="shared" ref="J142:J203" si="28">IF(L142="","",ROUND(ATAN(Q142/P142)/PI()*180,1))</f>
        <v/>
      </c>
      <c r="L142" s="31" t="str">
        <f t="shared" ref="L142:L203" si="29">IF(AG144&lt;=0,"",AG144)</f>
        <v/>
      </c>
      <c r="M142" s="32" t="str">
        <f t="shared" si="22"/>
        <v/>
      </c>
      <c r="N142" s="32" t="str">
        <f t="shared" ref="N142:N203" si="30">IF(AI144="","",AI144)</f>
        <v/>
      </c>
      <c r="O142" s="32" t="str">
        <f t="shared" ref="O142:O203" si="31">IF(AH144="","",AH144)</f>
        <v/>
      </c>
      <c r="P142" s="32" t="str">
        <f t="shared" ref="P142:Q173" si="32">IF(AJ144="","",AJ144)</f>
        <v/>
      </c>
      <c r="Q142" s="33" t="str">
        <f t="shared" si="32"/>
        <v/>
      </c>
    </row>
    <row r="143" spans="2:17" x14ac:dyDescent="0.25">
      <c r="B143" s="9">
        <v>130</v>
      </c>
      <c r="C143" s="35">
        <v>46000</v>
      </c>
      <c r="D143" s="3"/>
      <c r="E143" s="9" t="str">
        <f t="shared" si="24"/>
        <v/>
      </c>
      <c r="F143" s="54" t="str">
        <f t="shared" ref="F143:F203" si="33">IF(L143="","",ABS(ROUND(12*C$7/(2*(H$7/1000)^2+2*(H$6/1000)*(H$7/1000)-(H$6/1000)^2)*(M143-M$14)*1,0)))</f>
        <v/>
      </c>
      <c r="G143" s="73" t="str">
        <f t="shared" si="25"/>
        <v/>
      </c>
      <c r="H143" s="56" t="str">
        <f t="shared" si="26"/>
        <v/>
      </c>
      <c r="I143" s="57" t="str">
        <f t="shared" si="27"/>
        <v/>
      </c>
      <c r="J143" s="58" t="str">
        <f t="shared" si="28"/>
        <v/>
      </c>
      <c r="L143" s="31" t="str">
        <f t="shared" si="29"/>
        <v/>
      </c>
      <c r="M143" s="32" t="str">
        <f t="shared" ref="M143:M203" si="34">IF(AG145="","",AG145/2-AE145)</f>
        <v/>
      </c>
      <c r="N143" s="32" t="str">
        <f t="shared" si="30"/>
        <v/>
      </c>
      <c r="O143" s="32" t="str">
        <f t="shared" si="31"/>
        <v/>
      </c>
      <c r="P143" s="32" t="str">
        <f t="shared" si="32"/>
        <v/>
      </c>
      <c r="Q143" s="33" t="str">
        <f t="shared" si="32"/>
        <v/>
      </c>
    </row>
    <row r="144" spans="2:17" x14ac:dyDescent="0.25">
      <c r="B144" s="9">
        <v>131</v>
      </c>
      <c r="C144" s="35">
        <v>46500</v>
      </c>
      <c r="D144" s="3"/>
      <c r="E144" s="9" t="str">
        <f t="shared" si="24"/>
        <v/>
      </c>
      <c r="F144" s="54" t="str">
        <f t="shared" si="33"/>
        <v/>
      </c>
      <c r="G144" s="73" t="str">
        <f t="shared" si="25"/>
        <v/>
      </c>
      <c r="H144" s="56" t="str">
        <f t="shared" si="26"/>
        <v/>
      </c>
      <c r="I144" s="57" t="str">
        <f t="shared" si="27"/>
        <v/>
      </c>
      <c r="J144" s="58" t="str">
        <f t="shared" si="28"/>
        <v/>
      </c>
      <c r="L144" s="31" t="str">
        <f t="shared" si="29"/>
        <v/>
      </c>
      <c r="M144" s="32" t="str">
        <f t="shared" si="34"/>
        <v/>
      </c>
      <c r="N144" s="32" t="str">
        <f t="shared" si="30"/>
        <v/>
      </c>
      <c r="O144" s="32" t="str">
        <f t="shared" si="31"/>
        <v/>
      </c>
      <c r="P144" s="32" t="str">
        <f t="shared" si="32"/>
        <v/>
      </c>
      <c r="Q144" s="33" t="str">
        <f t="shared" si="32"/>
        <v/>
      </c>
    </row>
    <row r="145" spans="2:17" x14ac:dyDescent="0.25">
      <c r="B145" s="9">
        <v>132</v>
      </c>
      <c r="C145" s="35">
        <v>47000</v>
      </c>
      <c r="D145" s="3"/>
      <c r="E145" s="9" t="str">
        <f t="shared" si="24"/>
        <v/>
      </c>
      <c r="F145" s="54" t="str">
        <f t="shared" si="33"/>
        <v/>
      </c>
      <c r="G145" s="73" t="str">
        <f t="shared" si="25"/>
        <v/>
      </c>
      <c r="H145" s="56" t="str">
        <f t="shared" si="26"/>
        <v/>
      </c>
      <c r="I145" s="57" t="str">
        <f t="shared" si="27"/>
        <v/>
      </c>
      <c r="J145" s="58" t="str">
        <f t="shared" si="28"/>
        <v/>
      </c>
      <c r="L145" s="31" t="str">
        <f t="shared" si="29"/>
        <v/>
      </c>
      <c r="M145" s="32" t="str">
        <f t="shared" si="34"/>
        <v/>
      </c>
      <c r="N145" s="32" t="str">
        <f t="shared" si="30"/>
        <v/>
      </c>
      <c r="O145" s="32" t="str">
        <f t="shared" si="31"/>
        <v/>
      </c>
      <c r="P145" s="32" t="str">
        <f t="shared" si="32"/>
        <v/>
      </c>
      <c r="Q145" s="33" t="str">
        <f t="shared" si="32"/>
        <v/>
      </c>
    </row>
    <row r="146" spans="2:17" x14ac:dyDescent="0.25">
      <c r="B146" s="9">
        <v>133</v>
      </c>
      <c r="C146" s="35">
        <v>47500</v>
      </c>
      <c r="D146" s="3"/>
      <c r="E146" s="9" t="str">
        <f t="shared" si="24"/>
        <v/>
      </c>
      <c r="F146" s="54" t="str">
        <f t="shared" si="33"/>
        <v/>
      </c>
      <c r="G146" s="73" t="str">
        <f t="shared" si="25"/>
        <v/>
      </c>
      <c r="H146" s="56" t="str">
        <f t="shared" si="26"/>
        <v/>
      </c>
      <c r="I146" s="57" t="str">
        <f t="shared" si="27"/>
        <v/>
      </c>
      <c r="J146" s="58" t="str">
        <f t="shared" si="28"/>
        <v/>
      </c>
      <c r="L146" s="31" t="str">
        <f t="shared" si="29"/>
        <v/>
      </c>
      <c r="M146" s="32" t="str">
        <f t="shared" si="34"/>
        <v/>
      </c>
      <c r="N146" s="32" t="str">
        <f t="shared" si="30"/>
        <v/>
      </c>
      <c r="O146" s="32" t="str">
        <f t="shared" si="31"/>
        <v/>
      </c>
      <c r="P146" s="32" t="str">
        <f t="shared" si="32"/>
        <v/>
      </c>
      <c r="Q146" s="33" t="str">
        <f t="shared" si="32"/>
        <v/>
      </c>
    </row>
    <row r="147" spans="2:17" x14ac:dyDescent="0.25">
      <c r="B147" s="9">
        <v>134</v>
      </c>
      <c r="C147" s="35">
        <v>48000</v>
      </c>
      <c r="D147" s="3"/>
      <c r="E147" s="9" t="str">
        <f t="shared" si="24"/>
        <v/>
      </c>
      <c r="F147" s="54" t="str">
        <f t="shared" si="33"/>
        <v/>
      </c>
      <c r="G147" s="73" t="str">
        <f t="shared" si="25"/>
        <v/>
      </c>
      <c r="H147" s="56" t="str">
        <f t="shared" si="26"/>
        <v/>
      </c>
      <c r="I147" s="57" t="str">
        <f t="shared" si="27"/>
        <v/>
      </c>
      <c r="J147" s="58" t="str">
        <f t="shared" si="28"/>
        <v/>
      </c>
      <c r="L147" s="31" t="str">
        <f t="shared" si="29"/>
        <v/>
      </c>
      <c r="M147" s="32" t="str">
        <f t="shared" si="34"/>
        <v/>
      </c>
      <c r="N147" s="32" t="str">
        <f t="shared" si="30"/>
        <v/>
      </c>
      <c r="O147" s="32" t="str">
        <f t="shared" si="31"/>
        <v/>
      </c>
      <c r="P147" s="32" t="str">
        <f t="shared" si="32"/>
        <v/>
      </c>
      <c r="Q147" s="33" t="str">
        <f t="shared" si="32"/>
        <v/>
      </c>
    </row>
    <row r="148" spans="2:17" x14ac:dyDescent="0.25">
      <c r="B148" s="9">
        <v>135</v>
      </c>
      <c r="C148" s="35">
        <v>48500</v>
      </c>
      <c r="D148" s="3"/>
      <c r="E148" s="9" t="str">
        <f t="shared" si="24"/>
        <v/>
      </c>
      <c r="F148" s="54" t="str">
        <f t="shared" si="33"/>
        <v/>
      </c>
      <c r="G148" s="73" t="str">
        <f t="shared" si="25"/>
        <v/>
      </c>
      <c r="H148" s="56" t="str">
        <f t="shared" si="26"/>
        <v/>
      </c>
      <c r="I148" s="57" t="str">
        <f t="shared" si="27"/>
        <v/>
      </c>
      <c r="J148" s="58" t="str">
        <f t="shared" si="28"/>
        <v/>
      </c>
      <c r="L148" s="31" t="str">
        <f t="shared" si="29"/>
        <v/>
      </c>
      <c r="M148" s="32" t="str">
        <f t="shared" si="34"/>
        <v/>
      </c>
      <c r="N148" s="32" t="str">
        <f t="shared" si="30"/>
        <v/>
      </c>
      <c r="O148" s="32" t="str">
        <f t="shared" si="31"/>
        <v/>
      </c>
      <c r="P148" s="32" t="str">
        <f t="shared" si="32"/>
        <v/>
      </c>
      <c r="Q148" s="33" t="str">
        <f t="shared" si="32"/>
        <v/>
      </c>
    </row>
    <row r="149" spans="2:17" x14ac:dyDescent="0.25">
      <c r="B149" s="9">
        <v>136</v>
      </c>
      <c r="C149" s="35">
        <v>49000</v>
      </c>
      <c r="D149" s="3"/>
      <c r="E149" s="9" t="str">
        <f t="shared" si="24"/>
        <v/>
      </c>
      <c r="F149" s="54" t="str">
        <f t="shared" si="33"/>
        <v/>
      </c>
      <c r="G149" s="73" t="str">
        <f t="shared" si="25"/>
        <v/>
      </c>
      <c r="H149" s="56" t="str">
        <f t="shared" si="26"/>
        <v/>
      </c>
      <c r="I149" s="57" t="str">
        <f t="shared" si="27"/>
        <v/>
      </c>
      <c r="J149" s="58" t="str">
        <f t="shared" si="28"/>
        <v/>
      </c>
      <c r="L149" s="31" t="str">
        <f t="shared" si="29"/>
        <v/>
      </c>
      <c r="M149" s="32" t="str">
        <f t="shared" si="34"/>
        <v/>
      </c>
      <c r="N149" s="32" t="str">
        <f t="shared" si="30"/>
        <v/>
      </c>
      <c r="O149" s="32" t="str">
        <f t="shared" si="31"/>
        <v/>
      </c>
      <c r="P149" s="32" t="str">
        <f t="shared" si="32"/>
        <v/>
      </c>
      <c r="Q149" s="33" t="str">
        <f t="shared" si="32"/>
        <v/>
      </c>
    </row>
    <row r="150" spans="2:17" x14ac:dyDescent="0.25">
      <c r="B150" s="9">
        <v>137</v>
      </c>
      <c r="C150" s="35">
        <v>49500</v>
      </c>
      <c r="D150" s="3"/>
      <c r="E150" s="9" t="str">
        <f t="shared" si="24"/>
        <v/>
      </c>
      <c r="F150" s="54" t="str">
        <f t="shared" si="33"/>
        <v/>
      </c>
      <c r="G150" s="73" t="str">
        <f t="shared" si="25"/>
        <v/>
      </c>
      <c r="H150" s="56" t="str">
        <f t="shared" si="26"/>
        <v/>
      </c>
      <c r="I150" s="57" t="str">
        <f t="shared" si="27"/>
        <v/>
      </c>
      <c r="J150" s="58" t="str">
        <f t="shared" si="28"/>
        <v/>
      </c>
      <c r="L150" s="31" t="str">
        <f t="shared" si="29"/>
        <v/>
      </c>
      <c r="M150" s="32" t="str">
        <f t="shared" si="34"/>
        <v/>
      </c>
      <c r="N150" s="32" t="str">
        <f t="shared" si="30"/>
        <v/>
      </c>
      <c r="O150" s="32" t="str">
        <f t="shared" si="31"/>
        <v/>
      </c>
      <c r="P150" s="32" t="str">
        <f t="shared" si="32"/>
        <v/>
      </c>
      <c r="Q150" s="33" t="str">
        <f t="shared" si="32"/>
        <v/>
      </c>
    </row>
    <row r="151" spans="2:17" x14ac:dyDescent="0.25">
      <c r="B151" s="9">
        <v>138</v>
      </c>
      <c r="C151" s="35">
        <v>50000</v>
      </c>
      <c r="D151" s="3"/>
      <c r="E151" s="9" t="str">
        <f t="shared" si="24"/>
        <v/>
      </c>
      <c r="F151" s="54" t="str">
        <f t="shared" si="33"/>
        <v/>
      </c>
      <c r="G151" s="73" t="str">
        <f t="shared" si="25"/>
        <v/>
      </c>
      <c r="H151" s="56" t="str">
        <f t="shared" si="26"/>
        <v/>
      </c>
      <c r="I151" s="57" t="str">
        <f t="shared" si="27"/>
        <v/>
      </c>
      <c r="J151" s="58" t="str">
        <f t="shared" si="28"/>
        <v/>
      </c>
      <c r="L151" s="31" t="str">
        <f t="shared" si="29"/>
        <v/>
      </c>
      <c r="M151" s="32" t="str">
        <f t="shared" si="34"/>
        <v/>
      </c>
      <c r="N151" s="32" t="str">
        <f t="shared" si="30"/>
        <v/>
      </c>
      <c r="O151" s="32" t="str">
        <f t="shared" si="31"/>
        <v/>
      </c>
      <c r="P151" s="32" t="str">
        <f t="shared" si="32"/>
        <v/>
      </c>
      <c r="Q151" s="33" t="str">
        <f t="shared" si="32"/>
        <v/>
      </c>
    </row>
    <row r="152" spans="2:17" x14ac:dyDescent="0.25">
      <c r="B152" s="9">
        <v>139</v>
      </c>
      <c r="C152" s="35">
        <v>51000</v>
      </c>
      <c r="D152" s="3"/>
      <c r="E152" s="9" t="str">
        <f t="shared" si="24"/>
        <v/>
      </c>
      <c r="F152" s="54" t="str">
        <f t="shared" si="33"/>
        <v/>
      </c>
      <c r="G152" s="73" t="str">
        <f t="shared" si="25"/>
        <v/>
      </c>
      <c r="H152" s="56" t="str">
        <f t="shared" si="26"/>
        <v/>
      </c>
      <c r="I152" s="57" t="str">
        <f t="shared" si="27"/>
        <v/>
      </c>
      <c r="J152" s="58" t="str">
        <f t="shared" si="28"/>
        <v/>
      </c>
      <c r="L152" s="31" t="str">
        <f t="shared" si="29"/>
        <v/>
      </c>
      <c r="M152" s="32" t="str">
        <f t="shared" si="34"/>
        <v/>
      </c>
      <c r="N152" s="32" t="str">
        <f t="shared" si="30"/>
        <v/>
      </c>
      <c r="O152" s="32" t="str">
        <f t="shared" si="31"/>
        <v/>
      </c>
      <c r="P152" s="32" t="str">
        <f t="shared" si="32"/>
        <v/>
      </c>
      <c r="Q152" s="33" t="str">
        <f t="shared" si="32"/>
        <v/>
      </c>
    </row>
    <row r="153" spans="2:17" x14ac:dyDescent="0.25">
      <c r="B153" s="9">
        <v>140</v>
      </c>
      <c r="C153" s="35">
        <v>52000</v>
      </c>
      <c r="D153" s="3"/>
      <c r="E153" s="9" t="str">
        <f t="shared" si="24"/>
        <v/>
      </c>
      <c r="F153" s="54" t="str">
        <f t="shared" si="33"/>
        <v/>
      </c>
      <c r="G153" s="73" t="str">
        <f t="shared" si="25"/>
        <v/>
      </c>
      <c r="H153" s="56" t="str">
        <f t="shared" si="26"/>
        <v/>
      </c>
      <c r="I153" s="57" t="str">
        <f t="shared" si="27"/>
        <v/>
      </c>
      <c r="J153" s="58" t="str">
        <f t="shared" si="28"/>
        <v/>
      </c>
      <c r="L153" s="31" t="str">
        <f t="shared" si="29"/>
        <v/>
      </c>
      <c r="M153" s="32" t="str">
        <f t="shared" si="34"/>
        <v/>
      </c>
      <c r="N153" s="32" t="str">
        <f t="shared" si="30"/>
        <v/>
      </c>
      <c r="O153" s="32" t="str">
        <f t="shared" si="31"/>
        <v/>
      </c>
      <c r="P153" s="32" t="str">
        <f t="shared" si="32"/>
        <v/>
      </c>
      <c r="Q153" s="33" t="str">
        <f t="shared" si="32"/>
        <v/>
      </c>
    </row>
    <row r="154" spans="2:17" x14ac:dyDescent="0.25">
      <c r="B154" s="9">
        <v>141</v>
      </c>
      <c r="C154" s="35">
        <v>53000</v>
      </c>
      <c r="D154" s="3"/>
      <c r="E154" s="9" t="str">
        <f t="shared" si="24"/>
        <v/>
      </c>
      <c r="F154" s="54" t="str">
        <f t="shared" si="33"/>
        <v/>
      </c>
      <c r="G154" s="73" t="str">
        <f t="shared" si="25"/>
        <v/>
      </c>
      <c r="H154" s="56" t="str">
        <f t="shared" si="26"/>
        <v/>
      </c>
      <c r="I154" s="57" t="str">
        <f t="shared" si="27"/>
        <v/>
      </c>
      <c r="J154" s="58" t="str">
        <f t="shared" si="28"/>
        <v/>
      </c>
      <c r="L154" s="31" t="str">
        <f t="shared" si="29"/>
        <v/>
      </c>
      <c r="M154" s="32" t="str">
        <f t="shared" si="34"/>
        <v/>
      </c>
      <c r="N154" s="32" t="str">
        <f t="shared" si="30"/>
        <v/>
      </c>
      <c r="O154" s="32" t="str">
        <f t="shared" si="31"/>
        <v/>
      </c>
      <c r="P154" s="32" t="str">
        <f t="shared" si="32"/>
        <v/>
      </c>
      <c r="Q154" s="33" t="str">
        <f t="shared" si="32"/>
        <v/>
      </c>
    </row>
    <row r="155" spans="2:17" x14ac:dyDescent="0.25">
      <c r="B155" s="9">
        <v>142</v>
      </c>
      <c r="C155" s="35">
        <v>54000</v>
      </c>
      <c r="D155" s="3"/>
      <c r="E155" s="9" t="str">
        <f t="shared" si="24"/>
        <v/>
      </c>
      <c r="F155" s="54" t="str">
        <f t="shared" si="33"/>
        <v/>
      </c>
      <c r="G155" s="73" t="str">
        <f t="shared" si="25"/>
        <v/>
      </c>
      <c r="H155" s="56" t="str">
        <f t="shared" si="26"/>
        <v/>
      </c>
      <c r="I155" s="57" t="str">
        <f t="shared" si="27"/>
        <v/>
      </c>
      <c r="J155" s="58" t="str">
        <f t="shared" si="28"/>
        <v/>
      </c>
      <c r="L155" s="31" t="str">
        <f t="shared" si="29"/>
        <v/>
      </c>
      <c r="M155" s="32" t="str">
        <f t="shared" si="34"/>
        <v/>
      </c>
      <c r="N155" s="32" t="str">
        <f t="shared" si="30"/>
        <v/>
      </c>
      <c r="O155" s="32" t="str">
        <f t="shared" si="31"/>
        <v/>
      </c>
      <c r="P155" s="32" t="str">
        <f t="shared" si="32"/>
        <v/>
      </c>
      <c r="Q155" s="33" t="str">
        <f t="shared" si="32"/>
        <v/>
      </c>
    </row>
    <row r="156" spans="2:17" x14ac:dyDescent="0.25">
      <c r="B156" s="9">
        <v>143</v>
      </c>
      <c r="C156" s="35">
        <v>55000</v>
      </c>
      <c r="D156" s="3"/>
      <c r="E156" s="9" t="str">
        <f t="shared" si="24"/>
        <v/>
      </c>
      <c r="F156" s="54" t="str">
        <f t="shared" si="33"/>
        <v/>
      </c>
      <c r="G156" s="73" t="str">
        <f t="shared" si="25"/>
        <v/>
      </c>
      <c r="H156" s="56" t="str">
        <f t="shared" si="26"/>
        <v/>
      </c>
      <c r="I156" s="57" t="str">
        <f t="shared" si="27"/>
        <v/>
      </c>
      <c r="J156" s="58" t="str">
        <f t="shared" si="28"/>
        <v/>
      </c>
      <c r="L156" s="31" t="str">
        <f t="shared" si="29"/>
        <v/>
      </c>
      <c r="M156" s="32" t="str">
        <f t="shared" si="34"/>
        <v/>
      </c>
      <c r="N156" s="32" t="str">
        <f t="shared" si="30"/>
        <v/>
      </c>
      <c r="O156" s="32" t="str">
        <f t="shared" si="31"/>
        <v/>
      </c>
      <c r="P156" s="32" t="str">
        <f t="shared" si="32"/>
        <v/>
      </c>
      <c r="Q156" s="33" t="str">
        <f t="shared" si="32"/>
        <v/>
      </c>
    </row>
    <row r="157" spans="2:17" x14ac:dyDescent="0.25">
      <c r="B157" s="9">
        <v>144</v>
      </c>
      <c r="C157" s="35">
        <v>56000</v>
      </c>
      <c r="D157" s="3"/>
      <c r="E157" s="9" t="str">
        <f t="shared" si="24"/>
        <v/>
      </c>
      <c r="F157" s="54" t="str">
        <f t="shared" si="33"/>
        <v/>
      </c>
      <c r="G157" s="73" t="str">
        <f t="shared" si="25"/>
        <v/>
      </c>
      <c r="H157" s="56" t="str">
        <f t="shared" si="26"/>
        <v/>
      </c>
      <c r="I157" s="57" t="str">
        <f t="shared" si="27"/>
        <v/>
      </c>
      <c r="J157" s="58" t="str">
        <f t="shared" si="28"/>
        <v/>
      </c>
      <c r="L157" s="31" t="str">
        <f t="shared" si="29"/>
        <v/>
      </c>
      <c r="M157" s="32" t="str">
        <f t="shared" si="34"/>
        <v/>
      </c>
      <c r="N157" s="32" t="str">
        <f t="shared" si="30"/>
        <v/>
      </c>
      <c r="O157" s="32" t="str">
        <f t="shared" si="31"/>
        <v/>
      </c>
      <c r="P157" s="32" t="str">
        <f t="shared" si="32"/>
        <v/>
      </c>
      <c r="Q157" s="33" t="str">
        <f t="shared" si="32"/>
        <v/>
      </c>
    </row>
    <row r="158" spans="2:17" x14ac:dyDescent="0.25">
      <c r="B158" s="9">
        <v>145</v>
      </c>
      <c r="C158" s="35">
        <v>57000</v>
      </c>
      <c r="D158" s="3"/>
      <c r="E158" s="9" t="str">
        <f t="shared" si="24"/>
        <v/>
      </c>
      <c r="F158" s="54" t="str">
        <f t="shared" si="33"/>
        <v/>
      </c>
      <c r="G158" s="73" t="str">
        <f t="shared" si="25"/>
        <v/>
      </c>
      <c r="H158" s="56" t="str">
        <f t="shared" si="26"/>
        <v/>
      </c>
      <c r="I158" s="57" t="str">
        <f t="shared" si="27"/>
        <v/>
      </c>
      <c r="J158" s="58" t="str">
        <f t="shared" si="28"/>
        <v/>
      </c>
      <c r="L158" s="31" t="str">
        <f t="shared" si="29"/>
        <v/>
      </c>
      <c r="M158" s="32" t="str">
        <f t="shared" si="34"/>
        <v/>
      </c>
      <c r="N158" s="32" t="str">
        <f t="shared" si="30"/>
        <v/>
      </c>
      <c r="O158" s="32" t="str">
        <f t="shared" si="31"/>
        <v/>
      </c>
      <c r="P158" s="32" t="str">
        <f t="shared" si="32"/>
        <v/>
      </c>
      <c r="Q158" s="33" t="str">
        <f t="shared" si="32"/>
        <v/>
      </c>
    </row>
    <row r="159" spans="2:17" x14ac:dyDescent="0.25">
      <c r="B159" s="9">
        <v>146</v>
      </c>
      <c r="C159" s="35">
        <v>58000</v>
      </c>
      <c r="D159" s="3"/>
      <c r="E159" s="9" t="str">
        <f t="shared" si="24"/>
        <v/>
      </c>
      <c r="F159" s="54" t="str">
        <f t="shared" si="33"/>
        <v/>
      </c>
      <c r="G159" s="73" t="str">
        <f t="shared" si="25"/>
        <v/>
      </c>
      <c r="H159" s="56" t="str">
        <f t="shared" si="26"/>
        <v/>
      </c>
      <c r="I159" s="57" t="str">
        <f t="shared" si="27"/>
        <v/>
      </c>
      <c r="J159" s="58" t="str">
        <f t="shared" si="28"/>
        <v/>
      </c>
      <c r="L159" s="31" t="str">
        <f t="shared" si="29"/>
        <v/>
      </c>
      <c r="M159" s="32" t="str">
        <f t="shared" si="34"/>
        <v/>
      </c>
      <c r="N159" s="32" t="str">
        <f t="shared" si="30"/>
        <v/>
      </c>
      <c r="O159" s="32" t="str">
        <f t="shared" si="31"/>
        <v/>
      </c>
      <c r="P159" s="32" t="str">
        <f t="shared" si="32"/>
        <v/>
      </c>
      <c r="Q159" s="33" t="str">
        <f t="shared" si="32"/>
        <v/>
      </c>
    </row>
    <row r="160" spans="2:17" x14ac:dyDescent="0.25">
      <c r="B160" s="9">
        <v>147</v>
      </c>
      <c r="C160" s="35">
        <v>59000</v>
      </c>
      <c r="D160" s="3"/>
      <c r="E160" s="9" t="str">
        <f t="shared" si="24"/>
        <v/>
      </c>
      <c r="F160" s="54" t="str">
        <f t="shared" si="33"/>
        <v/>
      </c>
      <c r="G160" s="73" t="str">
        <f t="shared" si="25"/>
        <v/>
      </c>
      <c r="H160" s="56" t="str">
        <f t="shared" si="26"/>
        <v/>
      </c>
      <c r="I160" s="57" t="str">
        <f t="shared" si="27"/>
        <v/>
      </c>
      <c r="J160" s="58" t="str">
        <f t="shared" si="28"/>
        <v/>
      </c>
      <c r="L160" s="31" t="str">
        <f t="shared" si="29"/>
        <v/>
      </c>
      <c r="M160" s="32" t="str">
        <f t="shared" si="34"/>
        <v/>
      </c>
      <c r="N160" s="32" t="str">
        <f t="shared" si="30"/>
        <v/>
      </c>
      <c r="O160" s="32" t="str">
        <f t="shared" si="31"/>
        <v/>
      </c>
      <c r="P160" s="32" t="str">
        <f t="shared" si="32"/>
        <v/>
      </c>
      <c r="Q160" s="33" t="str">
        <f t="shared" si="32"/>
        <v/>
      </c>
    </row>
    <row r="161" spans="2:17" x14ac:dyDescent="0.25">
      <c r="B161" s="9">
        <v>148</v>
      </c>
      <c r="C161" s="35">
        <v>60000</v>
      </c>
      <c r="D161" s="3"/>
      <c r="E161" s="9" t="str">
        <f t="shared" si="24"/>
        <v/>
      </c>
      <c r="F161" s="54" t="str">
        <f t="shared" si="33"/>
        <v/>
      </c>
      <c r="G161" s="73" t="str">
        <f t="shared" si="25"/>
        <v/>
      </c>
      <c r="H161" s="56" t="str">
        <f t="shared" si="26"/>
        <v/>
      </c>
      <c r="I161" s="57" t="str">
        <f t="shared" si="27"/>
        <v/>
      </c>
      <c r="J161" s="58" t="str">
        <f t="shared" si="28"/>
        <v/>
      </c>
      <c r="L161" s="31" t="str">
        <f t="shared" si="29"/>
        <v/>
      </c>
      <c r="M161" s="32" t="str">
        <f t="shared" si="34"/>
        <v/>
      </c>
      <c r="N161" s="32" t="str">
        <f t="shared" si="30"/>
        <v/>
      </c>
      <c r="O161" s="32" t="str">
        <f t="shared" si="31"/>
        <v/>
      </c>
      <c r="P161" s="32" t="str">
        <f t="shared" si="32"/>
        <v/>
      </c>
      <c r="Q161" s="33" t="str">
        <f t="shared" si="32"/>
        <v/>
      </c>
    </row>
    <row r="162" spans="2:17" x14ac:dyDescent="0.25">
      <c r="B162" s="9">
        <v>149</v>
      </c>
      <c r="C162" s="35">
        <v>62000</v>
      </c>
      <c r="D162" s="3"/>
      <c r="E162" s="9" t="str">
        <f t="shared" si="24"/>
        <v/>
      </c>
      <c r="F162" s="54" t="str">
        <f t="shared" si="33"/>
        <v/>
      </c>
      <c r="G162" s="73" t="str">
        <f t="shared" si="25"/>
        <v/>
      </c>
      <c r="H162" s="56" t="str">
        <f t="shared" si="26"/>
        <v/>
      </c>
      <c r="I162" s="57" t="str">
        <f t="shared" si="27"/>
        <v/>
      </c>
      <c r="J162" s="58" t="str">
        <f t="shared" si="28"/>
        <v/>
      </c>
      <c r="L162" s="31" t="str">
        <f t="shared" si="29"/>
        <v/>
      </c>
      <c r="M162" s="32" t="str">
        <f t="shared" si="34"/>
        <v/>
      </c>
      <c r="N162" s="32" t="str">
        <f t="shared" si="30"/>
        <v/>
      </c>
      <c r="O162" s="32" t="str">
        <f t="shared" si="31"/>
        <v/>
      </c>
      <c r="P162" s="32" t="str">
        <f t="shared" si="32"/>
        <v/>
      </c>
      <c r="Q162" s="33" t="str">
        <f t="shared" si="32"/>
        <v/>
      </c>
    </row>
    <row r="163" spans="2:17" x14ac:dyDescent="0.25">
      <c r="B163" s="9">
        <v>150</v>
      </c>
      <c r="C163" s="35">
        <v>64000</v>
      </c>
      <c r="D163" s="2"/>
      <c r="E163" s="9" t="str">
        <f t="shared" si="24"/>
        <v/>
      </c>
      <c r="F163" s="54" t="str">
        <f t="shared" si="33"/>
        <v/>
      </c>
      <c r="G163" s="73" t="str">
        <f t="shared" si="25"/>
        <v/>
      </c>
      <c r="H163" s="56" t="str">
        <f t="shared" si="26"/>
        <v/>
      </c>
      <c r="I163" s="57" t="str">
        <f t="shared" si="27"/>
        <v/>
      </c>
      <c r="J163" s="58" t="str">
        <f t="shared" si="28"/>
        <v/>
      </c>
      <c r="L163" s="31" t="str">
        <f t="shared" si="29"/>
        <v/>
      </c>
      <c r="M163" s="32" t="str">
        <f t="shared" si="34"/>
        <v/>
      </c>
      <c r="N163" s="32" t="str">
        <f t="shared" si="30"/>
        <v/>
      </c>
      <c r="O163" s="32" t="str">
        <f t="shared" si="31"/>
        <v/>
      </c>
      <c r="P163" s="32" t="str">
        <f t="shared" si="32"/>
        <v/>
      </c>
      <c r="Q163" s="33" t="str">
        <f t="shared" si="32"/>
        <v/>
      </c>
    </row>
    <row r="164" spans="2:17" x14ac:dyDescent="0.25">
      <c r="B164" s="9">
        <v>151</v>
      </c>
      <c r="C164" s="35">
        <v>68000</v>
      </c>
      <c r="D164" s="2"/>
      <c r="E164" s="9" t="str">
        <f t="shared" si="24"/>
        <v/>
      </c>
      <c r="F164" s="54" t="str">
        <f t="shared" si="33"/>
        <v/>
      </c>
      <c r="G164" s="73" t="str">
        <f t="shared" si="25"/>
        <v/>
      </c>
      <c r="H164" s="56" t="str">
        <f t="shared" si="26"/>
        <v/>
      </c>
      <c r="I164" s="57" t="str">
        <f t="shared" si="27"/>
        <v/>
      </c>
      <c r="J164" s="58" t="str">
        <f t="shared" si="28"/>
        <v/>
      </c>
      <c r="L164" s="31" t="str">
        <f t="shared" si="29"/>
        <v/>
      </c>
      <c r="M164" s="32" t="str">
        <f t="shared" si="34"/>
        <v/>
      </c>
      <c r="N164" s="32" t="str">
        <f t="shared" si="30"/>
        <v/>
      </c>
      <c r="O164" s="32" t="str">
        <f t="shared" si="31"/>
        <v/>
      </c>
      <c r="P164" s="32" t="str">
        <f t="shared" si="32"/>
        <v/>
      </c>
      <c r="Q164" s="33" t="str">
        <f t="shared" si="32"/>
        <v/>
      </c>
    </row>
    <row r="165" spans="2:17" x14ac:dyDescent="0.25">
      <c r="B165" s="9">
        <v>152</v>
      </c>
      <c r="C165" s="35">
        <v>68000</v>
      </c>
      <c r="D165" s="2"/>
      <c r="E165" s="9" t="str">
        <f t="shared" si="24"/>
        <v/>
      </c>
      <c r="F165" s="54" t="str">
        <f t="shared" si="33"/>
        <v/>
      </c>
      <c r="G165" s="73" t="str">
        <f t="shared" si="25"/>
        <v/>
      </c>
      <c r="H165" s="56" t="str">
        <f t="shared" si="26"/>
        <v/>
      </c>
      <c r="I165" s="57" t="str">
        <f t="shared" si="27"/>
        <v/>
      </c>
      <c r="J165" s="58" t="str">
        <f t="shared" si="28"/>
        <v/>
      </c>
      <c r="L165" s="31" t="str">
        <f t="shared" si="29"/>
        <v/>
      </c>
      <c r="M165" s="32" t="str">
        <f t="shared" si="34"/>
        <v/>
      </c>
      <c r="N165" s="32" t="str">
        <f t="shared" si="30"/>
        <v/>
      </c>
      <c r="O165" s="32" t="str">
        <f t="shared" si="31"/>
        <v/>
      </c>
      <c r="P165" s="32" t="str">
        <f t="shared" si="32"/>
        <v/>
      </c>
      <c r="Q165" s="33" t="str">
        <f t="shared" si="32"/>
        <v/>
      </c>
    </row>
    <row r="166" spans="2:17" x14ac:dyDescent="0.25">
      <c r="B166" s="9">
        <v>153</v>
      </c>
      <c r="C166" s="35">
        <v>70000</v>
      </c>
      <c r="D166" s="2"/>
      <c r="E166" s="9" t="str">
        <f t="shared" si="24"/>
        <v/>
      </c>
      <c r="F166" s="54" t="str">
        <f t="shared" si="33"/>
        <v/>
      </c>
      <c r="G166" s="73" t="str">
        <f t="shared" si="25"/>
        <v/>
      </c>
      <c r="H166" s="56" t="str">
        <f t="shared" si="26"/>
        <v/>
      </c>
      <c r="I166" s="57" t="str">
        <f t="shared" si="27"/>
        <v/>
      </c>
      <c r="J166" s="58" t="str">
        <f t="shared" si="28"/>
        <v/>
      </c>
      <c r="L166" s="31" t="str">
        <f t="shared" si="29"/>
        <v/>
      </c>
      <c r="M166" s="32" t="str">
        <f t="shared" si="34"/>
        <v/>
      </c>
      <c r="N166" s="32" t="str">
        <f t="shared" si="30"/>
        <v/>
      </c>
      <c r="O166" s="32" t="str">
        <f t="shared" si="31"/>
        <v/>
      </c>
      <c r="P166" s="32" t="str">
        <f t="shared" si="32"/>
        <v/>
      </c>
      <c r="Q166" s="33" t="str">
        <f t="shared" si="32"/>
        <v/>
      </c>
    </row>
    <row r="167" spans="2:17" x14ac:dyDescent="0.25">
      <c r="B167" s="9">
        <v>154</v>
      </c>
      <c r="C167" s="35">
        <v>72000</v>
      </c>
      <c r="D167" s="2"/>
      <c r="E167" s="9" t="str">
        <f t="shared" si="24"/>
        <v/>
      </c>
      <c r="F167" s="54" t="str">
        <f t="shared" si="33"/>
        <v/>
      </c>
      <c r="G167" s="73" t="str">
        <f t="shared" si="25"/>
        <v/>
      </c>
      <c r="H167" s="56" t="str">
        <f t="shared" si="26"/>
        <v/>
      </c>
      <c r="I167" s="57" t="str">
        <f t="shared" si="27"/>
        <v/>
      </c>
      <c r="J167" s="58" t="str">
        <f t="shared" si="28"/>
        <v/>
      </c>
      <c r="L167" s="31" t="str">
        <f t="shared" si="29"/>
        <v/>
      </c>
      <c r="M167" s="32" t="str">
        <f t="shared" si="34"/>
        <v/>
      </c>
      <c r="N167" s="32" t="str">
        <f t="shared" si="30"/>
        <v/>
      </c>
      <c r="O167" s="32" t="str">
        <f t="shared" si="31"/>
        <v/>
      </c>
      <c r="P167" s="32" t="str">
        <f t="shared" si="32"/>
        <v/>
      </c>
      <c r="Q167" s="33" t="str">
        <f t="shared" si="32"/>
        <v/>
      </c>
    </row>
    <row r="168" spans="2:17" x14ac:dyDescent="0.25">
      <c r="B168" s="9">
        <v>155</v>
      </c>
      <c r="C168" s="35">
        <v>74000</v>
      </c>
      <c r="D168" s="2"/>
      <c r="E168" s="9" t="str">
        <f t="shared" si="24"/>
        <v/>
      </c>
      <c r="F168" s="54" t="str">
        <f t="shared" si="33"/>
        <v/>
      </c>
      <c r="G168" s="73" t="str">
        <f t="shared" si="25"/>
        <v/>
      </c>
      <c r="H168" s="56" t="str">
        <f t="shared" si="26"/>
        <v/>
      </c>
      <c r="I168" s="57" t="str">
        <f t="shared" si="27"/>
        <v/>
      </c>
      <c r="J168" s="58" t="str">
        <f t="shared" si="28"/>
        <v/>
      </c>
      <c r="L168" s="31" t="str">
        <f t="shared" si="29"/>
        <v/>
      </c>
      <c r="M168" s="32" t="str">
        <f t="shared" si="34"/>
        <v/>
      </c>
      <c r="N168" s="32" t="str">
        <f t="shared" si="30"/>
        <v/>
      </c>
      <c r="O168" s="32" t="str">
        <f t="shared" si="31"/>
        <v/>
      </c>
      <c r="P168" s="32" t="str">
        <f t="shared" si="32"/>
        <v/>
      </c>
      <c r="Q168" s="33" t="str">
        <f t="shared" si="32"/>
        <v/>
      </c>
    </row>
    <row r="169" spans="2:17" x14ac:dyDescent="0.25">
      <c r="B169" s="9">
        <v>156</v>
      </c>
      <c r="C169" s="35">
        <v>76000</v>
      </c>
      <c r="D169" s="2"/>
      <c r="E169" s="9" t="str">
        <f t="shared" si="24"/>
        <v/>
      </c>
      <c r="F169" s="54" t="str">
        <f t="shared" si="33"/>
        <v/>
      </c>
      <c r="G169" s="73" t="str">
        <f t="shared" si="25"/>
        <v/>
      </c>
      <c r="H169" s="56" t="str">
        <f t="shared" si="26"/>
        <v/>
      </c>
      <c r="I169" s="57" t="str">
        <f t="shared" si="27"/>
        <v/>
      </c>
      <c r="J169" s="58" t="str">
        <f t="shared" si="28"/>
        <v/>
      </c>
      <c r="L169" s="31" t="str">
        <f t="shared" si="29"/>
        <v/>
      </c>
      <c r="M169" s="32" t="str">
        <f t="shared" si="34"/>
        <v/>
      </c>
      <c r="N169" s="32" t="str">
        <f t="shared" si="30"/>
        <v/>
      </c>
      <c r="O169" s="32" t="str">
        <f t="shared" si="31"/>
        <v/>
      </c>
      <c r="P169" s="32" t="str">
        <f t="shared" si="32"/>
        <v/>
      </c>
      <c r="Q169" s="33" t="str">
        <f t="shared" si="32"/>
        <v/>
      </c>
    </row>
    <row r="170" spans="2:17" x14ac:dyDescent="0.25">
      <c r="B170" s="9">
        <v>157</v>
      </c>
      <c r="C170" s="35">
        <v>78000</v>
      </c>
      <c r="D170" s="2"/>
      <c r="E170" s="9" t="str">
        <f t="shared" si="24"/>
        <v/>
      </c>
      <c r="F170" s="54" t="str">
        <f t="shared" si="33"/>
        <v/>
      </c>
      <c r="G170" s="73" t="str">
        <f t="shared" si="25"/>
        <v/>
      </c>
      <c r="H170" s="56" t="str">
        <f t="shared" si="26"/>
        <v/>
      </c>
      <c r="I170" s="57" t="str">
        <f t="shared" si="27"/>
        <v/>
      </c>
      <c r="J170" s="58" t="str">
        <f t="shared" si="28"/>
        <v/>
      </c>
      <c r="L170" s="31" t="str">
        <f t="shared" si="29"/>
        <v/>
      </c>
      <c r="M170" s="32" t="str">
        <f t="shared" si="34"/>
        <v/>
      </c>
      <c r="N170" s="32" t="str">
        <f t="shared" si="30"/>
        <v/>
      </c>
      <c r="O170" s="32" t="str">
        <f t="shared" si="31"/>
        <v/>
      </c>
      <c r="P170" s="32" t="str">
        <f t="shared" si="32"/>
        <v/>
      </c>
      <c r="Q170" s="33" t="str">
        <f t="shared" si="32"/>
        <v/>
      </c>
    </row>
    <row r="171" spans="2:17" x14ac:dyDescent="0.25">
      <c r="B171" s="9">
        <v>158</v>
      </c>
      <c r="C171" s="35">
        <v>80000</v>
      </c>
      <c r="D171" s="2"/>
      <c r="E171" s="9" t="str">
        <f t="shared" si="24"/>
        <v/>
      </c>
      <c r="F171" s="54" t="str">
        <f t="shared" si="33"/>
        <v/>
      </c>
      <c r="G171" s="73" t="str">
        <f t="shared" si="25"/>
        <v/>
      </c>
      <c r="H171" s="56" t="str">
        <f t="shared" si="26"/>
        <v/>
      </c>
      <c r="I171" s="57" t="str">
        <f t="shared" si="27"/>
        <v/>
      </c>
      <c r="J171" s="58" t="str">
        <f t="shared" si="28"/>
        <v/>
      </c>
      <c r="L171" s="31" t="str">
        <f t="shared" si="29"/>
        <v/>
      </c>
      <c r="M171" s="32" t="str">
        <f t="shared" si="34"/>
        <v/>
      </c>
      <c r="N171" s="32" t="str">
        <f t="shared" si="30"/>
        <v/>
      </c>
      <c r="O171" s="32" t="str">
        <f t="shared" si="31"/>
        <v/>
      </c>
      <c r="P171" s="32" t="str">
        <f t="shared" si="32"/>
        <v/>
      </c>
      <c r="Q171" s="33" t="str">
        <f t="shared" si="32"/>
        <v/>
      </c>
    </row>
    <row r="172" spans="2:17" x14ac:dyDescent="0.25">
      <c r="B172" s="9">
        <v>159</v>
      </c>
      <c r="C172" s="35">
        <v>82000</v>
      </c>
      <c r="D172" s="2"/>
      <c r="E172" s="9" t="str">
        <f t="shared" si="24"/>
        <v/>
      </c>
      <c r="F172" s="54" t="str">
        <f t="shared" si="33"/>
        <v/>
      </c>
      <c r="G172" s="73" t="str">
        <f t="shared" si="25"/>
        <v/>
      </c>
      <c r="H172" s="56" t="str">
        <f t="shared" si="26"/>
        <v/>
      </c>
      <c r="I172" s="57" t="str">
        <f t="shared" si="27"/>
        <v/>
      </c>
      <c r="J172" s="58" t="str">
        <f t="shared" si="28"/>
        <v/>
      </c>
      <c r="L172" s="31" t="str">
        <f t="shared" si="29"/>
        <v/>
      </c>
      <c r="M172" s="32" t="str">
        <f t="shared" si="34"/>
        <v/>
      </c>
      <c r="N172" s="32" t="str">
        <f t="shared" si="30"/>
        <v/>
      </c>
      <c r="O172" s="32" t="str">
        <f t="shared" si="31"/>
        <v/>
      </c>
      <c r="P172" s="32" t="str">
        <f t="shared" si="32"/>
        <v/>
      </c>
      <c r="Q172" s="33" t="str">
        <f t="shared" si="32"/>
        <v/>
      </c>
    </row>
    <row r="173" spans="2:17" x14ac:dyDescent="0.25">
      <c r="B173" s="9">
        <v>160</v>
      </c>
      <c r="C173" s="35">
        <v>84000</v>
      </c>
      <c r="D173" s="2"/>
      <c r="E173" s="9" t="str">
        <f t="shared" si="24"/>
        <v/>
      </c>
      <c r="F173" s="54" t="str">
        <f t="shared" si="33"/>
        <v/>
      </c>
      <c r="G173" s="73" t="str">
        <f t="shared" si="25"/>
        <v/>
      </c>
      <c r="H173" s="56" t="str">
        <f t="shared" si="26"/>
        <v/>
      </c>
      <c r="I173" s="57" t="str">
        <f t="shared" si="27"/>
        <v/>
      </c>
      <c r="J173" s="58" t="str">
        <f t="shared" si="28"/>
        <v/>
      </c>
      <c r="L173" s="31" t="str">
        <f t="shared" si="29"/>
        <v/>
      </c>
      <c r="M173" s="32" t="str">
        <f t="shared" si="34"/>
        <v/>
      </c>
      <c r="N173" s="32" t="str">
        <f t="shared" si="30"/>
        <v/>
      </c>
      <c r="O173" s="32" t="str">
        <f t="shared" si="31"/>
        <v/>
      </c>
      <c r="P173" s="32" t="str">
        <f t="shared" si="32"/>
        <v/>
      </c>
      <c r="Q173" s="33" t="str">
        <f t="shared" si="32"/>
        <v/>
      </c>
    </row>
    <row r="174" spans="2:17" x14ac:dyDescent="0.25">
      <c r="B174" s="9">
        <v>161</v>
      </c>
      <c r="C174" s="35">
        <v>86000</v>
      </c>
      <c r="D174" s="2"/>
      <c r="E174" s="9" t="str">
        <f t="shared" si="24"/>
        <v/>
      </c>
      <c r="F174" s="54" t="str">
        <f t="shared" si="33"/>
        <v/>
      </c>
      <c r="G174" s="73" t="str">
        <f t="shared" si="25"/>
        <v/>
      </c>
      <c r="H174" s="56" t="str">
        <f t="shared" si="26"/>
        <v/>
      </c>
      <c r="I174" s="57" t="str">
        <f t="shared" si="27"/>
        <v/>
      </c>
      <c r="J174" s="58" t="str">
        <f t="shared" si="28"/>
        <v/>
      </c>
      <c r="L174" s="31" t="str">
        <f t="shared" si="29"/>
        <v/>
      </c>
      <c r="M174" s="32" t="str">
        <f t="shared" si="34"/>
        <v/>
      </c>
      <c r="N174" s="32" t="str">
        <f t="shared" si="30"/>
        <v/>
      </c>
      <c r="O174" s="32" t="str">
        <f t="shared" si="31"/>
        <v/>
      </c>
      <c r="P174" s="32" t="str">
        <f t="shared" ref="P174:Q203" si="35">IF(AJ176="","",AJ176)</f>
        <v/>
      </c>
      <c r="Q174" s="33" t="str">
        <f t="shared" si="35"/>
        <v/>
      </c>
    </row>
    <row r="175" spans="2:17" x14ac:dyDescent="0.25">
      <c r="B175" s="9">
        <v>162</v>
      </c>
      <c r="C175" s="35">
        <v>88000</v>
      </c>
      <c r="D175" s="2"/>
      <c r="E175" s="9" t="str">
        <f t="shared" si="24"/>
        <v/>
      </c>
      <c r="F175" s="54" t="str">
        <f t="shared" si="33"/>
        <v/>
      </c>
      <c r="G175" s="73" t="str">
        <f t="shared" si="25"/>
        <v/>
      </c>
      <c r="H175" s="56" t="str">
        <f t="shared" si="26"/>
        <v/>
      </c>
      <c r="I175" s="57" t="str">
        <f t="shared" si="27"/>
        <v/>
      </c>
      <c r="J175" s="58" t="str">
        <f t="shared" si="28"/>
        <v/>
      </c>
      <c r="L175" s="31" t="str">
        <f t="shared" si="29"/>
        <v/>
      </c>
      <c r="M175" s="32" t="str">
        <f t="shared" si="34"/>
        <v/>
      </c>
      <c r="N175" s="32" t="str">
        <f t="shared" si="30"/>
        <v/>
      </c>
      <c r="O175" s="32" t="str">
        <f t="shared" si="31"/>
        <v/>
      </c>
      <c r="P175" s="32" t="str">
        <f t="shared" si="35"/>
        <v/>
      </c>
      <c r="Q175" s="33" t="str">
        <f t="shared" si="35"/>
        <v/>
      </c>
    </row>
    <row r="176" spans="2:17" x14ac:dyDescent="0.25">
      <c r="B176" s="9">
        <v>163</v>
      </c>
      <c r="C176" s="35">
        <v>90000</v>
      </c>
      <c r="D176" s="2"/>
      <c r="E176" s="9" t="str">
        <f t="shared" si="24"/>
        <v/>
      </c>
      <c r="F176" s="54" t="str">
        <f t="shared" si="33"/>
        <v/>
      </c>
      <c r="G176" s="73" t="str">
        <f t="shared" si="25"/>
        <v/>
      </c>
      <c r="H176" s="56" t="str">
        <f t="shared" si="26"/>
        <v/>
      </c>
      <c r="I176" s="57" t="str">
        <f t="shared" si="27"/>
        <v/>
      </c>
      <c r="J176" s="58" t="str">
        <f t="shared" si="28"/>
        <v/>
      </c>
      <c r="L176" s="31" t="str">
        <f t="shared" si="29"/>
        <v/>
      </c>
      <c r="M176" s="32" t="str">
        <f t="shared" si="34"/>
        <v/>
      </c>
      <c r="N176" s="32" t="str">
        <f t="shared" si="30"/>
        <v/>
      </c>
      <c r="O176" s="32" t="str">
        <f t="shared" si="31"/>
        <v/>
      </c>
      <c r="P176" s="32" t="str">
        <f t="shared" si="35"/>
        <v/>
      </c>
      <c r="Q176" s="33" t="str">
        <f t="shared" si="35"/>
        <v/>
      </c>
    </row>
    <row r="177" spans="2:17" x14ac:dyDescent="0.25">
      <c r="B177" s="9">
        <v>164</v>
      </c>
      <c r="C177" s="35">
        <v>92000</v>
      </c>
      <c r="D177" s="2"/>
      <c r="E177" s="9" t="str">
        <f t="shared" si="24"/>
        <v/>
      </c>
      <c r="F177" s="54" t="str">
        <f t="shared" si="33"/>
        <v/>
      </c>
      <c r="G177" s="73" t="str">
        <f t="shared" si="25"/>
        <v/>
      </c>
      <c r="H177" s="56" t="str">
        <f t="shared" si="26"/>
        <v/>
      </c>
      <c r="I177" s="57" t="str">
        <f t="shared" si="27"/>
        <v/>
      </c>
      <c r="J177" s="58" t="str">
        <f t="shared" si="28"/>
        <v/>
      </c>
      <c r="L177" s="31" t="str">
        <f t="shared" si="29"/>
        <v/>
      </c>
      <c r="M177" s="32" t="str">
        <f t="shared" si="34"/>
        <v/>
      </c>
      <c r="N177" s="32" t="str">
        <f t="shared" si="30"/>
        <v/>
      </c>
      <c r="O177" s="32" t="str">
        <f t="shared" si="31"/>
        <v/>
      </c>
      <c r="P177" s="32" t="str">
        <f t="shared" si="35"/>
        <v/>
      </c>
      <c r="Q177" s="33" t="str">
        <f t="shared" si="35"/>
        <v/>
      </c>
    </row>
    <row r="178" spans="2:17" x14ac:dyDescent="0.25">
      <c r="B178" s="9">
        <v>165</v>
      </c>
      <c r="C178" s="35">
        <v>94000</v>
      </c>
      <c r="D178" s="2"/>
      <c r="E178" s="9" t="str">
        <f t="shared" si="24"/>
        <v/>
      </c>
      <c r="F178" s="54" t="str">
        <f t="shared" si="33"/>
        <v/>
      </c>
      <c r="G178" s="73" t="str">
        <f t="shared" si="25"/>
        <v/>
      </c>
      <c r="H178" s="56" t="str">
        <f t="shared" si="26"/>
        <v/>
      </c>
      <c r="I178" s="57" t="str">
        <f t="shared" si="27"/>
        <v/>
      </c>
      <c r="J178" s="58" t="str">
        <f t="shared" si="28"/>
        <v/>
      </c>
      <c r="L178" s="31" t="str">
        <f t="shared" si="29"/>
        <v/>
      </c>
      <c r="M178" s="32" t="str">
        <f t="shared" si="34"/>
        <v/>
      </c>
      <c r="N178" s="32" t="str">
        <f t="shared" si="30"/>
        <v/>
      </c>
      <c r="O178" s="32" t="str">
        <f t="shared" si="31"/>
        <v/>
      </c>
      <c r="P178" s="32" t="str">
        <f t="shared" si="35"/>
        <v/>
      </c>
      <c r="Q178" s="33" t="str">
        <f t="shared" si="35"/>
        <v/>
      </c>
    </row>
    <row r="179" spans="2:17" x14ac:dyDescent="0.25">
      <c r="B179" s="9">
        <v>166</v>
      </c>
      <c r="C179" s="35">
        <v>96000</v>
      </c>
      <c r="D179" s="2"/>
      <c r="E179" s="9" t="str">
        <f t="shared" si="24"/>
        <v/>
      </c>
      <c r="F179" s="54" t="str">
        <f t="shared" si="33"/>
        <v/>
      </c>
      <c r="G179" s="73" t="str">
        <f t="shared" si="25"/>
        <v/>
      </c>
      <c r="H179" s="56" t="str">
        <f t="shared" si="26"/>
        <v/>
      </c>
      <c r="I179" s="57" t="str">
        <f t="shared" si="27"/>
        <v/>
      </c>
      <c r="J179" s="58" t="str">
        <f t="shared" si="28"/>
        <v/>
      </c>
      <c r="L179" s="31" t="str">
        <f t="shared" si="29"/>
        <v/>
      </c>
      <c r="M179" s="32" t="str">
        <f t="shared" si="34"/>
        <v/>
      </c>
      <c r="N179" s="32" t="str">
        <f t="shared" si="30"/>
        <v/>
      </c>
      <c r="O179" s="32" t="str">
        <f t="shared" si="31"/>
        <v/>
      </c>
      <c r="P179" s="32" t="str">
        <f t="shared" si="35"/>
        <v/>
      </c>
      <c r="Q179" s="33" t="str">
        <f t="shared" si="35"/>
        <v/>
      </c>
    </row>
    <row r="180" spans="2:17" x14ac:dyDescent="0.25">
      <c r="B180" s="9">
        <v>167</v>
      </c>
      <c r="C180" s="35">
        <v>98000</v>
      </c>
      <c r="D180" s="2"/>
      <c r="E180" s="9" t="str">
        <f t="shared" si="24"/>
        <v/>
      </c>
      <c r="F180" s="54" t="str">
        <f t="shared" si="33"/>
        <v/>
      </c>
      <c r="G180" s="73" t="str">
        <f t="shared" si="25"/>
        <v/>
      </c>
      <c r="H180" s="56" t="str">
        <f t="shared" si="26"/>
        <v/>
      </c>
      <c r="I180" s="57" t="str">
        <f t="shared" si="27"/>
        <v/>
      </c>
      <c r="J180" s="58" t="str">
        <f t="shared" si="28"/>
        <v/>
      </c>
      <c r="L180" s="31" t="str">
        <f t="shared" si="29"/>
        <v/>
      </c>
      <c r="M180" s="32" t="str">
        <f t="shared" si="34"/>
        <v/>
      </c>
      <c r="N180" s="32" t="str">
        <f t="shared" si="30"/>
        <v/>
      </c>
      <c r="O180" s="32" t="str">
        <f t="shared" si="31"/>
        <v/>
      </c>
      <c r="P180" s="32" t="str">
        <f t="shared" si="35"/>
        <v/>
      </c>
      <c r="Q180" s="33" t="str">
        <f t="shared" si="35"/>
        <v/>
      </c>
    </row>
    <row r="181" spans="2:17" x14ac:dyDescent="0.25">
      <c r="B181" s="9">
        <v>168</v>
      </c>
      <c r="C181" s="35">
        <v>100000</v>
      </c>
      <c r="D181" s="2"/>
      <c r="E181" s="9" t="str">
        <f t="shared" si="24"/>
        <v/>
      </c>
      <c r="F181" s="54" t="str">
        <f t="shared" si="33"/>
        <v/>
      </c>
      <c r="G181" s="73" t="str">
        <f t="shared" si="25"/>
        <v/>
      </c>
      <c r="H181" s="56" t="str">
        <f t="shared" si="26"/>
        <v/>
      </c>
      <c r="I181" s="57" t="str">
        <f t="shared" si="27"/>
        <v/>
      </c>
      <c r="J181" s="58" t="str">
        <f t="shared" si="28"/>
        <v/>
      </c>
      <c r="L181" s="31" t="str">
        <f t="shared" si="29"/>
        <v/>
      </c>
      <c r="M181" s="32" t="str">
        <f t="shared" si="34"/>
        <v/>
      </c>
      <c r="N181" s="32" t="str">
        <f t="shared" si="30"/>
        <v/>
      </c>
      <c r="O181" s="32" t="str">
        <f t="shared" si="31"/>
        <v/>
      </c>
      <c r="P181" s="32" t="str">
        <f t="shared" si="35"/>
        <v/>
      </c>
      <c r="Q181" s="33" t="str">
        <f t="shared" si="35"/>
        <v/>
      </c>
    </row>
    <row r="182" spans="2:17" x14ac:dyDescent="0.25">
      <c r="B182" s="9">
        <v>169</v>
      </c>
      <c r="C182" s="35"/>
      <c r="D182" s="2"/>
      <c r="E182" s="9" t="str">
        <f t="shared" si="24"/>
        <v/>
      </c>
      <c r="F182" s="54" t="str">
        <f t="shared" si="33"/>
        <v/>
      </c>
      <c r="G182" s="73" t="str">
        <f t="shared" si="25"/>
        <v/>
      </c>
      <c r="H182" s="56" t="str">
        <f t="shared" si="26"/>
        <v/>
      </c>
      <c r="I182" s="57" t="str">
        <f t="shared" si="27"/>
        <v/>
      </c>
      <c r="J182" s="58" t="str">
        <f t="shared" si="28"/>
        <v/>
      </c>
      <c r="L182" s="31" t="str">
        <f t="shared" si="29"/>
        <v/>
      </c>
      <c r="M182" s="32" t="str">
        <f t="shared" si="34"/>
        <v/>
      </c>
      <c r="N182" s="32" t="str">
        <f t="shared" si="30"/>
        <v/>
      </c>
      <c r="O182" s="32" t="str">
        <f t="shared" si="31"/>
        <v/>
      </c>
      <c r="P182" s="32" t="str">
        <f t="shared" si="35"/>
        <v/>
      </c>
      <c r="Q182" s="33" t="str">
        <f t="shared" si="35"/>
        <v/>
      </c>
    </row>
    <row r="183" spans="2:17" x14ac:dyDescent="0.25">
      <c r="B183" s="9">
        <v>170</v>
      </c>
      <c r="C183" s="35"/>
      <c r="D183" s="2"/>
      <c r="E183" s="9" t="str">
        <f t="shared" si="24"/>
        <v/>
      </c>
      <c r="F183" s="54" t="str">
        <f t="shared" si="33"/>
        <v/>
      </c>
      <c r="G183" s="73" t="str">
        <f t="shared" si="25"/>
        <v/>
      </c>
      <c r="H183" s="56" t="str">
        <f t="shared" si="26"/>
        <v/>
      </c>
      <c r="I183" s="57" t="str">
        <f t="shared" si="27"/>
        <v/>
      </c>
      <c r="J183" s="58" t="str">
        <f t="shared" si="28"/>
        <v/>
      </c>
      <c r="L183" s="31" t="str">
        <f t="shared" si="29"/>
        <v/>
      </c>
      <c r="M183" s="32" t="str">
        <f t="shared" si="34"/>
        <v/>
      </c>
      <c r="N183" s="32" t="str">
        <f t="shared" si="30"/>
        <v/>
      </c>
      <c r="O183" s="32" t="str">
        <f t="shared" si="31"/>
        <v/>
      </c>
      <c r="P183" s="32" t="str">
        <f t="shared" si="35"/>
        <v/>
      </c>
      <c r="Q183" s="33" t="str">
        <f t="shared" si="35"/>
        <v/>
      </c>
    </row>
    <row r="184" spans="2:17" x14ac:dyDescent="0.25">
      <c r="B184" s="9">
        <v>171</v>
      </c>
      <c r="C184" s="35"/>
      <c r="D184" s="2"/>
      <c r="E184" s="9" t="str">
        <f t="shared" si="24"/>
        <v/>
      </c>
      <c r="F184" s="54" t="str">
        <f t="shared" si="33"/>
        <v/>
      </c>
      <c r="G184" s="73" t="str">
        <f t="shared" si="25"/>
        <v/>
      </c>
      <c r="H184" s="56" t="str">
        <f t="shared" si="26"/>
        <v/>
      </c>
      <c r="I184" s="57" t="str">
        <f t="shared" si="27"/>
        <v/>
      </c>
      <c r="J184" s="58" t="str">
        <f t="shared" si="28"/>
        <v/>
      </c>
      <c r="L184" s="31" t="str">
        <f t="shared" si="29"/>
        <v/>
      </c>
      <c r="M184" s="32" t="str">
        <f t="shared" si="34"/>
        <v/>
      </c>
      <c r="N184" s="32" t="str">
        <f t="shared" si="30"/>
        <v/>
      </c>
      <c r="O184" s="32" t="str">
        <f t="shared" si="31"/>
        <v/>
      </c>
      <c r="P184" s="32" t="str">
        <f t="shared" si="35"/>
        <v/>
      </c>
      <c r="Q184" s="33" t="str">
        <f t="shared" si="35"/>
        <v/>
      </c>
    </row>
    <row r="185" spans="2:17" x14ac:dyDescent="0.25">
      <c r="B185" s="9">
        <v>172</v>
      </c>
      <c r="C185" s="35"/>
      <c r="D185" s="2"/>
      <c r="E185" s="9" t="str">
        <f t="shared" si="24"/>
        <v/>
      </c>
      <c r="F185" s="54" t="str">
        <f t="shared" si="33"/>
        <v/>
      </c>
      <c r="G185" s="73" t="str">
        <f t="shared" si="25"/>
        <v/>
      </c>
      <c r="H185" s="56" t="str">
        <f t="shared" si="26"/>
        <v/>
      </c>
      <c r="I185" s="57" t="str">
        <f t="shared" si="27"/>
        <v/>
      </c>
      <c r="J185" s="58" t="str">
        <f t="shared" si="28"/>
        <v/>
      </c>
      <c r="L185" s="31" t="str">
        <f t="shared" si="29"/>
        <v/>
      </c>
      <c r="M185" s="32" t="str">
        <f t="shared" si="34"/>
        <v/>
      </c>
      <c r="N185" s="32" t="str">
        <f t="shared" si="30"/>
        <v/>
      </c>
      <c r="O185" s="32" t="str">
        <f t="shared" si="31"/>
        <v/>
      </c>
      <c r="P185" s="32" t="str">
        <f t="shared" si="35"/>
        <v/>
      </c>
      <c r="Q185" s="33" t="str">
        <f t="shared" si="35"/>
        <v/>
      </c>
    </row>
    <row r="186" spans="2:17" x14ac:dyDescent="0.25">
      <c r="B186" s="9">
        <v>173</v>
      </c>
      <c r="C186" s="35"/>
      <c r="D186" s="2"/>
      <c r="E186" s="9" t="str">
        <f t="shared" si="24"/>
        <v/>
      </c>
      <c r="F186" s="54" t="str">
        <f t="shared" si="33"/>
        <v/>
      </c>
      <c r="G186" s="73" t="str">
        <f t="shared" si="25"/>
        <v/>
      </c>
      <c r="H186" s="56" t="str">
        <f t="shared" si="26"/>
        <v/>
      </c>
      <c r="I186" s="57" t="str">
        <f t="shared" si="27"/>
        <v/>
      </c>
      <c r="J186" s="58" t="str">
        <f t="shared" si="28"/>
        <v/>
      </c>
      <c r="L186" s="31" t="str">
        <f t="shared" si="29"/>
        <v/>
      </c>
      <c r="M186" s="32" t="str">
        <f t="shared" si="34"/>
        <v/>
      </c>
      <c r="N186" s="32" t="str">
        <f t="shared" si="30"/>
        <v/>
      </c>
      <c r="O186" s="32" t="str">
        <f t="shared" si="31"/>
        <v/>
      </c>
      <c r="P186" s="32" t="str">
        <f t="shared" si="35"/>
        <v/>
      </c>
      <c r="Q186" s="33" t="str">
        <f t="shared" si="35"/>
        <v/>
      </c>
    </row>
    <row r="187" spans="2:17" x14ac:dyDescent="0.25">
      <c r="B187" s="9">
        <v>174</v>
      </c>
      <c r="C187" s="35"/>
      <c r="D187" s="2"/>
      <c r="E187" s="9" t="str">
        <f t="shared" si="24"/>
        <v/>
      </c>
      <c r="F187" s="54" t="str">
        <f t="shared" si="33"/>
        <v/>
      </c>
      <c r="G187" s="73" t="str">
        <f t="shared" si="25"/>
        <v/>
      </c>
      <c r="H187" s="56" t="str">
        <f t="shared" si="26"/>
        <v/>
      </c>
      <c r="I187" s="57" t="str">
        <f t="shared" si="27"/>
        <v/>
      </c>
      <c r="J187" s="58" t="str">
        <f t="shared" si="28"/>
        <v/>
      </c>
      <c r="L187" s="31" t="str">
        <f t="shared" si="29"/>
        <v/>
      </c>
      <c r="M187" s="32" t="str">
        <f t="shared" si="34"/>
        <v/>
      </c>
      <c r="N187" s="32" t="str">
        <f t="shared" si="30"/>
        <v/>
      </c>
      <c r="O187" s="32" t="str">
        <f t="shared" si="31"/>
        <v/>
      </c>
      <c r="P187" s="32" t="str">
        <f t="shared" si="35"/>
        <v/>
      </c>
      <c r="Q187" s="33" t="str">
        <f t="shared" si="35"/>
        <v/>
      </c>
    </row>
    <row r="188" spans="2:17" x14ac:dyDescent="0.25">
      <c r="B188" s="9">
        <v>175</v>
      </c>
      <c r="C188" s="35"/>
      <c r="D188" s="2"/>
      <c r="E188" s="9" t="str">
        <f t="shared" si="24"/>
        <v/>
      </c>
      <c r="F188" s="54" t="str">
        <f t="shared" si="33"/>
        <v/>
      </c>
      <c r="G188" s="73" t="str">
        <f t="shared" si="25"/>
        <v/>
      </c>
      <c r="H188" s="56" t="str">
        <f t="shared" si="26"/>
        <v/>
      </c>
      <c r="I188" s="57" t="str">
        <f t="shared" si="27"/>
        <v/>
      </c>
      <c r="J188" s="58" t="str">
        <f t="shared" si="28"/>
        <v/>
      </c>
      <c r="L188" s="31" t="str">
        <f t="shared" si="29"/>
        <v/>
      </c>
      <c r="M188" s="32" t="str">
        <f t="shared" si="34"/>
        <v/>
      </c>
      <c r="N188" s="32" t="str">
        <f t="shared" si="30"/>
        <v/>
      </c>
      <c r="O188" s="32" t="str">
        <f t="shared" si="31"/>
        <v/>
      </c>
      <c r="P188" s="32" t="str">
        <f t="shared" si="35"/>
        <v/>
      </c>
      <c r="Q188" s="33" t="str">
        <f t="shared" si="35"/>
        <v/>
      </c>
    </row>
    <row r="189" spans="2:17" x14ac:dyDescent="0.25">
      <c r="B189" s="9">
        <v>176</v>
      </c>
      <c r="C189" s="35"/>
      <c r="D189" s="2"/>
      <c r="E189" s="9" t="str">
        <f t="shared" si="24"/>
        <v/>
      </c>
      <c r="F189" s="54" t="str">
        <f t="shared" si="33"/>
        <v/>
      </c>
      <c r="G189" s="73" t="str">
        <f t="shared" si="25"/>
        <v/>
      </c>
      <c r="H189" s="56" t="str">
        <f t="shared" si="26"/>
        <v/>
      </c>
      <c r="I189" s="57" t="str">
        <f t="shared" si="27"/>
        <v/>
      </c>
      <c r="J189" s="58" t="str">
        <f t="shared" si="28"/>
        <v/>
      </c>
      <c r="L189" s="31" t="str">
        <f t="shared" si="29"/>
        <v/>
      </c>
      <c r="M189" s="32" t="str">
        <f t="shared" si="34"/>
        <v/>
      </c>
      <c r="N189" s="32" t="str">
        <f t="shared" si="30"/>
        <v/>
      </c>
      <c r="O189" s="32" t="str">
        <f t="shared" si="31"/>
        <v/>
      </c>
      <c r="P189" s="32" t="str">
        <f t="shared" si="35"/>
        <v/>
      </c>
      <c r="Q189" s="33" t="str">
        <f t="shared" si="35"/>
        <v/>
      </c>
    </row>
    <row r="190" spans="2:17" x14ac:dyDescent="0.25">
      <c r="B190" s="9">
        <v>177</v>
      </c>
      <c r="C190" s="35"/>
      <c r="D190" s="2"/>
      <c r="E190" s="9" t="str">
        <f t="shared" si="24"/>
        <v/>
      </c>
      <c r="F190" s="54" t="str">
        <f t="shared" si="33"/>
        <v/>
      </c>
      <c r="G190" s="73" t="str">
        <f t="shared" si="25"/>
        <v/>
      </c>
      <c r="H190" s="56" t="str">
        <f t="shared" si="26"/>
        <v/>
      </c>
      <c r="I190" s="57" t="str">
        <f t="shared" si="27"/>
        <v/>
      </c>
      <c r="J190" s="58" t="str">
        <f t="shared" si="28"/>
        <v/>
      </c>
      <c r="L190" s="31" t="str">
        <f t="shared" si="29"/>
        <v/>
      </c>
      <c r="M190" s="32" t="str">
        <f t="shared" si="34"/>
        <v/>
      </c>
      <c r="N190" s="32" t="str">
        <f t="shared" si="30"/>
        <v/>
      </c>
      <c r="O190" s="32" t="str">
        <f t="shared" si="31"/>
        <v/>
      </c>
      <c r="P190" s="32" t="str">
        <f t="shared" si="35"/>
        <v/>
      </c>
      <c r="Q190" s="33" t="str">
        <f t="shared" si="35"/>
        <v/>
      </c>
    </row>
    <row r="191" spans="2:17" x14ac:dyDescent="0.25">
      <c r="B191" s="9">
        <v>178</v>
      </c>
      <c r="C191" s="35"/>
      <c r="D191" s="2"/>
      <c r="E191" s="9" t="str">
        <f t="shared" si="24"/>
        <v/>
      </c>
      <c r="F191" s="54" t="str">
        <f t="shared" si="33"/>
        <v/>
      </c>
      <c r="G191" s="73" t="str">
        <f t="shared" si="25"/>
        <v/>
      </c>
      <c r="H191" s="56" t="str">
        <f t="shared" si="26"/>
        <v/>
      </c>
      <c r="I191" s="57" t="str">
        <f t="shared" si="27"/>
        <v/>
      </c>
      <c r="J191" s="58" t="str">
        <f t="shared" si="28"/>
        <v/>
      </c>
      <c r="L191" s="31" t="str">
        <f t="shared" si="29"/>
        <v/>
      </c>
      <c r="M191" s="32" t="str">
        <f t="shared" si="34"/>
        <v/>
      </c>
      <c r="N191" s="32" t="str">
        <f t="shared" si="30"/>
        <v/>
      </c>
      <c r="O191" s="32" t="str">
        <f t="shared" si="31"/>
        <v/>
      </c>
      <c r="P191" s="32" t="str">
        <f t="shared" si="35"/>
        <v/>
      </c>
      <c r="Q191" s="33" t="str">
        <f t="shared" si="35"/>
        <v/>
      </c>
    </row>
    <row r="192" spans="2:17" x14ac:dyDescent="0.25">
      <c r="B192" s="9">
        <v>179</v>
      </c>
      <c r="C192" s="35"/>
      <c r="D192" s="2"/>
      <c r="E192" s="9" t="str">
        <f t="shared" si="24"/>
        <v/>
      </c>
      <c r="F192" s="54" t="str">
        <f t="shared" si="33"/>
        <v/>
      </c>
      <c r="G192" s="73" t="str">
        <f t="shared" si="25"/>
        <v/>
      </c>
      <c r="H192" s="56" t="str">
        <f t="shared" si="26"/>
        <v/>
      </c>
      <c r="I192" s="57" t="str">
        <f t="shared" si="27"/>
        <v/>
      </c>
      <c r="J192" s="58" t="str">
        <f t="shared" si="28"/>
        <v/>
      </c>
      <c r="L192" s="31" t="str">
        <f t="shared" si="29"/>
        <v/>
      </c>
      <c r="M192" s="32" t="str">
        <f t="shared" si="34"/>
        <v/>
      </c>
      <c r="N192" s="32" t="str">
        <f t="shared" si="30"/>
        <v/>
      </c>
      <c r="O192" s="32" t="str">
        <f t="shared" si="31"/>
        <v/>
      </c>
      <c r="P192" s="32" t="str">
        <f t="shared" si="35"/>
        <v/>
      </c>
      <c r="Q192" s="33" t="str">
        <f t="shared" si="35"/>
        <v/>
      </c>
    </row>
    <row r="193" spans="2:17" x14ac:dyDescent="0.25">
      <c r="B193" s="9">
        <v>180</v>
      </c>
      <c r="C193" s="35"/>
      <c r="D193" s="2"/>
      <c r="E193" s="9" t="str">
        <f t="shared" si="24"/>
        <v/>
      </c>
      <c r="F193" s="54" t="str">
        <f t="shared" si="33"/>
        <v/>
      </c>
      <c r="G193" s="73" t="str">
        <f t="shared" si="25"/>
        <v/>
      </c>
      <c r="H193" s="56" t="str">
        <f t="shared" si="26"/>
        <v/>
      </c>
      <c r="I193" s="57" t="str">
        <f t="shared" si="27"/>
        <v/>
      </c>
      <c r="J193" s="58" t="str">
        <f t="shared" si="28"/>
        <v/>
      </c>
      <c r="L193" s="31" t="str">
        <f t="shared" si="29"/>
        <v/>
      </c>
      <c r="M193" s="32" t="str">
        <f t="shared" si="34"/>
        <v/>
      </c>
      <c r="N193" s="32" t="str">
        <f t="shared" si="30"/>
        <v/>
      </c>
      <c r="O193" s="32" t="str">
        <f t="shared" si="31"/>
        <v/>
      </c>
      <c r="P193" s="32" t="str">
        <f t="shared" si="35"/>
        <v/>
      </c>
      <c r="Q193" s="33" t="str">
        <f t="shared" si="35"/>
        <v/>
      </c>
    </row>
    <row r="194" spans="2:17" x14ac:dyDescent="0.25">
      <c r="B194" s="9">
        <v>181</v>
      </c>
      <c r="C194" s="35"/>
      <c r="D194" s="2"/>
      <c r="E194" s="9" t="str">
        <f t="shared" si="24"/>
        <v/>
      </c>
      <c r="F194" s="54" t="str">
        <f t="shared" si="33"/>
        <v/>
      </c>
      <c r="G194" s="73" t="str">
        <f t="shared" si="25"/>
        <v/>
      </c>
      <c r="H194" s="56" t="str">
        <f t="shared" si="26"/>
        <v/>
      </c>
      <c r="I194" s="57" t="str">
        <f t="shared" si="27"/>
        <v/>
      </c>
      <c r="J194" s="58" t="str">
        <f t="shared" si="28"/>
        <v/>
      </c>
      <c r="L194" s="31" t="str">
        <f t="shared" si="29"/>
        <v/>
      </c>
      <c r="M194" s="32" t="str">
        <f t="shared" si="34"/>
        <v/>
      </c>
      <c r="N194" s="32" t="str">
        <f t="shared" si="30"/>
        <v/>
      </c>
      <c r="O194" s="32" t="str">
        <f t="shared" si="31"/>
        <v/>
      </c>
      <c r="P194" s="32" t="str">
        <f t="shared" si="35"/>
        <v/>
      </c>
      <c r="Q194" s="33" t="str">
        <f t="shared" si="35"/>
        <v/>
      </c>
    </row>
    <row r="195" spans="2:17" x14ac:dyDescent="0.25">
      <c r="B195" s="9">
        <v>182</v>
      </c>
      <c r="C195" s="35"/>
      <c r="D195" s="2"/>
      <c r="E195" s="9" t="str">
        <f t="shared" si="24"/>
        <v/>
      </c>
      <c r="F195" s="54" t="str">
        <f t="shared" si="33"/>
        <v/>
      </c>
      <c r="G195" s="73" t="str">
        <f t="shared" si="25"/>
        <v/>
      </c>
      <c r="H195" s="56" t="str">
        <f t="shared" si="26"/>
        <v/>
      </c>
      <c r="I195" s="57" t="str">
        <f t="shared" si="27"/>
        <v/>
      </c>
      <c r="J195" s="58" t="str">
        <f t="shared" si="28"/>
        <v/>
      </c>
      <c r="L195" s="31" t="str">
        <f t="shared" si="29"/>
        <v/>
      </c>
      <c r="M195" s="32" t="str">
        <f t="shared" si="34"/>
        <v/>
      </c>
      <c r="N195" s="32" t="str">
        <f t="shared" si="30"/>
        <v/>
      </c>
      <c r="O195" s="32" t="str">
        <f t="shared" si="31"/>
        <v/>
      </c>
      <c r="P195" s="32" t="str">
        <f t="shared" si="35"/>
        <v/>
      </c>
      <c r="Q195" s="33" t="str">
        <f t="shared" si="35"/>
        <v/>
      </c>
    </row>
    <row r="196" spans="2:17" x14ac:dyDescent="0.25">
      <c r="B196" s="9">
        <v>183</v>
      </c>
      <c r="C196" s="35"/>
      <c r="D196" s="2"/>
      <c r="E196" s="9" t="str">
        <f t="shared" si="24"/>
        <v/>
      </c>
      <c r="F196" s="54" t="str">
        <f t="shared" si="33"/>
        <v/>
      </c>
      <c r="G196" s="73" t="str">
        <f t="shared" si="25"/>
        <v/>
      </c>
      <c r="H196" s="56" t="str">
        <f t="shared" si="26"/>
        <v/>
      </c>
      <c r="I196" s="57" t="str">
        <f t="shared" si="27"/>
        <v/>
      </c>
      <c r="J196" s="58" t="str">
        <f t="shared" si="28"/>
        <v/>
      </c>
      <c r="L196" s="31" t="str">
        <f t="shared" si="29"/>
        <v/>
      </c>
      <c r="M196" s="32" t="str">
        <f t="shared" si="34"/>
        <v/>
      </c>
      <c r="N196" s="32" t="str">
        <f t="shared" si="30"/>
        <v/>
      </c>
      <c r="O196" s="32" t="str">
        <f t="shared" si="31"/>
        <v/>
      </c>
      <c r="P196" s="32" t="str">
        <f t="shared" si="35"/>
        <v/>
      </c>
      <c r="Q196" s="33" t="str">
        <f t="shared" si="35"/>
        <v/>
      </c>
    </row>
    <row r="197" spans="2:17" x14ac:dyDescent="0.25">
      <c r="B197" s="9">
        <v>184</v>
      </c>
      <c r="C197" s="35"/>
      <c r="D197" s="2"/>
      <c r="E197" s="9" t="str">
        <f t="shared" si="24"/>
        <v/>
      </c>
      <c r="F197" s="54" t="str">
        <f t="shared" si="33"/>
        <v/>
      </c>
      <c r="G197" s="73" t="str">
        <f t="shared" si="25"/>
        <v/>
      </c>
      <c r="H197" s="56" t="str">
        <f t="shared" si="26"/>
        <v/>
      </c>
      <c r="I197" s="57" t="str">
        <f t="shared" si="27"/>
        <v/>
      </c>
      <c r="J197" s="58" t="str">
        <f t="shared" si="28"/>
        <v/>
      </c>
      <c r="L197" s="31" t="str">
        <f t="shared" si="29"/>
        <v/>
      </c>
      <c r="M197" s="32" t="str">
        <f t="shared" si="34"/>
        <v/>
      </c>
      <c r="N197" s="32" t="str">
        <f t="shared" si="30"/>
        <v/>
      </c>
      <c r="O197" s="32" t="str">
        <f t="shared" si="31"/>
        <v/>
      </c>
      <c r="P197" s="32" t="str">
        <f t="shared" si="35"/>
        <v/>
      </c>
      <c r="Q197" s="33" t="str">
        <f t="shared" si="35"/>
        <v/>
      </c>
    </row>
    <row r="198" spans="2:17" x14ac:dyDescent="0.25">
      <c r="B198" s="9">
        <v>185</v>
      </c>
      <c r="C198" s="35"/>
      <c r="D198" s="2"/>
      <c r="E198" s="9" t="str">
        <f t="shared" si="24"/>
        <v/>
      </c>
      <c r="F198" s="54" t="str">
        <f t="shared" si="33"/>
        <v/>
      </c>
      <c r="G198" s="73" t="str">
        <f t="shared" si="25"/>
        <v/>
      </c>
      <c r="H198" s="56" t="str">
        <f t="shared" si="26"/>
        <v/>
      </c>
      <c r="I198" s="57" t="str">
        <f t="shared" si="27"/>
        <v/>
      </c>
      <c r="J198" s="58" t="str">
        <f t="shared" si="28"/>
        <v/>
      </c>
      <c r="L198" s="31" t="str">
        <f t="shared" si="29"/>
        <v/>
      </c>
      <c r="M198" s="32" t="str">
        <f t="shared" si="34"/>
        <v/>
      </c>
      <c r="N198" s="32" t="str">
        <f t="shared" si="30"/>
        <v/>
      </c>
      <c r="O198" s="32" t="str">
        <f t="shared" si="31"/>
        <v/>
      </c>
      <c r="P198" s="32" t="str">
        <f t="shared" si="35"/>
        <v/>
      </c>
      <c r="Q198" s="33" t="str">
        <f t="shared" si="35"/>
        <v/>
      </c>
    </row>
    <row r="199" spans="2:17" x14ac:dyDescent="0.25">
      <c r="B199" s="9">
        <v>186</v>
      </c>
      <c r="C199" s="35"/>
      <c r="D199" s="2"/>
      <c r="E199" s="9" t="str">
        <f t="shared" si="24"/>
        <v/>
      </c>
      <c r="F199" s="54" t="str">
        <f t="shared" si="33"/>
        <v/>
      </c>
      <c r="G199" s="73" t="str">
        <f t="shared" si="25"/>
        <v/>
      </c>
      <c r="H199" s="56" t="str">
        <f t="shared" si="26"/>
        <v/>
      </c>
      <c r="I199" s="57" t="str">
        <f t="shared" si="27"/>
        <v/>
      </c>
      <c r="J199" s="58" t="str">
        <f t="shared" si="28"/>
        <v/>
      </c>
      <c r="L199" s="31" t="str">
        <f t="shared" si="29"/>
        <v/>
      </c>
      <c r="M199" s="32" t="str">
        <f t="shared" si="34"/>
        <v/>
      </c>
      <c r="N199" s="32" t="str">
        <f t="shared" si="30"/>
        <v/>
      </c>
      <c r="O199" s="32" t="str">
        <f t="shared" si="31"/>
        <v/>
      </c>
      <c r="P199" s="32" t="str">
        <f t="shared" si="35"/>
        <v/>
      </c>
      <c r="Q199" s="33" t="str">
        <f t="shared" si="35"/>
        <v/>
      </c>
    </row>
    <row r="200" spans="2:17" x14ac:dyDescent="0.25">
      <c r="B200" s="9">
        <v>187</v>
      </c>
      <c r="C200" s="35"/>
      <c r="D200" s="2"/>
      <c r="E200" s="9" t="str">
        <f t="shared" si="24"/>
        <v/>
      </c>
      <c r="F200" s="54" t="str">
        <f t="shared" si="33"/>
        <v/>
      </c>
      <c r="G200" s="73" t="str">
        <f t="shared" si="25"/>
        <v/>
      </c>
      <c r="H200" s="56" t="str">
        <f t="shared" si="26"/>
        <v/>
      </c>
      <c r="I200" s="57" t="str">
        <f t="shared" si="27"/>
        <v/>
      </c>
      <c r="J200" s="58" t="str">
        <f t="shared" si="28"/>
        <v/>
      </c>
      <c r="L200" s="31" t="str">
        <f t="shared" si="29"/>
        <v/>
      </c>
      <c r="M200" s="32" t="str">
        <f t="shared" si="34"/>
        <v/>
      </c>
      <c r="N200" s="32" t="str">
        <f t="shared" si="30"/>
        <v/>
      </c>
      <c r="O200" s="32" t="str">
        <f t="shared" si="31"/>
        <v/>
      </c>
      <c r="P200" s="32" t="str">
        <f t="shared" si="35"/>
        <v/>
      </c>
      <c r="Q200" s="33" t="str">
        <f t="shared" si="35"/>
        <v/>
      </c>
    </row>
    <row r="201" spans="2:17" x14ac:dyDescent="0.25">
      <c r="B201" s="9">
        <v>188</v>
      </c>
      <c r="C201" s="35"/>
      <c r="D201" s="2"/>
      <c r="E201" s="9" t="str">
        <f t="shared" si="24"/>
        <v/>
      </c>
      <c r="F201" s="54" t="str">
        <f t="shared" si="33"/>
        <v/>
      </c>
      <c r="G201" s="73" t="str">
        <f t="shared" si="25"/>
        <v/>
      </c>
      <c r="H201" s="56" t="str">
        <f t="shared" si="26"/>
        <v/>
      </c>
      <c r="I201" s="57" t="str">
        <f t="shared" si="27"/>
        <v/>
      </c>
      <c r="J201" s="58" t="str">
        <f t="shared" si="28"/>
        <v/>
      </c>
      <c r="L201" s="31" t="str">
        <f t="shared" si="29"/>
        <v/>
      </c>
      <c r="M201" s="32" t="str">
        <f t="shared" si="34"/>
        <v/>
      </c>
      <c r="N201" s="32" t="str">
        <f t="shared" si="30"/>
        <v/>
      </c>
      <c r="O201" s="32" t="str">
        <f t="shared" si="31"/>
        <v/>
      </c>
      <c r="P201" s="32" t="str">
        <f t="shared" si="35"/>
        <v/>
      </c>
      <c r="Q201" s="33" t="str">
        <f t="shared" si="35"/>
        <v/>
      </c>
    </row>
    <row r="202" spans="2:17" x14ac:dyDescent="0.25">
      <c r="B202" s="9">
        <v>189</v>
      </c>
      <c r="C202" s="35"/>
      <c r="D202" s="2"/>
      <c r="E202" s="9" t="str">
        <f t="shared" si="24"/>
        <v/>
      </c>
      <c r="F202" s="54" t="str">
        <f t="shared" si="33"/>
        <v/>
      </c>
      <c r="G202" s="73" t="str">
        <f t="shared" si="25"/>
        <v/>
      </c>
      <c r="H202" s="56" t="str">
        <f t="shared" si="26"/>
        <v/>
      </c>
      <c r="I202" s="57" t="str">
        <f t="shared" si="27"/>
        <v/>
      </c>
      <c r="J202" s="58" t="str">
        <f t="shared" si="28"/>
        <v/>
      </c>
      <c r="L202" s="31" t="str">
        <f t="shared" si="29"/>
        <v/>
      </c>
      <c r="M202" s="32" t="str">
        <f t="shared" si="34"/>
        <v/>
      </c>
      <c r="N202" s="32" t="str">
        <f t="shared" si="30"/>
        <v/>
      </c>
      <c r="O202" s="32" t="str">
        <f t="shared" si="31"/>
        <v/>
      </c>
      <c r="P202" s="32" t="str">
        <f t="shared" si="35"/>
        <v/>
      </c>
      <c r="Q202" s="33" t="str">
        <f t="shared" si="35"/>
        <v/>
      </c>
    </row>
    <row r="203" spans="2:17" ht="13.8" thickBot="1" x14ac:dyDescent="0.3">
      <c r="B203" s="10">
        <v>190</v>
      </c>
      <c r="C203" s="36"/>
      <c r="D203" s="2"/>
      <c r="E203" s="10" t="str">
        <f t="shared" si="24"/>
        <v/>
      </c>
      <c r="F203" s="26" t="str">
        <f t="shared" si="33"/>
        <v/>
      </c>
      <c r="G203" s="74" t="str">
        <f t="shared" si="25"/>
        <v/>
      </c>
      <c r="H203" s="60" t="str">
        <f t="shared" si="26"/>
        <v/>
      </c>
      <c r="I203" s="61" t="str">
        <f t="shared" si="27"/>
        <v/>
      </c>
      <c r="J203" s="62" t="str">
        <f t="shared" si="28"/>
        <v/>
      </c>
      <c r="L203" s="65" t="str">
        <f t="shared" si="29"/>
        <v/>
      </c>
      <c r="M203" s="66" t="str">
        <f t="shared" si="34"/>
        <v/>
      </c>
      <c r="N203" s="66" t="str">
        <f t="shared" si="30"/>
        <v/>
      </c>
      <c r="O203" s="66" t="str">
        <f t="shared" si="31"/>
        <v/>
      </c>
      <c r="P203" s="66" t="str">
        <f t="shared" si="35"/>
        <v/>
      </c>
      <c r="Q203" s="67" t="str">
        <f t="shared" si="35"/>
        <v/>
      </c>
    </row>
    <row r="204" spans="2:17" ht="13.8" thickTop="1" x14ac:dyDescent="0.25">
      <c r="B204" s="2"/>
      <c r="C204" s="2"/>
      <c r="D204" s="2"/>
      <c r="E204" s="2"/>
      <c r="F204" s="2"/>
      <c r="G204" s="43"/>
      <c r="H204" s="2"/>
    </row>
    <row r="205" spans="2:17" x14ac:dyDescent="0.25">
      <c r="B205" s="2"/>
      <c r="C205" s="2"/>
      <c r="D205" s="2"/>
      <c r="E205" s="2"/>
      <c r="F205" s="2"/>
      <c r="G205" s="43"/>
      <c r="H205" s="2"/>
    </row>
    <row r="206" spans="2:17" x14ac:dyDescent="0.25">
      <c r="B206" s="2"/>
      <c r="C206" s="2"/>
      <c r="D206" s="2"/>
      <c r="E206" s="2"/>
      <c r="F206" s="2"/>
      <c r="G206" s="43"/>
      <c r="H206" s="2"/>
    </row>
    <row r="207" spans="2:17" x14ac:dyDescent="0.25">
      <c r="B207" s="2"/>
      <c r="C207" s="2"/>
      <c r="D207" s="2"/>
      <c r="E207" s="2"/>
      <c r="F207" s="2"/>
      <c r="G207" s="43"/>
      <c r="H207" s="2"/>
    </row>
  </sheetData>
  <mergeCells count="14">
    <mergeCell ref="E8:G8"/>
    <mergeCell ref="E9:G9"/>
    <mergeCell ref="U3:V3"/>
    <mergeCell ref="E4:G4"/>
    <mergeCell ref="B11:C11"/>
    <mergeCell ref="E11:J11"/>
    <mergeCell ref="B3:C3"/>
    <mergeCell ref="E3:H3"/>
    <mergeCell ref="J3:K3"/>
    <mergeCell ref="M3:R3"/>
    <mergeCell ref="L11:Q11"/>
    <mergeCell ref="E5:G5"/>
    <mergeCell ref="E6:G6"/>
    <mergeCell ref="E7:G7"/>
  </mergeCells>
  <pageMargins left="0.75" right="0.75" top="1" bottom="1" header="0.5" footer="0.5"/>
  <pageSetup paperSize="9" orientation="portrait" verticalDpi="0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898C0-9110-40EB-A554-6A0D46ABDA9D}">
  <sheetPr codeName="Blad18"/>
  <dimension ref="B1:AU207"/>
  <sheetViews>
    <sheetView topLeftCell="A16" workbookViewId="0">
      <selection activeCell="B1" sqref="B1"/>
    </sheetView>
  </sheetViews>
  <sheetFormatPr defaultRowHeight="13.2" x14ac:dyDescent="0.25"/>
  <cols>
    <col min="1" max="1" width="2" customWidth="1"/>
    <col min="4" max="4" width="4.5546875" customWidth="1"/>
    <col min="6" max="6" width="10.6640625" bestFit="1" customWidth="1"/>
    <col min="11" max="11" width="8.33203125" customWidth="1"/>
  </cols>
  <sheetData>
    <row r="1" spans="2:47" ht="12" customHeight="1" x14ac:dyDescent="0.25">
      <c r="B1" s="4"/>
      <c r="E1" s="2"/>
      <c r="F1" s="1"/>
      <c r="G1" s="2"/>
      <c r="H1" s="2"/>
      <c r="S1" t="str">
        <f>Invoer!L1</f>
        <v>versie 1.2 juli 2009</v>
      </c>
    </row>
    <row r="2" spans="2:47" ht="5.25" customHeight="1" thickBot="1" x14ac:dyDescent="0.3">
      <c r="B2" s="51"/>
      <c r="H2" s="2"/>
    </row>
    <row r="3" spans="2:47" ht="14.4" thickTop="1" thickBot="1" x14ac:dyDescent="0.3">
      <c r="B3" s="152" t="s">
        <v>22</v>
      </c>
      <c r="C3" s="154"/>
      <c r="E3" s="152" t="s">
        <v>15</v>
      </c>
      <c r="F3" s="153"/>
      <c r="G3" s="153"/>
      <c r="H3" s="154"/>
      <c r="J3" s="152" t="s">
        <v>20</v>
      </c>
      <c r="K3" s="160"/>
      <c r="M3" s="152" t="s">
        <v>31</v>
      </c>
      <c r="N3" s="153"/>
      <c r="O3" s="153"/>
      <c r="P3" s="153"/>
      <c r="Q3" s="161"/>
      <c r="R3" s="162"/>
      <c r="U3" s="152" t="s">
        <v>23</v>
      </c>
      <c r="V3" s="160"/>
    </row>
    <row r="4" spans="2:47" ht="16.2" thickTop="1" x14ac:dyDescent="0.35">
      <c r="B4" s="18" t="s">
        <v>12</v>
      </c>
      <c r="C4" s="83" t="s">
        <v>129</v>
      </c>
      <c r="E4" s="155" t="s">
        <v>35</v>
      </c>
      <c r="F4" s="146"/>
      <c r="G4" s="147"/>
      <c r="H4" s="38">
        <v>5</v>
      </c>
      <c r="J4" s="16" t="s">
        <v>11</v>
      </c>
      <c r="K4" s="20">
        <f>COUNT(G14:G203)</f>
        <v>154</v>
      </c>
      <c r="M4" s="6" t="s">
        <v>12</v>
      </c>
      <c r="N4" s="88" t="s">
        <v>54</v>
      </c>
      <c r="O4" s="15" t="s">
        <v>53</v>
      </c>
      <c r="P4" s="15" t="s">
        <v>29</v>
      </c>
      <c r="Q4" s="68" t="s">
        <v>45</v>
      </c>
      <c r="R4" s="20" t="s">
        <v>30</v>
      </c>
      <c r="U4" s="69" t="s">
        <v>7</v>
      </c>
      <c r="V4" s="21">
        <f>IF(C6="","",((H7/1000)^3-1.5*(H6/1000)^2*(H7/1000)+0.5*(H6/1000)^3)/(4*(C6/1000)*(C7/1000)^3))</f>
        <v>308.73642876426067</v>
      </c>
    </row>
    <row r="5" spans="2:47" ht="16.2" thickBot="1" x14ac:dyDescent="0.4">
      <c r="B5" s="19" t="s">
        <v>27</v>
      </c>
      <c r="C5" s="27">
        <v>1300.8</v>
      </c>
      <c r="D5" s="2"/>
      <c r="E5" s="145" t="s">
        <v>14</v>
      </c>
      <c r="F5" s="148"/>
      <c r="G5" s="147"/>
      <c r="H5" s="28">
        <v>1</v>
      </c>
      <c r="J5" s="17" t="s">
        <v>18</v>
      </c>
      <c r="K5" s="21">
        <f>IF(I15="","",ROUND(AVERAGE(I15:I16),0))</f>
        <v>2671</v>
      </c>
      <c r="M5" s="13"/>
      <c r="N5" s="12" t="s">
        <v>48</v>
      </c>
      <c r="O5" s="14" t="s">
        <v>1</v>
      </c>
      <c r="P5" s="14" t="s">
        <v>1</v>
      </c>
      <c r="Q5" s="68" t="s">
        <v>46</v>
      </c>
      <c r="R5" s="22" t="s">
        <v>10</v>
      </c>
      <c r="U5" s="69" t="s">
        <v>8</v>
      </c>
      <c r="V5" s="87">
        <f>0.573*C5/1000+0.872*H8/1000</f>
        <v>2.2277583999999999</v>
      </c>
    </row>
    <row r="6" spans="2:47" ht="14.4" thickTop="1" thickBot="1" x14ac:dyDescent="0.3">
      <c r="B6" s="19" t="s">
        <v>5</v>
      </c>
      <c r="C6" s="27">
        <v>50.3</v>
      </c>
      <c r="D6" s="2"/>
      <c r="E6" s="145" t="s">
        <v>26</v>
      </c>
      <c r="F6" s="146"/>
      <c r="G6" s="147"/>
      <c r="H6" s="28">
        <v>0</v>
      </c>
      <c r="J6" s="17" t="s">
        <v>44</v>
      </c>
      <c r="K6" s="21">
        <f>IF(J15="","",ROUND(AVERAGE(J15:J16),0))</f>
        <v>9</v>
      </c>
      <c r="M6" s="16"/>
      <c r="N6" s="45"/>
      <c r="O6" s="45"/>
      <c r="P6" s="45"/>
      <c r="Q6" s="15"/>
      <c r="R6" s="39"/>
      <c r="U6" s="13" t="s">
        <v>57</v>
      </c>
      <c r="V6" s="98">
        <f ca="1">IF(K5="","",(OFFSET(H14,K4-1,1)+OFFSET(H14,K4-1,1))/2)</f>
        <v>54</v>
      </c>
      <c r="AB6" t="s">
        <v>84</v>
      </c>
    </row>
    <row r="7" spans="2:47" ht="16.8" thickTop="1" thickBot="1" x14ac:dyDescent="0.4">
      <c r="B7" s="19" t="s">
        <v>6</v>
      </c>
      <c r="C7" s="27">
        <v>50.5</v>
      </c>
      <c r="D7" s="2"/>
      <c r="E7" s="145" t="s">
        <v>25</v>
      </c>
      <c r="F7" s="146"/>
      <c r="G7" s="147"/>
      <c r="H7" s="28">
        <v>200</v>
      </c>
      <c r="J7" s="17" t="s">
        <v>19</v>
      </c>
      <c r="K7" s="21">
        <f ca="1">IF(K5="n/b","",OFFSET(B14,K4-1,1))</f>
        <v>72000</v>
      </c>
      <c r="M7" s="13" t="str">
        <f>IF(C4="","",C4)</f>
        <v>1V</v>
      </c>
      <c r="N7" s="42">
        <f ca="1">IF(K8="","",K$8)</f>
        <v>1.2134868421052638</v>
      </c>
      <c r="O7" s="42">
        <f ca="1">K9</f>
        <v>0.66641176470588392</v>
      </c>
      <c r="P7" s="46">
        <f>K5</f>
        <v>2671</v>
      </c>
      <c r="Q7" s="46">
        <f>K6</f>
        <v>9</v>
      </c>
      <c r="R7" s="50">
        <f ca="1">K7</f>
        <v>72000</v>
      </c>
      <c r="AB7" t="s">
        <v>85</v>
      </c>
    </row>
    <row r="8" spans="2:47" ht="16.8" thickTop="1" thickBot="1" x14ac:dyDescent="0.4">
      <c r="B8" s="37" t="s">
        <v>51</v>
      </c>
      <c r="C8" s="82"/>
      <c r="D8" s="2"/>
      <c r="E8" s="145" t="s">
        <v>28</v>
      </c>
      <c r="F8" s="148"/>
      <c r="G8" s="146"/>
      <c r="H8" s="28">
        <v>1700</v>
      </c>
      <c r="J8" s="17" t="s">
        <v>49</v>
      </c>
      <c r="K8" s="87">
        <f ca="1">IF(G14="","",AVERAGE(G15:OFFSET(F14,MATCH(K7,C14:C200)-2,1)))</f>
        <v>1.2134868421052638</v>
      </c>
      <c r="L8" s="135"/>
      <c r="AB8" t="s">
        <v>125</v>
      </c>
    </row>
    <row r="9" spans="2:47" ht="16.8" thickTop="1" thickBot="1" x14ac:dyDescent="0.4">
      <c r="B9" s="23" t="s">
        <v>50</v>
      </c>
      <c r="C9" s="24">
        <f>IF(C7="","",1.5*H7*(C8-H9)/(C6*C7^2))</f>
        <v>-0.11693392239446372</v>
      </c>
      <c r="D9" s="2"/>
      <c r="E9" s="149" t="s">
        <v>55</v>
      </c>
      <c r="F9" s="150"/>
      <c r="G9" s="151"/>
      <c r="H9" s="29">
        <v>50</v>
      </c>
      <c r="J9" s="23" t="s">
        <v>52</v>
      </c>
      <c r="K9" s="24">
        <f ca="1">IF(H14="","",AVERAGE(H15:OFFSET(H14,MATCH(K7,C14:C200)-1,0)))</f>
        <v>0.66641176470588392</v>
      </c>
      <c r="L9" s="135"/>
      <c r="AB9" t="s">
        <v>126</v>
      </c>
    </row>
    <row r="10" spans="2:47" ht="6.75" customHeight="1" thickTop="1" thickBot="1" x14ac:dyDescent="0.3">
      <c r="B10" s="5"/>
      <c r="C10" s="5"/>
      <c r="D10" s="2"/>
      <c r="E10" s="2"/>
      <c r="F10" s="2"/>
      <c r="G10" s="2"/>
      <c r="H10" s="2"/>
      <c r="AB10" t="s">
        <v>127</v>
      </c>
    </row>
    <row r="11" spans="2:47" ht="14.4" thickTop="1" thickBot="1" x14ac:dyDescent="0.3">
      <c r="B11" s="163" t="s">
        <v>13</v>
      </c>
      <c r="C11" s="164"/>
      <c r="D11" s="2"/>
      <c r="E11" s="152" t="s">
        <v>16</v>
      </c>
      <c r="F11" s="165"/>
      <c r="G11" s="165"/>
      <c r="H11" s="161"/>
      <c r="I11" s="161"/>
      <c r="J11" s="162"/>
      <c r="L11" s="152" t="s">
        <v>17</v>
      </c>
      <c r="M11" s="153"/>
      <c r="N11" s="153"/>
      <c r="O11" s="153"/>
      <c r="P11" s="153"/>
      <c r="Q11" s="154"/>
      <c r="AB11" t="s">
        <v>128</v>
      </c>
    </row>
    <row r="12" spans="2:47" ht="16.2" thickTop="1" x14ac:dyDescent="0.35">
      <c r="B12" s="6"/>
      <c r="C12" s="8" t="s">
        <v>9</v>
      </c>
      <c r="D12" s="3"/>
      <c r="E12" s="52" t="s">
        <v>80</v>
      </c>
      <c r="F12" s="53" t="s">
        <v>36</v>
      </c>
      <c r="G12" s="53" t="s">
        <v>81</v>
      </c>
      <c r="H12" s="55" t="s">
        <v>37</v>
      </c>
      <c r="I12" s="7" t="s">
        <v>0</v>
      </c>
      <c r="J12" s="8" t="s">
        <v>2</v>
      </c>
      <c r="K12" s="138"/>
      <c r="L12" s="7" t="s">
        <v>38</v>
      </c>
      <c r="M12" s="25" t="s">
        <v>82</v>
      </c>
      <c r="N12" s="25" t="s">
        <v>39</v>
      </c>
      <c r="O12" s="25" t="s">
        <v>43</v>
      </c>
      <c r="P12" s="25" t="s">
        <v>24</v>
      </c>
      <c r="Q12" s="8" t="s">
        <v>21</v>
      </c>
    </row>
    <row r="13" spans="2:47" ht="13.8" thickBot="1" x14ac:dyDescent="0.3">
      <c r="B13" s="13"/>
      <c r="C13" s="11" t="s">
        <v>10</v>
      </c>
      <c r="D13" s="3"/>
      <c r="E13" s="10" t="s">
        <v>4</v>
      </c>
      <c r="F13" s="26" t="s">
        <v>4</v>
      </c>
      <c r="G13" s="26" t="s">
        <v>1</v>
      </c>
      <c r="H13" s="63" t="s">
        <v>1</v>
      </c>
      <c r="I13" s="10" t="s">
        <v>1</v>
      </c>
      <c r="J13" s="11" t="s">
        <v>3</v>
      </c>
      <c r="K13" s="136"/>
      <c r="L13" s="10" t="s">
        <v>40</v>
      </c>
      <c r="M13" s="26" t="s">
        <v>40</v>
      </c>
      <c r="N13" s="26" t="s">
        <v>41</v>
      </c>
      <c r="O13" s="26" t="s">
        <v>41</v>
      </c>
      <c r="P13" s="26" t="s">
        <v>42</v>
      </c>
      <c r="Q13" s="11" t="s">
        <v>42</v>
      </c>
    </row>
    <row r="14" spans="2:47" ht="13.8" thickTop="1" x14ac:dyDescent="0.25">
      <c r="B14" s="7">
        <v>1</v>
      </c>
      <c r="C14" s="34">
        <v>0</v>
      </c>
      <c r="D14" s="3"/>
      <c r="E14" s="9">
        <f t="shared" ref="E14:E77" si="0">IF(L14="","",ROUND(12*C$7/(2*H$7^2+2*H$6*H$7-H$6^2)*L14*1000000,0))</f>
        <v>629</v>
      </c>
      <c r="F14" s="54">
        <f>IF(L14="","",ABS(ROUND(12*C$7/(2*(H$7/1000)^2+2*(H$6/1000)*(H$7/1000)-(H$6/1000)^2)*(M14-M$14)*1,0)))</f>
        <v>0</v>
      </c>
      <c r="G14" s="73">
        <f t="shared" ref="G14:G77" si="1">IF(L14="","",ROUND(1.5*((N14-O14)*1000*H$7)/(C$6*C$7^2),3))</f>
        <v>1.1719999999999999</v>
      </c>
      <c r="H14" s="56">
        <f t="shared" ref="H14:H77" si="2">IF(L14="","",ROUND(1.5*((N14/2-O14)*1000*H$7)/(C$6*C$7^2),3))</f>
        <v>0.64100000000000001</v>
      </c>
      <c r="I14" s="57">
        <f t="shared" ref="I14:I77" si="3">IF(L14="","",IF(P14&lt;=0,"foute meting",ROUND(0.000001*V$4*SQRT((1000000*Q14)^2+(1000000*P14+V$5*(2*PI()*H$5)^2)^2),0)))</f>
        <v>2393</v>
      </c>
      <c r="J14" s="58">
        <f t="shared" ref="J14:J77" si="4">IF(L14="","",ROUND(ATAN(Q14/P14)/PI()*180,1))</f>
        <v>3.8</v>
      </c>
      <c r="L14" s="31">
        <f t="shared" ref="L14:L77" si="5">IF(AG16&lt;=0,"",AG16)</f>
        <v>8.3000000000000004E-2</v>
      </c>
      <c r="M14" s="30">
        <f>IF(AG16="","",AG16/2-AE16)</f>
        <v>3.6500000000000005E-2</v>
      </c>
      <c r="N14" s="30">
        <f t="shared" ref="N14:N77" si="6">IF(AI16="","",AI16)</f>
        <v>0.45400000000000001</v>
      </c>
      <c r="O14" s="30">
        <f t="shared" ref="O14:O77" si="7">IF(AH16="","",AH16)</f>
        <v>-4.7E-2</v>
      </c>
      <c r="P14" s="30">
        <f t="shared" ref="P14:Q45" si="8">IF(AJ16="","",AJ16)</f>
        <v>7.7350000000000003</v>
      </c>
      <c r="Q14" s="59">
        <f t="shared" si="8"/>
        <v>0.50700000000000001</v>
      </c>
      <c r="AB14" t="s">
        <v>86</v>
      </c>
      <c r="AC14" t="s">
        <v>87</v>
      </c>
      <c r="AD14" t="s">
        <v>88</v>
      </c>
      <c r="AE14" t="s">
        <v>89</v>
      </c>
      <c r="AF14" t="s">
        <v>90</v>
      </c>
      <c r="AG14" t="s">
        <v>91</v>
      </c>
      <c r="AH14" t="s">
        <v>113</v>
      </c>
      <c r="AI14" t="s">
        <v>114</v>
      </c>
      <c r="AJ14" t="s">
        <v>92</v>
      </c>
      <c r="AK14" t="s">
        <v>93</v>
      </c>
      <c r="AL14" t="s">
        <v>94</v>
      </c>
      <c r="AM14" t="s">
        <v>95</v>
      </c>
      <c r="AN14" t="s">
        <v>96</v>
      </c>
      <c r="AO14" t="s">
        <v>97</v>
      </c>
      <c r="AP14" t="s">
        <v>98</v>
      </c>
      <c r="AQ14" t="s">
        <v>99</v>
      </c>
      <c r="AR14" t="s">
        <v>100</v>
      </c>
      <c r="AS14" t="s">
        <v>101</v>
      </c>
      <c r="AT14" t="s">
        <v>102</v>
      </c>
      <c r="AU14" t="s">
        <v>103</v>
      </c>
    </row>
    <row r="15" spans="2:47" x14ac:dyDescent="0.25">
      <c r="B15" s="9">
        <v>2</v>
      </c>
      <c r="C15" s="35">
        <v>10</v>
      </c>
      <c r="D15" s="3"/>
      <c r="E15" s="9">
        <f t="shared" si="0"/>
        <v>485</v>
      </c>
      <c r="F15" s="54">
        <f t="shared" ref="F15:F78" si="9">IF(L15="","",ABS(ROUND(12*C$7/(2*(H$7/1000)^2+2*(H$6/1000)*(H$7/1000)-(H$6/1000)^2)*(M15-M$14)*1,0)))</f>
        <v>208</v>
      </c>
      <c r="G15" s="73">
        <f t="shared" si="1"/>
        <v>1.202</v>
      </c>
      <c r="H15" s="56">
        <f t="shared" si="2"/>
        <v>0.67</v>
      </c>
      <c r="I15" s="57">
        <f t="shared" si="3"/>
        <v>2660</v>
      </c>
      <c r="J15" s="58">
        <f t="shared" si="4"/>
        <v>8.6999999999999993</v>
      </c>
      <c r="L15" s="31">
        <f t="shared" si="5"/>
        <v>6.4000000000000001E-2</v>
      </c>
      <c r="M15" s="32">
        <f t="shared" ref="M15:M78" si="10">IF(AG17="","",AG17/2-AE17)</f>
        <v>6.4000000000000001E-2</v>
      </c>
      <c r="N15" s="32">
        <f t="shared" si="6"/>
        <v>0.45500000000000002</v>
      </c>
      <c r="O15" s="32">
        <f t="shared" si="7"/>
        <v>-5.8999999999999997E-2</v>
      </c>
      <c r="P15" s="32">
        <f t="shared" si="8"/>
        <v>8.5169999999999995</v>
      </c>
      <c r="Q15" s="33">
        <f t="shared" si="8"/>
        <v>1.3080000000000001</v>
      </c>
      <c r="AE15" t="s">
        <v>104</v>
      </c>
      <c r="AF15" t="s">
        <v>104</v>
      </c>
      <c r="AG15" t="s">
        <v>104</v>
      </c>
      <c r="AH15" t="s">
        <v>105</v>
      </c>
      <c r="AI15" t="s">
        <v>105</v>
      </c>
      <c r="AJ15" t="s">
        <v>106</v>
      </c>
      <c r="AK15" t="s">
        <v>106</v>
      </c>
      <c r="AL15" t="s">
        <v>107</v>
      </c>
      <c r="AN15" t="s">
        <v>106</v>
      </c>
      <c r="AO15" t="s">
        <v>106</v>
      </c>
      <c r="AP15" t="s">
        <v>108</v>
      </c>
      <c r="AQ15" t="s">
        <v>107</v>
      </c>
      <c r="AS15" t="s">
        <v>109</v>
      </c>
      <c r="AT15" t="s">
        <v>107</v>
      </c>
    </row>
    <row r="16" spans="2:47" x14ac:dyDescent="0.25">
      <c r="B16" s="9">
        <v>3</v>
      </c>
      <c r="C16" s="35">
        <v>20</v>
      </c>
      <c r="D16" s="3"/>
      <c r="E16" s="9">
        <f t="shared" si="0"/>
        <v>477</v>
      </c>
      <c r="F16" s="54">
        <f t="shared" si="9"/>
        <v>280</v>
      </c>
      <c r="G16" s="73">
        <f t="shared" si="1"/>
        <v>1.204</v>
      </c>
      <c r="H16" s="56">
        <f t="shared" si="2"/>
        <v>0.66900000000000004</v>
      </c>
      <c r="I16" s="57">
        <f t="shared" si="3"/>
        <v>2681</v>
      </c>
      <c r="J16" s="58">
        <f t="shared" si="4"/>
        <v>8.5</v>
      </c>
      <c r="L16" s="31">
        <f t="shared" si="5"/>
        <v>6.3E-2</v>
      </c>
      <c r="M16" s="32">
        <f t="shared" si="10"/>
        <v>7.350000000000001E-2</v>
      </c>
      <c r="N16" s="32">
        <f t="shared" si="6"/>
        <v>0.45800000000000002</v>
      </c>
      <c r="O16" s="32">
        <f t="shared" si="7"/>
        <v>-5.7000000000000002E-2</v>
      </c>
      <c r="P16" s="32">
        <f t="shared" si="8"/>
        <v>8.5890000000000004</v>
      </c>
      <c r="Q16" s="33">
        <f t="shared" si="8"/>
        <v>1.2809999999999999</v>
      </c>
      <c r="AB16">
        <v>2</v>
      </c>
      <c r="AC16">
        <v>4</v>
      </c>
      <c r="AD16">
        <v>1</v>
      </c>
      <c r="AE16">
        <v>5.0000000000000001E-3</v>
      </c>
      <c r="AF16">
        <v>-7.8E-2</v>
      </c>
      <c r="AG16">
        <v>8.3000000000000004E-2</v>
      </c>
      <c r="AH16">
        <v>-4.7E-2</v>
      </c>
      <c r="AI16">
        <v>0.45400000000000001</v>
      </c>
      <c r="AJ16">
        <v>7.7350000000000003</v>
      </c>
      <c r="AK16">
        <v>0.50700000000000001</v>
      </c>
      <c r="AL16">
        <v>3.2759999999999998</v>
      </c>
      <c r="AM16">
        <v>5.7000000000000002E-2</v>
      </c>
      <c r="AN16">
        <v>7.7720000000000002</v>
      </c>
      <c r="AO16">
        <v>7.08</v>
      </c>
      <c r="AP16">
        <v>2E-3</v>
      </c>
      <c r="AQ16">
        <v>5.444</v>
      </c>
      <c r="AR16">
        <v>9.5000000000000001E-2</v>
      </c>
      <c r="AS16">
        <v>1</v>
      </c>
      <c r="AT16">
        <v>0</v>
      </c>
      <c r="AU16">
        <v>64</v>
      </c>
    </row>
    <row r="17" spans="2:47" x14ac:dyDescent="0.25">
      <c r="B17" s="9">
        <v>4</v>
      </c>
      <c r="C17" s="35">
        <v>30</v>
      </c>
      <c r="D17" s="3"/>
      <c r="E17" s="9">
        <f t="shared" si="0"/>
        <v>462</v>
      </c>
      <c r="F17" s="54">
        <f t="shared" si="9"/>
        <v>341</v>
      </c>
      <c r="G17" s="73">
        <f t="shared" si="1"/>
        <v>1.214</v>
      </c>
      <c r="H17" s="56">
        <f t="shared" si="2"/>
        <v>0.67</v>
      </c>
      <c r="I17" s="57">
        <f t="shared" si="3"/>
        <v>2706</v>
      </c>
      <c r="J17" s="58">
        <f t="shared" si="4"/>
        <v>8.5</v>
      </c>
      <c r="L17" s="31">
        <f t="shared" si="5"/>
        <v>6.0999999999999999E-2</v>
      </c>
      <c r="M17" s="32">
        <f t="shared" si="10"/>
        <v>8.1499999999999989E-2</v>
      </c>
      <c r="N17" s="32">
        <f t="shared" si="6"/>
        <v>0.46500000000000002</v>
      </c>
      <c r="O17" s="32">
        <f t="shared" si="7"/>
        <v>-5.3999999999999999E-2</v>
      </c>
      <c r="P17" s="32">
        <f t="shared" si="8"/>
        <v>8.6690000000000005</v>
      </c>
      <c r="Q17" s="33">
        <f t="shared" si="8"/>
        <v>1.2949999999999999</v>
      </c>
      <c r="AB17">
        <v>2</v>
      </c>
      <c r="AC17">
        <v>4</v>
      </c>
      <c r="AD17">
        <v>2</v>
      </c>
      <c r="AE17">
        <v>-3.2000000000000001E-2</v>
      </c>
      <c r="AF17">
        <v>-9.5000000000000001E-2</v>
      </c>
      <c r="AG17">
        <v>6.4000000000000001E-2</v>
      </c>
      <c r="AH17">
        <v>-5.8999999999999997E-2</v>
      </c>
      <c r="AI17">
        <v>0.45500000000000002</v>
      </c>
      <c r="AJ17">
        <v>8.5169999999999995</v>
      </c>
      <c r="AK17">
        <v>1.3080000000000001</v>
      </c>
      <c r="AL17">
        <v>8.7319999999999993</v>
      </c>
      <c r="AM17">
        <v>0.154</v>
      </c>
      <c r="AN17">
        <v>8.6170000000000009</v>
      </c>
      <c r="AO17">
        <v>7.7190000000000003</v>
      </c>
      <c r="AP17">
        <v>3.0000000000000001E-3</v>
      </c>
      <c r="AQ17">
        <v>7.6710000000000003</v>
      </c>
      <c r="AR17">
        <v>0.13500000000000001</v>
      </c>
      <c r="AS17">
        <v>1</v>
      </c>
      <c r="AT17">
        <v>0</v>
      </c>
      <c r="AU17">
        <v>64</v>
      </c>
    </row>
    <row r="18" spans="2:47" x14ac:dyDescent="0.25">
      <c r="B18" s="9">
        <v>5</v>
      </c>
      <c r="C18" s="35">
        <v>40</v>
      </c>
      <c r="D18" s="3"/>
      <c r="E18" s="9">
        <f t="shared" si="0"/>
        <v>485</v>
      </c>
      <c r="F18" s="54">
        <f t="shared" si="9"/>
        <v>383</v>
      </c>
      <c r="G18" s="73">
        <f t="shared" si="1"/>
        <v>1.2110000000000001</v>
      </c>
      <c r="H18" s="56">
        <f t="shared" si="2"/>
        <v>0.66800000000000004</v>
      </c>
      <c r="I18" s="57">
        <f t="shared" si="3"/>
        <v>2722</v>
      </c>
      <c r="J18" s="58">
        <f t="shared" si="4"/>
        <v>7.5</v>
      </c>
      <c r="L18" s="31">
        <f t="shared" si="5"/>
        <v>6.4000000000000001E-2</v>
      </c>
      <c r="M18" s="32">
        <f t="shared" si="10"/>
        <v>8.6999999999999994E-2</v>
      </c>
      <c r="N18" s="32">
        <f t="shared" si="6"/>
        <v>0.46500000000000002</v>
      </c>
      <c r="O18" s="32">
        <f t="shared" si="7"/>
        <v>-5.2999999999999999E-2</v>
      </c>
      <c r="P18" s="32">
        <f t="shared" si="8"/>
        <v>8.7409999999999997</v>
      </c>
      <c r="Q18" s="33">
        <f t="shared" si="8"/>
        <v>1.1539999999999999</v>
      </c>
      <c r="AB18">
        <v>2</v>
      </c>
      <c r="AC18">
        <v>4</v>
      </c>
      <c r="AD18">
        <v>3</v>
      </c>
      <c r="AE18">
        <v>-4.2000000000000003E-2</v>
      </c>
      <c r="AF18">
        <v>-0.105</v>
      </c>
      <c r="AG18">
        <v>6.3E-2</v>
      </c>
      <c r="AH18">
        <v>-5.7000000000000002E-2</v>
      </c>
      <c r="AI18">
        <v>0.45800000000000002</v>
      </c>
      <c r="AJ18">
        <v>8.5890000000000004</v>
      </c>
      <c r="AK18">
        <v>1.2809999999999999</v>
      </c>
      <c r="AL18">
        <v>8.4830000000000005</v>
      </c>
      <c r="AM18">
        <v>0.14899999999999999</v>
      </c>
      <c r="AN18">
        <v>8.6850000000000005</v>
      </c>
      <c r="AO18">
        <v>7.6989999999999998</v>
      </c>
      <c r="AP18">
        <v>3.0000000000000001E-3</v>
      </c>
      <c r="AQ18">
        <v>7.42</v>
      </c>
      <c r="AR18">
        <v>0.13</v>
      </c>
      <c r="AS18">
        <v>1</v>
      </c>
      <c r="AT18">
        <v>0</v>
      </c>
      <c r="AU18">
        <v>64</v>
      </c>
    </row>
    <row r="19" spans="2:47" x14ac:dyDescent="0.25">
      <c r="B19" s="9">
        <v>6</v>
      </c>
      <c r="C19" s="35">
        <v>50</v>
      </c>
      <c r="D19" s="3"/>
      <c r="E19" s="9">
        <f t="shared" si="0"/>
        <v>470</v>
      </c>
      <c r="F19" s="54">
        <f t="shared" si="9"/>
        <v>428</v>
      </c>
      <c r="G19" s="73">
        <f t="shared" si="1"/>
        <v>1.214</v>
      </c>
      <c r="H19" s="56">
        <f t="shared" si="2"/>
        <v>0.66800000000000004</v>
      </c>
      <c r="I19" s="57">
        <f t="shared" si="3"/>
        <v>2723</v>
      </c>
      <c r="J19" s="58">
        <f t="shared" si="4"/>
        <v>9</v>
      </c>
      <c r="L19" s="31">
        <f t="shared" si="5"/>
        <v>6.2E-2</v>
      </c>
      <c r="M19" s="32">
        <f t="shared" si="10"/>
        <v>9.2999999999999999E-2</v>
      </c>
      <c r="N19" s="32">
        <f t="shared" si="6"/>
        <v>0.46700000000000003</v>
      </c>
      <c r="O19" s="32">
        <f t="shared" si="7"/>
        <v>-5.1999999999999998E-2</v>
      </c>
      <c r="P19" s="32">
        <f t="shared" si="8"/>
        <v>8.7119999999999997</v>
      </c>
      <c r="Q19" s="33">
        <f t="shared" si="8"/>
        <v>1.3759999999999999</v>
      </c>
      <c r="AB19">
        <v>2</v>
      </c>
      <c r="AC19">
        <v>4</v>
      </c>
      <c r="AD19">
        <v>4</v>
      </c>
      <c r="AE19">
        <v>-5.0999999999999997E-2</v>
      </c>
      <c r="AF19">
        <v>-0.112</v>
      </c>
      <c r="AG19">
        <v>6.0999999999999999E-2</v>
      </c>
      <c r="AH19">
        <v>-5.3999999999999999E-2</v>
      </c>
      <c r="AI19">
        <v>0.46500000000000002</v>
      </c>
      <c r="AJ19">
        <v>8.6690000000000005</v>
      </c>
      <c r="AK19">
        <v>1.2949999999999999</v>
      </c>
      <c r="AL19">
        <v>8.4939999999999998</v>
      </c>
      <c r="AM19">
        <v>0.14899999999999999</v>
      </c>
      <c r="AN19">
        <v>8.766</v>
      </c>
      <c r="AO19">
        <v>7.7510000000000003</v>
      </c>
      <c r="AP19">
        <v>3.0000000000000001E-3</v>
      </c>
      <c r="AQ19">
        <v>7.3159999999999998</v>
      </c>
      <c r="AR19">
        <v>0.128</v>
      </c>
      <c r="AS19">
        <v>1</v>
      </c>
      <c r="AT19">
        <v>0</v>
      </c>
      <c r="AU19">
        <v>64</v>
      </c>
    </row>
    <row r="20" spans="2:47" x14ac:dyDescent="0.25">
      <c r="B20" s="9">
        <v>7</v>
      </c>
      <c r="C20" s="35">
        <v>60</v>
      </c>
      <c r="D20" s="3"/>
      <c r="E20" s="9">
        <f t="shared" si="0"/>
        <v>492</v>
      </c>
      <c r="F20" s="54">
        <f t="shared" si="9"/>
        <v>477</v>
      </c>
      <c r="G20" s="73">
        <f t="shared" si="1"/>
        <v>1.2110000000000001</v>
      </c>
      <c r="H20" s="56">
        <f t="shared" si="2"/>
        <v>0.66500000000000004</v>
      </c>
      <c r="I20" s="57">
        <f t="shared" si="3"/>
        <v>2733</v>
      </c>
      <c r="J20" s="58">
        <f t="shared" si="4"/>
        <v>8.4</v>
      </c>
      <c r="L20" s="31">
        <f t="shared" si="5"/>
        <v>6.5000000000000002E-2</v>
      </c>
      <c r="M20" s="32">
        <f t="shared" si="10"/>
        <v>9.9500000000000005E-2</v>
      </c>
      <c r="N20" s="32">
        <f t="shared" si="6"/>
        <v>0.46700000000000003</v>
      </c>
      <c r="O20" s="32">
        <f t="shared" si="7"/>
        <v>-5.0999999999999997E-2</v>
      </c>
      <c r="P20" s="32">
        <f t="shared" si="8"/>
        <v>8.7590000000000003</v>
      </c>
      <c r="Q20" s="33">
        <f t="shared" si="8"/>
        <v>1.286</v>
      </c>
      <c r="AB20">
        <v>2</v>
      </c>
      <c r="AC20">
        <v>4</v>
      </c>
      <c r="AD20">
        <v>5</v>
      </c>
      <c r="AE20">
        <v>-5.5E-2</v>
      </c>
      <c r="AF20">
        <v>-0.11899999999999999</v>
      </c>
      <c r="AG20">
        <v>6.4000000000000001E-2</v>
      </c>
      <c r="AH20">
        <v>-5.2999999999999999E-2</v>
      </c>
      <c r="AI20">
        <v>0.46500000000000002</v>
      </c>
      <c r="AJ20">
        <v>8.7409999999999997</v>
      </c>
      <c r="AK20">
        <v>1.1539999999999999</v>
      </c>
      <c r="AL20">
        <v>7.5209999999999999</v>
      </c>
      <c r="AM20">
        <v>0.13200000000000001</v>
      </c>
      <c r="AN20">
        <v>8.8170000000000002</v>
      </c>
      <c r="AO20">
        <v>7.6150000000000002</v>
      </c>
      <c r="AP20">
        <v>2E-3</v>
      </c>
      <c r="AQ20">
        <v>6.3090000000000002</v>
      </c>
      <c r="AR20">
        <v>0.111</v>
      </c>
      <c r="AS20">
        <v>1</v>
      </c>
      <c r="AT20">
        <v>0</v>
      </c>
      <c r="AU20">
        <v>64</v>
      </c>
    </row>
    <row r="21" spans="2:47" x14ac:dyDescent="0.25">
      <c r="B21" s="9">
        <v>8</v>
      </c>
      <c r="C21" s="35">
        <v>70</v>
      </c>
      <c r="D21" s="3"/>
      <c r="E21" s="9">
        <f t="shared" si="0"/>
        <v>477</v>
      </c>
      <c r="F21" s="54">
        <f t="shared" si="9"/>
        <v>508</v>
      </c>
      <c r="G21" s="73">
        <f t="shared" si="1"/>
        <v>1.214</v>
      </c>
      <c r="H21" s="56">
        <f t="shared" si="2"/>
        <v>0.66500000000000004</v>
      </c>
      <c r="I21" s="57">
        <f t="shared" si="3"/>
        <v>2721</v>
      </c>
      <c r="J21" s="58">
        <f t="shared" si="4"/>
        <v>8.4</v>
      </c>
      <c r="L21" s="31">
        <f t="shared" si="5"/>
        <v>6.3E-2</v>
      </c>
      <c r="M21" s="32">
        <f t="shared" si="10"/>
        <v>0.10349999999999999</v>
      </c>
      <c r="N21" s="32">
        <f t="shared" si="6"/>
        <v>0.46899999999999997</v>
      </c>
      <c r="O21" s="32">
        <f t="shared" si="7"/>
        <v>-0.05</v>
      </c>
      <c r="P21" s="32">
        <f t="shared" si="8"/>
        <v>8.7210000000000001</v>
      </c>
      <c r="Q21" s="33">
        <f t="shared" si="8"/>
        <v>1.282</v>
      </c>
      <c r="AB21">
        <v>2</v>
      </c>
      <c r="AC21">
        <v>4</v>
      </c>
      <c r="AD21">
        <v>6</v>
      </c>
      <c r="AE21">
        <v>-6.2E-2</v>
      </c>
      <c r="AF21">
        <v>-0.125</v>
      </c>
      <c r="AG21">
        <v>6.2E-2</v>
      </c>
      <c r="AH21">
        <v>-5.1999999999999998E-2</v>
      </c>
      <c r="AI21">
        <v>0.46700000000000003</v>
      </c>
      <c r="AJ21">
        <v>8.7119999999999997</v>
      </c>
      <c r="AK21">
        <v>1.3759999999999999</v>
      </c>
      <c r="AL21">
        <v>8.9779999999999998</v>
      </c>
      <c r="AM21">
        <v>0.158</v>
      </c>
      <c r="AN21">
        <v>8.82</v>
      </c>
      <c r="AO21">
        <v>7.7610000000000001</v>
      </c>
      <c r="AP21">
        <v>3.0000000000000001E-3</v>
      </c>
      <c r="AQ21">
        <v>7.6870000000000003</v>
      </c>
      <c r="AR21">
        <v>0.13500000000000001</v>
      </c>
      <c r="AS21">
        <v>1</v>
      </c>
      <c r="AT21">
        <v>0</v>
      </c>
      <c r="AU21">
        <v>64</v>
      </c>
    </row>
    <row r="22" spans="2:47" x14ac:dyDescent="0.25">
      <c r="B22" s="9">
        <v>9</v>
      </c>
      <c r="C22" s="35">
        <v>80</v>
      </c>
      <c r="D22" s="3"/>
      <c r="E22" s="9">
        <f t="shared" si="0"/>
        <v>470</v>
      </c>
      <c r="F22" s="54">
        <f t="shared" si="9"/>
        <v>526</v>
      </c>
      <c r="G22" s="73">
        <f t="shared" si="1"/>
        <v>1.2110000000000001</v>
      </c>
      <c r="H22" s="56">
        <f t="shared" si="2"/>
        <v>0.66500000000000004</v>
      </c>
      <c r="I22" s="57">
        <f t="shared" si="3"/>
        <v>2779</v>
      </c>
      <c r="J22" s="58">
        <f t="shared" si="4"/>
        <v>8.1999999999999993</v>
      </c>
      <c r="L22" s="31">
        <f t="shared" si="5"/>
        <v>6.2E-2</v>
      </c>
      <c r="M22" s="32">
        <f t="shared" si="10"/>
        <v>0.106</v>
      </c>
      <c r="N22" s="32">
        <f t="shared" si="6"/>
        <v>0.46700000000000003</v>
      </c>
      <c r="O22" s="32">
        <f t="shared" si="7"/>
        <v>-5.0999999999999997E-2</v>
      </c>
      <c r="P22" s="32">
        <f t="shared" si="8"/>
        <v>8.91</v>
      </c>
      <c r="Q22" s="33">
        <f t="shared" si="8"/>
        <v>1.2789999999999999</v>
      </c>
      <c r="AB22">
        <v>2</v>
      </c>
      <c r="AC22">
        <v>4</v>
      </c>
      <c r="AD22">
        <v>7</v>
      </c>
      <c r="AE22">
        <v>-6.7000000000000004E-2</v>
      </c>
      <c r="AF22">
        <v>-0.13200000000000001</v>
      </c>
      <c r="AG22">
        <v>6.5000000000000002E-2</v>
      </c>
      <c r="AH22">
        <v>-5.0999999999999997E-2</v>
      </c>
      <c r="AI22">
        <v>0.46700000000000003</v>
      </c>
      <c r="AJ22">
        <v>8.7590000000000003</v>
      </c>
      <c r="AK22">
        <v>1.286</v>
      </c>
      <c r="AL22">
        <v>8.35</v>
      </c>
      <c r="AM22">
        <v>0.14699999999999999</v>
      </c>
      <c r="AN22">
        <v>8.8529999999999998</v>
      </c>
      <c r="AO22">
        <v>7.6849999999999996</v>
      </c>
      <c r="AP22">
        <v>3.0000000000000001E-3</v>
      </c>
      <c r="AQ22">
        <v>7.0309999999999997</v>
      </c>
      <c r="AR22">
        <v>0.123</v>
      </c>
      <c r="AS22">
        <v>1</v>
      </c>
      <c r="AT22">
        <v>0</v>
      </c>
      <c r="AU22">
        <v>64</v>
      </c>
    </row>
    <row r="23" spans="2:47" x14ac:dyDescent="0.25">
      <c r="B23" s="9">
        <v>10</v>
      </c>
      <c r="C23" s="35">
        <v>90</v>
      </c>
      <c r="D23" s="3"/>
      <c r="E23" s="9">
        <f t="shared" si="0"/>
        <v>485</v>
      </c>
      <c r="F23" s="54">
        <f t="shared" si="9"/>
        <v>579</v>
      </c>
      <c r="G23" s="73">
        <f t="shared" si="1"/>
        <v>1.214</v>
      </c>
      <c r="H23" s="56">
        <f t="shared" si="2"/>
        <v>0.66700000000000004</v>
      </c>
      <c r="I23" s="57">
        <f t="shared" si="3"/>
        <v>2763</v>
      </c>
      <c r="J23" s="58">
        <f t="shared" si="4"/>
        <v>8.1</v>
      </c>
      <c r="L23" s="31">
        <f t="shared" si="5"/>
        <v>6.4000000000000001E-2</v>
      </c>
      <c r="M23" s="32">
        <f t="shared" si="10"/>
        <v>0.113</v>
      </c>
      <c r="N23" s="32">
        <f t="shared" si="6"/>
        <v>0.46800000000000003</v>
      </c>
      <c r="O23" s="32">
        <f t="shared" si="7"/>
        <v>-5.0999999999999997E-2</v>
      </c>
      <c r="P23" s="32">
        <f t="shared" si="8"/>
        <v>8.86</v>
      </c>
      <c r="Q23" s="33">
        <f t="shared" si="8"/>
        <v>1.2629999999999999</v>
      </c>
      <c r="AB23">
        <v>2</v>
      </c>
      <c r="AC23">
        <v>4</v>
      </c>
      <c r="AD23">
        <v>8</v>
      </c>
      <c r="AE23">
        <v>-7.1999999999999995E-2</v>
      </c>
      <c r="AF23">
        <v>-0.13400000000000001</v>
      </c>
      <c r="AG23">
        <v>6.3E-2</v>
      </c>
      <c r="AH23">
        <v>-0.05</v>
      </c>
      <c r="AI23">
        <v>0.46899999999999997</v>
      </c>
      <c r="AJ23">
        <v>8.7210000000000001</v>
      </c>
      <c r="AK23">
        <v>1.282</v>
      </c>
      <c r="AL23">
        <v>8.3620000000000001</v>
      </c>
      <c r="AM23">
        <v>0.14699999999999999</v>
      </c>
      <c r="AN23">
        <v>8.8149999999999995</v>
      </c>
      <c r="AO23">
        <v>7.6879999999999997</v>
      </c>
      <c r="AP23">
        <v>3.0000000000000001E-3</v>
      </c>
      <c r="AQ23">
        <v>7.0960000000000001</v>
      </c>
      <c r="AR23">
        <v>0.124</v>
      </c>
      <c r="AS23">
        <v>1</v>
      </c>
      <c r="AT23">
        <v>0</v>
      </c>
      <c r="AU23">
        <v>64</v>
      </c>
    </row>
    <row r="24" spans="2:47" x14ac:dyDescent="0.25">
      <c r="B24" s="9">
        <v>11</v>
      </c>
      <c r="C24" s="35">
        <v>100</v>
      </c>
      <c r="D24" s="3"/>
      <c r="E24" s="9">
        <f t="shared" si="0"/>
        <v>462</v>
      </c>
      <c r="F24" s="54">
        <f t="shared" si="9"/>
        <v>591</v>
      </c>
      <c r="G24" s="73">
        <f t="shared" si="1"/>
        <v>1.214</v>
      </c>
      <c r="H24" s="56">
        <f t="shared" si="2"/>
        <v>0.66700000000000004</v>
      </c>
      <c r="I24" s="57">
        <f t="shared" si="3"/>
        <v>2788</v>
      </c>
      <c r="J24" s="58">
        <f t="shared" si="4"/>
        <v>8.8000000000000007</v>
      </c>
      <c r="L24" s="31">
        <f t="shared" si="5"/>
        <v>6.0999999999999999E-2</v>
      </c>
      <c r="M24" s="32">
        <f t="shared" si="10"/>
        <v>0.1145</v>
      </c>
      <c r="N24" s="32">
        <f t="shared" si="6"/>
        <v>0.46800000000000003</v>
      </c>
      <c r="O24" s="32">
        <f t="shared" si="7"/>
        <v>-5.0999999999999997E-2</v>
      </c>
      <c r="P24" s="32">
        <f t="shared" si="8"/>
        <v>8.9239999999999995</v>
      </c>
      <c r="Q24" s="33">
        <f t="shared" si="8"/>
        <v>1.387</v>
      </c>
      <c r="AB24">
        <v>2</v>
      </c>
      <c r="AC24">
        <v>4</v>
      </c>
      <c r="AD24">
        <v>9</v>
      </c>
      <c r="AE24">
        <v>-7.4999999999999997E-2</v>
      </c>
      <c r="AF24">
        <v>-0.13700000000000001</v>
      </c>
      <c r="AG24">
        <v>6.2E-2</v>
      </c>
      <c r="AH24">
        <v>-5.0999999999999997E-2</v>
      </c>
      <c r="AI24">
        <v>0.46700000000000003</v>
      </c>
      <c r="AJ24">
        <v>8.91</v>
      </c>
      <c r="AK24">
        <v>1.2789999999999999</v>
      </c>
      <c r="AL24">
        <v>8.1660000000000004</v>
      </c>
      <c r="AM24">
        <v>0.14299999999999999</v>
      </c>
      <c r="AN24">
        <v>9.0009999999999994</v>
      </c>
      <c r="AO24">
        <v>7.8140000000000001</v>
      </c>
      <c r="AP24">
        <v>3.0000000000000001E-3</v>
      </c>
      <c r="AQ24">
        <v>6.8570000000000002</v>
      </c>
      <c r="AR24">
        <v>0.12</v>
      </c>
      <c r="AS24">
        <v>1</v>
      </c>
      <c r="AT24">
        <v>0</v>
      </c>
      <c r="AU24">
        <v>64</v>
      </c>
    </row>
    <row r="25" spans="2:47" x14ac:dyDescent="0.25">
      <c r="B25" s="9">
        <v>12</v>
      </c>
      <c r="C25" s="35">
        <v>125</v>
      </c>
      <c r="D25" s="3"/>
      <c r="E25" s="9">
        <f t="shared" si="0"/>
        <v>462</v>
      </c>
      <c r="F25" s="54">
        <f t="shared" si="9"/>
        <v>659</v>
      </c>
      <c r="G25" s="73">
        <f t="shared" si="1"/>
        <v>1.214</v>
      </c>
      <c r="H25" s="56">
        <f t="shared" si="2"/>
        <v>0.66700000000000004</v>
      </c>
      <c r="I25" s="57">
        <f t="shared" si="3"/>
        <v>2764</v>
      </c>
      <c r="J25" s="58">
        <f t="shared" si="4"/>
        <v>8.9</v>
      </c>
      <c r="L25" s="31">
        <f t="shared" si="5"/>
        <v>6.0999999999999999E-2</v>
      </c>
      <c r="M25" s="32">
        <f t="shared" si="10"/>
        <v>0.1235</v>
      </c>
      <c r="N25" s="32">
        <f t="shared" si="6"/>
        <v>0.46800000000000003</v>
      </c>
      <c r="O25" s="32">
        <f t="shared" si="7"/>
        <v>-5.0999999999999997E-2</v>
      </c>
      <c r="P25" s="32">
        <f t="shared" si="8"/>
        <v>8.843</v>
      </c>
      <c r="Q25" s="33">
        <f t="shared" si="8"/>
        <v>1.3879999999999999</v>
      </c>
      <c r="AB25">
        <v>2</v>
      </c>
      <c r="AC25">
        <v>4</v>
      </c>
      <c r="AD25">
        <v>10</v>
      </c>
      <c r="AE25">
        <v>-8.1000000000000003E-2</v>
      </c>
      <c r="AF25">
        <v>-0.14399999999999999</v>
      </c>
      <c r="AG25">
        <v>6.4000000000000001E-2</v>
      </c>
      <c r="AH25">
        <v>-5.0999999999999997E-2</v>
      </c>
      <c r="AI25">
        <v>0.46800000000000003</v>
      </c>
      <c r="AJ25">
        <v>8.86</v>
      </c>
      <c r="AK25">
        <v>1.2629999999999999</v>
      </c>
      <c r="AL25">
        <v>8.1140000000000008</v>
      </c>
      <c r="AM25">
        <v>0.14299999999999999</v>
      </c>
      <c r="AN25">
        <v>8.9489999999999998</v>
      </c>
      <c r="AO25">
        <v>7.8769999999999998</v>
      </c>
      <c r="AP25">
        <v>3.0000000000000001E-3</v>
      </c>
      <c r="AQ25">
        <v>6.9459999999999997</v>
      </c>
      <c r="AR25">
        <v>0.122</v>
      </c>
      <c r="AS25">
        <v>1</v>
      </c>
      <c r="AT25">
        <v>0</v>
      </c>
      <c r="AU25">
        <v>64</v>
      </c>
    </row>
    <row r="26" spans="2:47" x14ac:dyDescent="0.25">
      <c r="B26" s="9">
        <v>13</v>
      </c>
      <c r="C26" s="35">
        <v>150</v>
      </c>
      <c r="D26" s="3"/>
      <c r="E26" s="9">
        <f t="shared" si="0"/>
        <v>470</v>
      </c>
      <c r="F26" s="54">
        <f t="shared" si="9"/>
        <v>739</v>
      </c>
      <c r="G26" s="73">
        <f t="shared" si="1"/>
        <v>1.2110000000000001</v>
      </c>
      <c r="H26" s="56">
        <f t="shared" si="2"/>
        <v>0.66500000000000004</v>
      </c>
      <c r="I26" s="57">
        <f t="shared" si="3"/>
        <v>2788</v>
      </c>
      <c r="J26" s="58">
        <f t="shared" si="4"/>
        <v>7.7</v>
      </c>
      <c r="L26" s="31">
        <f t="shared" si="5"/>
        <v>6.2E-2</v>
      </c>
      <c r="M26" s="32">
        <f t="shared" si="10"/>
        <v>0.13400000000000001</v>
      </c>
      <c r="N26" s="32">
        <f t="shared" si="6"/>
        <v>0.46700000000000003</v>
      </c>
      <c r="O26" s="32">
        <f t="shared" si="7"/>
        <v>-5.0999999999999997E-2</v>
      </c>
      <c r="P26" s="32">
        <f t="shared" si="8"/>
        <v>8.9480000000000004</v>
      </c>
      <c r="Q26" s="33">
        <f t="shared" si="8"/>
        <v>1.21</v>
      </c>
      <c r="AB26">
        <v>2</v>
      </c>
      <c r="AC26">
        <v>4</v>
      </c>
      <c r="AD26">
        <v>11</v>
      </c>
      <c r="AE26">
        <v>-8.4000000000000005E-2</v>
      </c>
      <c r="AF26">
        <v>-0.14499999999999999</v>
      </c>
      <c r="AG26">
        <v>6.0999999999999999E-2</v>
      </c>
      <c r="AH26">
        <v>-5.0999999999999997E-2</v>
      </c>
      <c r="AI26">
        <v>0.46800000000000003</v>
      </c>
      <c r="AJ26">
        <v>8.9239999999999995</v>
      </c>
      <c r="AK26">
        <v>1.387</v>
      </c>
      <c r="AL26">
        <v>8.8320000000000007</v>
      </c>
      <c r="AM26">
        <v>0.155</v>
      </c>
      <c r="AN26">
        <v>9.032</v>
      </c>
      <c r="AO26">
        <v>7.8730000000000002</v>
      </c>
      <c r="AP26">
        <v>3.0000000000000001E-3</v>
      </c>
      <c r="AQ26">
        <v>7.5469999999999997</v>
      </c>
      <c r="AR26">
        <v>0.13200000000000001</v>
      </c>
      <c r="AS26">
        <v>1</v>
      </c>
      <c r="AT26">
        <v>0</v>
      </c>
      <c r="AU26">
        <v>64</v>
      </c>
    </row>
    <row r="27" spans="2:47" x14ac:dyDescent="0.25">
      <c r="B27" s="9">
        <v>14</v>
      </c>
      <c r="C27" s="35">
        <v>175</v>
      </c>
      <c r="D27" s="3"/>
      <c r="E27" s="9">
        <f t="shared" si="0"/>
        <v>462</v>
      </c>
      <c r="F27" s="54">
        <f t="shared" si="9"/>
        <v>780</v>
      </c>
      <c r="G27" s="73">
        <f t="shared" si="1"/>
        <v>1.214</v>
      </c>
      <c r="H27" s="56">
        <f t="shared" si="2"/>
        <v>0.66700000000000004</v>
      </c>
      <c r="I27" s="57">
        <f t="shared" si="3"/>
        <v>2803</v>
      </c>
      <c r="J27" s="58">
        <f t="shared" si="4"/>
        <v>8.3000000000000007</v>
      </c>
      <c r="L27" s="31">
        <f t="shared" si="5"/>
        <v>6.0999999999999999E-2</v>
      </c>
      <c r="M27" s="32">
        <f t="shared" si="10"/>
        <v>0.13950000000000001</v>
      </c>
      <c r="N27" s="32">
        <f t="shared" si="6"/>
        <v>0.46800000000000003</v>
      </c>
      <c r="O27" s="32">
        <f t="shared" si="7"/>
        <v>-5.0999999999999997E-2</v>
      </c>
      <c r="P27" s="32">
        <f t="shared" si="8"/>
        <v>8.9830000000000005</v>
      </c>
      <c r="Q27" s="33">
        <f t="shared" si="8"/>
        <v>1.3069999999999999</v>
      </c>
      <c r="AB27">
        <v>2</v>
      </c>
      <c r="AC27">
        <v>4</v>
      </c>
      <c r="AD27">
        <v>12</v>
      </c>
      <c r="AE27">
        <v>-9.2999999999999999E-2</v>
      </c>
      <c r="AF27">
        <v>-0.154</v>
      </c>
      <c r="AG27">
        <v>6.0999999999999999E-2</v>
      </c>
      <c r="AH27">
        <v>-5.0999999999999997E-2</v>
      </c>
      <c r="AI27">
        <v>0.46800000000000003</v>
      </c>
      <c r="AJ27">
        <v>8.843</v>
      </c>
      <c r="AK27">
        <v>1.3879999999999999</v>
      </c>
      <c r="AL27">
        <v>8.9209999999999994</v>
      </c>
      <c r="AM27">
        <v>0.157</v>
      </c>
      <c r="AN27">
        <v>8.9510000000000005</v>
      </c>
      <c r="AO27">
        <v>7.99</v>
      </c>
      <c r="AP27">
        <v>3.0000000000000001E-3</v>
      </c>
      <c r="AQ27">
        <v>7.7679999999999998</v>
      </c>
      <c r="AR27">
        <v>0.13600000000000001</v>
      </c>
      <c r="AS27">
        <v>1</v>
      </c>
      <c r="AT27">
        <v>0</v>
      </c>
      <c r="AU27">
        <v>64</v>
      </c>
    </row>
    <row r="28" spans="2:47" x14ac:dyDescent="0.25">
      <c r="B28" s="9">
        <v>15</v>
      </c>
      <c r="C28" s="35">
        <v>200</v>
      </c>
      <c r="D28" s="3"/>
      <c r="E28" s="9">
        <f t="shared" si="0"/>
        <v>470</v>
      </c>
      <c r="F28" s="54">
        <f t="shared" si="9"/>
        <v>837</v>
      </c>
      <c r="G28" s="73">
        <f t="shared" si="1"/>
        <v>1.214</v>
      </c>
      <c r="H28" s="56">
        <f t="shared" si="2"/>
        <v>0.66700000000000004</v>
      </c>
      <c r="I28" s="57">
        <f t="shared" si="3"/>
        <v>2823</v>
      </c>
      <c r="J28" s="58">
        <f t="shared" si="4"/>
        <v>7.8</v>
      </c>
      <c r="L28" s="31">
        <f t="shared" si="5"/>
        <v>6.2E-2</v>
      </c>
      <c r="M28" s="32">
        <f t="shared" si="10"/>
        <v>0.14700000000000002</v>
      </c>
      <c r="N28" s="32">
        <f t="shared" si="6"/>
        <v>0.46800000000000003</v>
      </c>
      <c r="O28" s="32">
        <f t="shared" si="7"/>
        <v>-5.0999999999999997E-2</v>
      </c>
      <c r="P28" s="32">
        <f t="shared" si="8"/>
        <v>9.0579999999999998</v>
      </c>
      <c r="Q28" s="33">
        <f t="shared" si="8"/>
        <v>1.24</v>
      </c>
      <c r="AB28">
        <v>2</v>
      </c>
      <c r="AC28">
        <v>4</v>
      </c>
      <c r="AD28">
        <v>13</v>
      </c>
      <c r="AE28">
        <v>-0.10299999999999999</v>
      </c>
      <c r="AF28">
        <v>-0.16600000000000001</v>
      </c>
      <c r="AG28">
        <v>6.2E-2</v>
      </c>
      <c r="AH28">
        <v>-5.0999999999999997E-2</v>
      </c>
      <c r="AI28">
        <v>0.46700000000000003</v>
      </c>
      <c r="AJ28">
        <v>8.9480000000000004</v>
      </c>
      <c r="AK28">
        <v>1.21</v>
      </c>
      <c r="AL28">
        <v>7.6950000000000003</v>
      </c>
      <c r="AM28">
        <v>0.13500000000000001</v>
      </c>
      <c r="AN28">
        <v>9.0289999999999999</v>
      </c>
      <c r="AO28">
        <v>8.0060000000000002</v>
      </c>
      <c r="AP28">
        <v>2E-3</v>
      </c>
      <c r="AQ28">
        <v>6.6820000000000004</v>
      </c>
      <c r="AR28">
        <v>0.11700000000000001</v>
      </c>
      <c r="AS28">
        <v>1</v>
      </c>
      <c r="AT28">
        <v>0</v>
      </c>
      <c r="AU28">
        <v>64</v>
      </c>
    </row>
    <row r="29" spans="2:47" x14ac:dyDescent="0.25">
      <c r="B29" s="9">
        <v>16</v>
      </c>
      <c r="C29" s="35">
        <v>225</v>
      </c>
      <c r="D29" s="3"/>
      <c r="E29" s="9">
        <f t="shared" si="0"/>
        <v>439</v>
      </c>
      <c r="F29" s="54">
        <f t="shared" si="9"/>
        <v>890</v>
      </c>
      <c r="G29" s="73">
        <f t="shared" si="1"/>
        <v>1.214</v>
      </c>
      <c r="H29" s="56">
        <f t="shared" si="2"/>
        <v>0.66700000000000004</v>
      </c>
      <c r="I29" s="57">
        <f t="shared" si="3"/>
        <v>2837</v>
      </c>
      <c r="J29" s="58">
        <f t="shared" si="4"/>
        <v>7.7</v>
      </c>
      <c r="L29" s="31">
        <f t="shared" si="5"/>
        <v>5.8000000000000003E-2</v>
      </c>
      <c r="M29" s="32">
        <f t="shared" si="10"/>
        <v>0.154</v>
      </c>
      <c r="N29" s="32">
        <f t="shared" si="6"/>
        <v>0.46800000000000003</v>
      </c>
      <c r="O29" s="32">
        <f t="shared" si="7"/>
        <v>-5.0999999999999997E-2</v>
      </c>
      <c r="P29" s="32">
        <f t="shared" si="8"/>
        <v>9.1050000000000004</v>
      </c>
      <c r="Q29" s="33">
        <f t="shared" si="8"/>
        <v>1.2350000000000001</v>
      </c>
      <c r="AB29">
        <v>2</v>
      </c>
      <c r="AC29">
        <v>4</v>
      </c>
      <c r="AD29">
        <v>14</v>
      </c>
      <c r="AE29">
        <v>-0.109</v>
      </c>
      <c r="AF29">
        <v>-0.17</v>
      </c>
      <c r="AG29">
        <v>6.0999999999999999E-2</v>
      </c>
      <c r="AH29">
        <v>-5.0999999999999997E-2</v>
      </c>
      <c r="AI29">
        <v>0.46800000000000003</v>
      </c>
      <c r="AJ29">
        <v>8.9830000000000005</v>
      </c>
      <c r="AK29">
        <v>1.3069999999999999</v>
      </c>
      <c r="AL29">
        <v>8.2769999999999992</v>
      </c>
      <c r="AM29">
        <v>0.14499999999999999</v>
      </c>
      <c r="AN29">
        <v>9.0779999999999994</v>
      </c>
      <c r="AO29">
        <v>8</v>
      </c>
      <c r="AP29">
        <v>3.0000000000000001E-3</v>
      </c>
      <c r="AQ29">
        <v>7.1379999999999999</v>
      </c>
      <c r="AR29">
        <v>0.125</v>
      </c>
      <c r="AS29">
        <v>1</v>
      </c>
      <c r="AT29">
        <v>0</v>
      </c>
      <c r="AU29">
        <v>64</v>
      </c>
    </row>
    <row r="30" spans="2:47" x14ac:dyDescent="0.25">
      <c r="B30" s="9">
        <v>17</v>
      </c>
      <c r="C30" s="35">
        <v>250</v>
      </c>
      <c r="D30" s="3"/>
      <c r="E30" s="9">
        <f t="shared" si="0"/>
        <v>455</v>
      </c>
      <c r="F30" s="54">
        <f t="shared" si="9"/>
        <v>958</v>
      </c>
      <c r="G30" s="73">
        <f t="shared" si="1"/>
        <v>1.214</v>
      </c>
      <c r="H30" s="56">
        <f t="shared" si="2"/>
        <v>0.66700000000000004</v>
      </c>
      <c r="I30" s="57">
        <f t="shared" si="3"/>
        <v>2841</v>
      </c>
      <c r="J30" s="58">
        <f t="shared" si="4"/>
        <v>7.9</v>
      </c>
      <c r="L30" s="31">
        <f t="shared" si="5"/>
        <v>0.06</v>
      </c>
      <c r="M30" s="32">
        <f t="shared" si="10"/>
        <v>0.16300000000000001</v>
      </c>
      <c r="N30" s="32">
        <f t="shared" si="6"/>
        <v>0.46800000000000003</v>
      </c>
      <c r="O30" s="32">
        <f t="shared" si="7"/>
        <v>-5.0999999999999997E-2</v>
      </c>
      <c r="P30" s="32">
        <f t="shared" si="8"/>
        <v>9.1129999999999995</v>
      </c>
      <c r="Q30" s="33">
        <f t="shared" si="8"/>
        <v>1.2689999999999999</v>
      </c>
      <c r="AB30">
        <v>2</v>
      </c>
      <c r="AC30">
        <v>4</v>
      </c>
      <c r="AD30">
        <v>15</v>
      </c>
      <c r="AE30">
        <v>-0.11600000000000001</v>
      </c>
      <c r="AF30">
        <v>-0.17899999999999999</v>
      </c>
      <c r="AG30">
        <v>6.2E-2</v>
      </c>
      <c r="AH30">
        <v>-5.0999999999999997E-2</v>
      </c>
      <c r="AI30">
        <v>0.46800000000000003</v>
      </c>
      <c r="AJ30">
        <v>9.0579999999999998</v>
      </c>
      <c r="AK30">
        <v>1.24</v>
      </c>
      <c r="AL30">
        <v>7.7949999999999999</v>
      </c>
      <c r="AM30">
        <v>0.13700000000000001</v>
      </c>
      <c r="AN30">
        <v>9.1430000000000007</v>
      </c>
      <c r="AO30">
        <v>8.0239999999999991</v>
      </c>
      <c r="AP30">
        <v>2E-3</v>
      </c>
      <c r="AQ30">
        <v>6.6340000000000003</v>
      </c>
      <c r="AR30">
        <v>0.11600000000000001</v>
      </c>
      <c r="AS30">
        <v>1</v>
      </c>
      <c r="AT30">
        <v>0</v>
      </c>
      <c r="AU30">
        <v>64</v>
      </c>
    </row>
    <row r="31" spans="2:47" x14ac:dyDescent="0.25">
      <c r="B31" s="9">
        <v>18</v>
      </c>
      <c r="C31" s="35">
        <v>275</v>
      </c>
      <c r="D31" s="3"/>
      <c r="E31" s="9">
        <f t="shared" si="0"/>
        <v>470</v>
      </c>
      <c r="F31" s="54">
        <f t="shared" si="9"/>
        <v>996</v>
      </c>
      <c r="G31" s="73">
        <f t="shared" si="1"/>
        <v>1.2110000000000001</v>
      </c>
      <c r="H31" s="56">
        <f t="shared" si="2"/>
        <v>0.66500000000000004</v>
      </c>
      <c r="I31" s="57">
        <f t="shared" si="3"/>
        <v>2862</v>
      </c>
      <c r="J31" s="58">
        <f t="shared" si="4"/>
        <v>8.4</v>
      </c>
      <c r="L31" s="31">
        <f t="shared" si="5"/>
        <v>6.2E-2</v>
      </c>
      <c r="M31" s="32">
        <f t="shared" si="10"/>
        <v>0.16800000000000001</v>
      </c>
      <c r="N31" s="32">
        <f t="shared" si="6"/>
        <v>0.46700000000000003</v>
      </c>
      <c r="O31" s="32">
        <f t="shared" si="7"/>
        <v>-5.0999999999999997E-2</v>
      </c>
      <c r="P31" s="32">
        <f t="shared" si="8"/>
        <v>9.1690000000000005</v>
      </c>
      <c r="Q31" s="33">
        <f t="shared" si="8"/>
        <v>1.357</v>
      </c>
      <c r="AB31">
        <v>2</v>
      </c>
      <c r="AC31">
        <v>4</v>
      </c>
      <c r="AD31">
        <v>16</v>
      </c>
      <c r="AE31">
        <v>-0.125</v>
      </c>
      <c r="AF31">
        <v>-0.183</v>
      </c>
      <c r="AG31">
        <v>5.8000000000000003E-2</v>
      </c>
      <c r="AH31">
        <v>-5.0999999999999997E-2</v>
      </c>
      <c r="AI31">
        <v>0.46800000000000003</v>
      </c>
      <c r="AJ31">
        <v>9.1050000000000004</v>
      </c>
      <c r="AK31">
        <v>1.2350000000000001</v>
      </c>
      <c r="AL31">
        <v>7.7279999999999998</v>
      </c>
      <c r="AM31">
        <v>0.13600000000000001</v>
      </c>
      <c r="AN31">
        <v>9.1890000000000001</v>
      </c>
      <c r="AO31">
        <v>8.1620000000000008</v>
      </c>
      <c r="AP31">
        <v>2E-3</v>
      </c>
      <c r="AQ31">
        <v>6.6870000000000003</v>
      </c>
      <c r="AR31">
        <v>0.11700000000000001</v>
      </c>
      <c r="AS31">
        <v>1</v>
      </c>
      <c r="AT31">
        <v>0</v>
      </c>
      <c r="AU31">
        <v>64</v>
      </c>
    </row>
    <row r="32" spans="2:47" x14ac:dyDescent="0.25">
      <c r="B32" s="9">
        <v>19</v>
      </c>
      <c r="C32" s="35">
        <v>300</v>
      </c>
      <c r="D32" s="3"/>
      <c r="E32" s="9">
        <f t="shared" si="0"/>
        <v>447</v>
      </c>
      <c r="F32" s="54">
        <f t="shared" si="9"/>
        <v>1053</v>
      </c>
      <c r="G32" s="73">
        <f t="shared" si="1"/>
        <v>1.214</v>
      </c>
      <c r="H32" s="56">
        <f t="shared" si="2"/>
        <v>0.66700000000000004</v>
      </c>
      <c r="I32" s="57">
        <f t="shared" si="3"/>
        <v>2868</v>
      </c>
      <c r="J32" s="58">
        <f t="shared" si="4"/>
        <v>8.1999999999999993</v>
      </c>
      <c r="L32" s="31">
        <f t="shared" si="5"/>
        <v>5.8999999999999997E-2</v>
      </c>
      <c r="M32" s="32">
        <f t="shared" si="10"/>
        <v>0.17549999999999999</v>
      </c>
      <c r="N32" s="32">
        <f t="shared" si="6"/>
        <v>0.46800000000000003</v>
      </c>
      <c r="O32" s="32">
        <f t="shared" si="7"/>
        <v>-5.0999999999999997E-2</v>
      </c>
      <c r="P32" s="32">
        <f t="shared" si="8"/>
        <v>9.1940000000000008</v>
      </c>
      <c r="Q32" s="33">
        <f t="shared" si="8"/>
        <v>1.323</v>
      </c>
      <c r="AB32">
        <v>2</v>
      </c>
      <c r="AC32">
        <v>4</v>
      </c>
      <c r="AD32">
        <v>17</v>
      </c>
      <c r="AE32">
        <v>-0.13300000000000001</v>
      </c>
      <c r="AF32">
        <v>-0.193</v>
      </c>
      <c r="AG32">
        <v>0.06</v>
      </c>
      <c r="AH32">
        <v>-5.0999999999999997E-2</v>
      </c>
      <c r="AI32">
        <v>0.46800000000000003</v>
      </c>
      <c r="AJ32">
        <v>9.1129999999999995</v>
      </c>
      <c r="AK32">
        <v>1.2689999999999999</v>
      </c>
      <c r="AL32">
        <v>7.9210000000000003</v>
      </c>
      <c r="AM32">
        <v>0.13900000000000001</v>
      </c>
      <c r="AN32">
        <v>9.202</v>
      </c>
      <c r="AO32">
        <v>8.15</v>
      </c>
      <c r="AP32">
        <v>2E-3</v>
      </c>
      <c r="AQ32">
        <v>6.798</v>
      </c>
      <c r="AR32">
        <v>0.11899999999999999</v>
      </c>
      <c r="AS32">
        <v>1</v>
      </c>
      <c r="AT32">
        <v>0</v>
      </c>
      <c r="AU32">
        <v>64</v>
      </c>
    </row>
    <row r="33" spans="2:47" x14ac:dyDescent="0.25">
      <c r="B33" s="9">
        <v>20</v>
      </c>
      <c r="C33" s="35">
        <v>325</v>
      </c>
      <c r="D33" s="3"/>
      <c r="E33" s="9">
        <f t="shared" si="0"/>
        <v>439</v>
      </c>
      <c r="F33" s="54">
        <f t="shared" si="9"/>
        <v>1102</v>
      </c>
      <c r="G33" s="73">
        <f t="shared" si="1"/>
        <v>1.214</v>
      </c>
      <c r="H33" s="56">
        <f t="shared" si="2"/>
        <v>0.66700000000000004</v>
      </c>
      <c r="I33" s="57">
        <f t="shared" si="3"/>
        <v>2877</v>
      </c>
      <c r="J33" s="58">
        <f t="shared" si="4"/>
        <v>8</v>
      </c>
      <c r="L33" s="31">
        <f t="shared" si="5"/>
        <v>5.8000000000000003E-2</v>
      </c>
      <c r="M33" s="32">
        <f t="shared" si="10"/>
        <v>0.182</v>
      </c>
      <c r="N33" s="32">
        <f t="shared" si="6"/>
        <v>0.46800000000000003</v>
      </c>
      <c r="O33" s="32">
        <f t="shared" si="7"/>
        <v>-5.0999999999999997E-2</v>
      </c>
      <c r="P33" s="32">
        <f t="shared" si="8"/>
        <v>9.2289999999999992</v>
      </c>
      <c r="Q33" s="33">
        <f t="shared" si="8"/>
        <v>1.2969999999999999</v>
      </c>
      <c r="AB33">
        <v>2</v>
      </c>
      <c r="AC33">
        <v>4</v>
      </c>
      <c r="AD33">
        <v>18</v>
      </c>
      <c r="AE33">
        <v>-0.13700000000000001</v>
      </c>
      <c r="AF33">
        <v>-0.19900000000000001</v>
      </c>
      <c r="AG33">
        <v>6.2E-2</v>
      </c>
      <c r="AH33">
        <v>-5.0999999999999997E-2</v>
      </c>
      <c r="AI33">
        <v>0.46700000000000003</v>
      </c>
      <c r="AJ33">
        <v>9.1690000000000005</v>
      </c>
      <c r="AK33">
        <v>1.357</v>
      </c>
      <c r="AL33">
        <v>8.4139999999999997</v>
      </c>
      <c r="AM33">
        <v>0.14799999999999999</v>
      </c>
      <c r="AN33">
        <v>9.2690000000000001</v>
      </c>
      <c r="AO33">
        <v>8.1189999999999998</v>
      </c>
      <c r="AP33">
        <v>3.0000000000000001E-3</v>
      </c>
      <c r="AQ33">
        <v>7.218</v>
      </c>
      <c r="AR33">
        <v>0.127</v>
      </c>
      <c r="AS33">
        <v>1</v>
      </c>
      <c r="AT33">
        <v>0</v>
      </c>
      <c r="AU33">
        <v>64</v>
      </c>
    </row>
    <row r="34" spans="2:47" x14ac:dyDescent="0.25">
      <c r="B34" s="9">
        <v>21</v>
      </c>
      <c r="C34" s="35">
        <v>350</v>
      </c>
      <c r="D34" s="3"/>
      <c r="E34" s="9">
        <f t="shared" si="0"/>
        <v>447</v>
      </c>
      <c r="F34" s="54">
        <f t="shared" si="9"/>
        <v>1129</v>
      </c>
      <c r="G34" s="73">
        <f t="shared" si="1"/>
        <v>1.218</v>
      </c>
      <c r="H34" s="56">
        <f t="shared" si="2"/>
        <v>0.66900000000000004</v>
      </c>
      <c r="I34" s="57">
        <f t="shared" si="3"/>
        <v>2903</v>
      </c>
      <c r="J34" s="58">
        <f t="shared" si="4"/>
        <v>8.3000000000000007</v>
      </c>
      <c r="L34" s="31">
        <f t="shared" si="5"/>
        <v>5.8999999999999997E-2</v>
      </c>
      <c r="M34" s="32">
        <f t="shared" si="10"/>
        <v>0.1855</v>
      </c>
      <c r="N34" s="32">
        <f t="shared" si="6"/>
        <v>0.47</v>
      </c>
      <c r="O34" s="32">
        <f t="shared" si="7"/>
        <v>-5.0999999999999997E-2</v>
      </c>
      <c r="P34" s="32">
        <f t="shared" si="8"/>
        <v>9.3040000000000003</v>
      </c>
      <c r="Q34" s="33">
        <f t="shared" si="8"/>
        <v>1.365</v>
      </c>
      <c r="AB34">
        <v>2</v>
      </c>
      <c r="AC34">
        <v>4</v>
      </c>
      <c r="AD34">
        <v>19</v>
      </c>
      <c r="AE34">
        <v>-0.14599999999999999</v>
      </c>
      <c r="AF34">
        <v>-0.20499999999999999</v>
      </c>
      <c r="AG34">
        <v>5.8999999999999997E-2</v>
      </c>
      <c r="AH34">
        <v>-5.0999999999999997E-2</v>
      </c>
      <c r="AI34">
        <v>0.46800000000000003</v>
      </c>
      <c r="AJ34">
        <v>9.1940000000000008</v>
      </c>
      <c r="AK34">
        <v>1.323</v>
      </c>
      <c r="AL34">
        <v>8.1940000000000008</v>
      </c>
      <c r="AM34">
        <v>0.14399999999999999</v>
      </c>
      <c r="AN34">
        <v>9.2889999999999997</v>
      </c>
      <c r="AO34">
        <v>8.2780000000000005</v>
      </c>
      <c r="AP34">
        <v>3.0000000000000001E-3</v>
      </c>
      <c r="AQ34">
        <v>7.1289999999999996</v>
      </c>
      <c r="AR34">
        <v>0.125</v>
      </c>
      <c r="AS34">
        <v>1</v>
      </c>
      <c r="AT34">
        <v>0</v>
      </c>
      <c r="AU34">
        <v>64</v>
      </c>
    </row>
    <row r="35" spans="2:47" x14ac:dyDescent="0.25">
      <c r="B35" s="9">
        <v>22</v>
      </c>
      <c r="C35" s="35">
        <v>375</v>
      </c>
      <c r="D35" s="3"/>
      <c r="E35" s="9">
        <f t="shared" si="0"/>
        <v>447</v>
      </c>
      <c r="F35" s="54">
        <f t="shared" si="9"/>
        <v>1174</v>
      </c>
      <c r="G35" s="73">
        <f t="shared" si="1"/>
        <v>1.214</v>
      </c>
      <c r="H35" s="56">
        <f t="shared" si="2"/>
        <v>0.66500000000000004</v>
      </c>
      <c r="I35" s="57">
        <f t="shared" si="3"/>
        <v>2883</v>
      </c>
      <c r="J35" s="58">
        <f t="shared" si="4"/>
        <v>8.4</v>
      </c>
      <c r="L35" s="31">
        <f t="shared" si="5"/>
        <v>5.8999999999999997E-2</v>
      </c>
      <c r="M35" s="32">
        <f t="shared" si="10"/>
        <v>0.1915</v>
      </c>
      <c r="N35" s="32">
        <f t="shared" si="6"/>
        <v>0.46899999999999997</v>
      </c>
      <c r="O35" s="32">
        <f t="shared" si="7"/>
        <v>-0.05</v>
      </c>
      <c r="P35" s="32">
        <f t="shared" si="8"/>
        <v>9.2360000000000007</v>
      </c>
      <c r="Q35" s="33">
        <f t="shared" si="8"/>
        <v>1.3660000000000001</v>
      </c>
      <c r="AB35">
        <v>2</v>
      </c>
      <c r="AC35">
        <v>4</v>
      </c>
      <c r="AD35">
        <v>20</v>
      </c>
      <c r="AE35">
        <v>-0.153</v>
      </c>
      <c r="AF35">
        <v>-0.21099999999999999</v>
      </c>
      <c r="AG35">
        <v>5.8000000000000003E-2</v>
      </c>
      <c r="AH35">
        <v>-5.0999999999999997E-2</v>
      </c>
      <c r="AI35">
        <v>0.46800000000000003</v>
      </c>
      <c r="AJ35">
        <v>9.2289999999999992</v>
      </c>
      <c r="AK35">
        <v>1.2969999999999999</v>
      </c>
      <c r="AL35">
        <v>8.0020000000000007</v>
      </c>
      <c r="AM35">
        <v>0.14099999999999999</v>
      </c>
      <c r="AN35">
        <v>9.3209999999999997</v>
      </c>
      <c r="AO35">
        <v>8.2149999999999999</v>
      </c>
      <c r="AP35">
        <v>3.0000000000000001E-3</v>
      </c>
      <c r="AQ35">
        <v>6.9409999999999998</v>
      </c>
      <c r="AR35">
        <v>0.122</v>
      </c>
      <c r="AS35">
        <v>1</v>
      </c>
      <c r="AT35">
        <v>0</v>
      </c>
      <c r="AU35">
        <v>64</v>
      </c>
    </row>
    <row r="36" spans="2:47" x14ac:dyDescent="0.25">
      <c r="B36" s="9">
        <v>23</v>
      </c>
      <c r="C36" s="35">
        <v>400</v>
      </c>
      <c r="D36" s="3"/>
      <c r="E36" s="9">
        <f t="shared" si="0"/>
        <v>447</v>
      </c>
      <c r="F36" s="54">
        <f t="shared" si="9"/>
        <v>1204</v>
      </c>
      <c r="G36" s="73">
        <f t="shared" si="1"/>
        <v>1.216</v>
      </c>
      <c r="H36" s="56">
        <f t="shared" si="2"/>
        <v>0.66700000000000004</v>
      </c>
      <c r="I36" s="57">
        <f t="shared" si="3"/>
        <v>2915</v>
      </c>
      <c r="J36" s="58">
        <f t="shared" si="4"/>
        <v>8.3000000000000007</v>
      </c>
      <c r="L36" s="31">
        <f t="shared" si="5"/>
        <v>5.8999999999999997E-2</v>
      </c>
      <c r="M36" s="32">
        <f t="shared" si="10"/>
        <v>0.19550000000000001</v>
      </c>
      <c r="N36" s="32">
        <f t="shared" si="6"/>
        <v>0.47</v>
      </c>
      <c r="O36" s="32">
        <f t="shared" si="7"/>
        <v>-0.05</v>
      </c>
      <c r="P36" s="32">
        <f t="shared" si="8"/>
        <v>9.3420000000000005</v>
      </c>
      <c r="Q36" s="33">
        <f t="shared" si="8"/>
        <v>1.369</v>
      </c>
      <c r="AB36">
        <v>2</v>
      </c>
      <c r="AC36">
        <v>4</v>
      </c>
      <c r="AD36">
        <v>21</v>
      </c>
      <c r="AE36">
        <v>-0.156</v>
      </c>
      <c r="AF36">
        <v>-0.215</v>
      </c>
      <c r="AG36">
        <v>5.8999999999999997E-2</v>
      </c>
      <c r="AH36">
        <v>-5.0999999999999997E-2</v>
      </c>
      <c r="AI36">
        <v>0.47</v>
      </c>
      <c r="AJ36">
        <v>9.3040000000000003</v>
      </c>
      <c r="AK36">
        <v>1.365</v>
      </c>
      <c r="AL36">
        <v>8.343</v>
      </c>
      <c r="AM36">
        <v>0.14699999999999999</v>
      </c>
      <c r="AN36">
        <v>9.4049999999999994</v>
      </c>
      <c r="AO36">
        <v>8.1359999999999992</v>
      </c>
      <c r="AP36">
        <v>3.0000000000000001E-3</v>
      </c>
      <c r="AQ36">
        <v>7.0220000000000002</v>
      </c>
      <c r="AR36">
        <v>0.123</v>
      </c>
      <c r="AS36">
        <v>1</v>
      </c>
      <c r="AT36">
        <v>0</v>
      </c>
      <c r="AU36">
        <v>64</v>
      </c>
    </row>
    <row r="37" spans="2:47" x14ac:dyDescent="0.25">
      <c r="B37" s="9">
        <v>24</v>
      </c>
      <c r="C37" s="35">
        <v>425</v>
      </c>
      <c r="D37" s="3"/>
      <c r="E37" s="9">
        <f t="shared" si="0"/>
        <v>439</v>
      </c>
      <c r="F37" s="54">
        <f t="shared" si="9"/>
        <v>1239</v>
      </c>
      <c r="G37" s="73">
        <f t="shared" si="1"/>
        <v>1.214</v>
      </c>
      <c r="H37" s="56">
        <f t="shared" si="2"/>
        <v>0.66700000000000004</v>
      </c>
      <c r="I37" s="57">
        <f t="shared" si="3"/>
        <v>2920</v>
      </c>
      <c r="J37" s="58">
        <f t="shared" si="4"/>
        <v>7.6</v>
      </c>
      <c r="L37" s="31">
        <f t="shared" si="5"/>
        <v>5.8000000000000003E-2</v>
      </c>
      <c r="M37" s="32">
        <f t="shared" si="10"/>
        <v>0.2</v>
      </c>
      <c r="N37" s="32">
        <f t="shared" si="6"/>
        <v>0.46800000000000003</v>
      </c>
      <c r="O37" s="32">
        <f t="shared" si="7"/>
        <v>-5.0999999999999997E-2</v>
      </c>
      <c r="P37" s="32">
        <f t="shared" si="8"/>
        <v>9.375</v>
      </c>
      <c r="Q37" s="33">
        <f t="shared" si="8"/>
        <v>1.246</v>
      </c>
      <c r="AB37">
        <v>2</v>
      </c>
      <c r="AC37">
        <v>4</v>
      </c>
      <c r="AD37">
        <v>22</v>
      </c>
      <c r="AE37">
        <v>-0.16200000000000001</v>
      </c>
      <c r="AF37">
        <v>-0.221</v>
      </c>
      <c r="AG37">
        <v>5.8999999999999997E-2</v>
      </c>
      <c r="AH37">
        <v>-0.05</v>
      </c>
      <c r="AI37">
        <v>0.46899999999999997</v>
      </c>
      <c r="AJ37">
        <v>9.2360000000000007</v>
      </c>
      <c r="AK37">
        <v>1.3660000000000001</v>
      </c>
      <c r="AL37">
        <v>8.4130000000000003</v>
      </c>
      <c r="AM37">
        <v>0.14799999999999999</v>
      </c>
      <c r="AN37">
        <v>9.3369999999999997</v>
      </c>
      <c r="AO37">
        <v>8.3140000000000001</v>
      </c>
      <c r="AP37">
        <v>3.0000000000000001E-3</v>
      </c>
      <c r="AQ37">
        <v>7.3310000000000004</v>
      </c>
      <c r="AR37">
        <v>0.129</v>
      </c>
      <c r="AS37">
        <v>1</v>
      </c>
      <c r="AT37">
        <v>0</v>
      </c>
      <c r="AU37">
        <v>64</v>
      </c>
    </row>
    <row r="38" spans="2:47" x14ac:dyDescent="0.25">
      <c r="B38" s="9">
        <v>25</v>
      </c>
      <c r="C38" s="35">
        <v>450</v>
      </c>
      <c r="D38" s="3"/>
      <c r="E38" s="9">
        <f t="shared" si="0"/>
        <v>439</v>
      </c>
      <c r="F38" s="54">
        <f t="shared" si="9"/>
        <v>1276</v>
      </c>
      <c r="G38" s="73">
        <f t="shared" si="1"/>
        <v>1.218</v>
      </c>
      <c r="H38" s="56">
        <f t="shared" si="2"/>
        <v>0.66900000000000004</v>
      </c>
      <c r="I38" s="57">
        <f t="shared" si="3"/>
        <v>2927</v>
      </c>
      <c r="J38" s="58">
        <f t="shared" si="4"/>
        <v>7.3</v>
      </c>
      <c r="L38" s="31">
        <f t="shared" si="5"/>
        <v>5.8000000000000003E-2</v>
      </c>
      <c r="M38" s="32">
        <f t="shared" si="10"/>
        <v>0.20499999999999999</v>
      </c>
      <c r="N38" s="32">
        <f t="shared" si="6"/>
        <v>0.47</v>
      </c>
      <c r="O38" s="32">
        <f t="shared" si="7"/>
        <v>-5.0999999999999997E-2</v>
      </c>
      <c r="P38" s="32">
        <f t="shared" si="8"/>
        <v>9.4039999999999999</v>
      </c>
      <c r="Q38" s="33">
        <f t="shared" si="8"/>
        <v>1.2010000000000001</v>
      </c>
      <c r="AB38">
        <v>2</v>
      </c>
      <c r="AC38">
        <v>4</v>
      </c>
      <c r="AD38">
        <v>23</v>
      </c>
      <c r="AE38">
        <v>-0.16600000000000001</v>
      </c>
      <c r="AF38">
        <v>-0.22500000000000001</v>
      </c>
      <c r="AG38">
        <v>5.8999999999999997E-2</v>
      </c>
      <c r="AH38">
        <v>-0.05</v>
      </c>
      <c r="AI38">
        <v>0.47</v>
      </c>
      <c r="AJ38">
        <v>9.3420000000000005</v>
      </c>
      <c r="AK38">
        <v>1.369</v>
      </c>
      <c r="AL38">
        <v>8.3320000000000007</v>
      </c>
      <c r="AM38">
        <v>0.14699999999999999</v>
      </c>
      <c r="AN38">
        <v>9.4429999999999996</v>
      </c>
      <c r="AO38">
        <v>8.202</v>
      </c>
      <c r="AP38">
        <v>3.0000000000000001E-3</v>
      </c>
      <c r="AQ38">
        <v>7.0250000000000004</v>
      </c>
      <c r="AR38">
        <v>0.123</v>
      </c>
      <c r="AS38">
        <v>1</v>
      </c>
      <c r="AT38">
        <v>0</v>
      </c>
      <c r="AU38">
        <v>64</v>
      </c>
    </row>
    <row r="39" spans="2:47" x14ac:dyDescent="0.25">
      <c r="B39" s="9">
        <v>26</v>
      </c>
      <c r="C39" s="35">
        <v>475</v>
      </c>
      <c r="D39" s="3"/>
      <c r="E39" s="9">
        <f t="shared" si="0"/>
        <v>455</v>
      </c>
      <c r="F39" s="54">
        <f t="shared" si="9"/>
        <v>1322</v>
      </c>
      <c r="G39" s="73">
        <f t="shared" si="1"/>
        <v>1.2110000000000001</v>
      </c>
      <c r="H39" s="56">
        <f t="shared" si="2"/>
        <v>0.66400000000000003</v>
      </c>
      <c r="I39" s="57">
        <f t="shared" si="3"/>
        <v>2905</v>
      </c>
      <c r="J39" s="58">
        <f t="shared" si="4"/>
        <v>8.3000000000000007</v>
      </c>
      <c r="L39" s="31">
        <f t="shared" si="5"/>
        <v>0.06</v>
      </c>
      <c r="M39" s="32">
        <f t="shared" si="10"/>
        <v>0.21099999999999999</v>
      </c>
      <c r="N39" s="32">
        <f t="shared" si="6"/>
        <v>0.46800000000000003</v>
      </c>
      <c r="O39" s="32">
        <f t="shared" si="7"/>
        <v>-0.05</v>
      </c>
      <c r="P39" s="32">
        <f t="shared" si="8"/>
        <v>9.31</v>
      </c>
      <c r="Q39" s="33">
        <f t="shared" si="8"/>
        <v>1.353</v>
      </c>
      <c r="AB39">
        <v>2</v>
      </c>
      <c r="AC39">
        <v>4</v>
      </c>
      <c r="AD39">
        <v>24</v>
      </c>
      <c r="AE39">
        <v>-0.17100000000000001</v>
      </c>
      <c r="AF39">
        <v>-0.22900000000000001</v>
      </c>
      <c r="AG39">
        <v>5.8000000000000003E-2</v>
      </c>
      <c r="AH39">
        <v>-5.0999999999999997E-2</v>
      </c>
      <c r="AI39">
        <v>0.46800000000000003</v>
      </c>
      <c r="AJ39">
        <v>9.375</v>
      </c>
      <c r="AK39">
        <v>1.246</v>
      </c>
      <c r="AL39">
        <v>7.577</v>
      </c>
      <c r="AM39">
        <v>0.13300000000000001</v>
      </c>
      <c r="AN39">
        <v>9.4580000000000002</v>
      </c>
      <c r="AO39">
        <v>8.4420000000000002</v>
      </c>
      <c r="AP39">
        <v>2E-3</v>
      </c>
      <c r="AQ39">
        <v>6.609</v>
      </c>
      <c r="AR39">
        <v>0.11600000000000001</v>
      </c>
      <c r="AS39">
        <v>1</v>
      </c>
      <c r="AT39">
        <v>0</v>
      </c>
      <c r="AU39">
        <v>64</v>
      </c>
    </row>
    <row r="40" spans="2:47" x14ac:dyDescent="0.25">
      <c r="B40" s="9">
        <v>27</v>
      </c>
      <c r="C40" s="35">
        <v>500</v>
      </c>
      <c r="D40" s="3"/>
      <c r="E40" s="9">
        <f t="shared" si="0"/>
        <v>447</v>
      </c>
      <c r="F40" s="54">
        <f t="shared" si="9"/>
        <v>1356</v>
      </c>
      <c r="G40" s="73">
        <f t="shared" si="1"/>
        <v>1.214</v>
      </c>
      <c r="H40" s="56">
        <f t="shared" si="2"/>
        <v>0.66700000000000004</v>
      </c>
      <c r="I40" s="57">
        <f t="shared" si="3"/>
        <v>2950</v>
      </c>
      <c r="J40" s="58">
        <f t="shared" si="4"/>
        <v>7.8</v>
      </c>
      <c r="L40" s="31">
        <f t="shared" si="5"/>
        <v>5.8999999999999997E-2</v>
      </c>
      <c r="M40" s="32">
        <f t="shared" si="10"/>
        <v>0.2155</v>
      </c>
      <c r="N40" s="32">
        <f t="shared" si="6"/>
        <v>0.46800000000000003</v>
      </c>
      <c r="O40" s="32">
        <f t="shared" si="7"/>
        <v>-5.0999999999999997E-2</v>
      </c>
      <c r="P40" s="32">
        <f t="shared" si="8"/>
        <v>9.4670000000000005</v>
      </c>
      <c r="Q40" s="33">
        <f t="shared" si="8"/>
        <v>1.2989999999999999</v>
      </c>
      <c r="AB40">
        <v>2</v>
      </c>
      <c r="AC40">
        <v>4</v>
      </c>
      <c r="AD40">
        <v>25</v>
      </c>
      <c r="AE40">
        <v>-0.17599999999999999</v>
      </c>
      <c r="AF40">
        <v>-0.23400000000000001</v>
      </c>
      <c r="AG40">
        <v>5.8000000000000003E-2</v>
      </c>
      <c r="AH40">
        <v>-5.0999999999999997E-2</v>
      </c>
      <c r="AI40">
        <v>0.47</v>
      </c>
      <c r="AJ40">
        <v>9.4039999999999999</v>
      </c>
      <c r="AK40">
        <v>1.2010000000000001</v>
      </c>
      <c r="AL40">
        <v>7.2779999999999996</v>
      </c>
      <c r="AM40">
        <v>0.128</v>
      </c>
      <c r="AN40">
        <v>9.4809999999999999</v>
      </c>
      <c r="AO40">
        <v>8.2550000000000008</v>
      </c>
      <c r="AP40">
        <v>2E-3</v>
      </c>
      <c r="AQ40">
        <v>6.1790000000000003</v>
      </c>
      <c r="AR40">
        <v>0.108</v>
      </c>
      <c r="AS40">
        <v>1</v>
      </c>
      <c r="AT40">
        <v>0</v>
      </c>
      <c r="AU40">
        <v>64</v>
      </c>
    </row>
    <row r="41" spans="2:47" x14ac:dyDescent="0.25">
      <c r="B41" s="9">
        <v>28</v>
      </c>
      <c r="C41" s="35">
        <v>600</v>
      </c>
      <c r="D41" s="3"/>
      <c r="E41" s="9">
        <f t="shared" si="0"/>
        <v>447</v>
      </c>
      <c r="F41" s="54">
        <f t="shared" si="9"/>
        <v>1492</v>
      </c>
      <c r="G41" s="73">
        <f t="shared" si="1"/>
        <v>1.214</v>
      </c>
      <c r="H41" s="56">
        <f t="shared" si="2"/>
        <v>0.66500000000000004</v>
      </c>
      <c r="I41" s="57">
        <f t="shared" si="3"/>
        <v>2965</v>
      </c>
      <c r="J41" s="58">
        <f t="shared" si="4"/>
        <v>8.3000000000000007</v>
      </c>
      <c r="L41" s="31">
        <f t="shared" si="5"/>
        <v>5.8999999999999997E-2</v>
      </c>
      <c r="M41" s="32">
        <f t="shared" si="10"/>
        <v>0.23349999999999999</v>
      </c>
      <c r="N41" s="32">
        <f t="shared" si="6"/>
        <v>0.46899999999999997</v>
      </c>
      <c r="O41" s="32">
        <f t="shared" si="7"/>
        <v>-0.05</v>
      </c>
      <c r="P41" s="32">
        <f t="shared" si="8"/>
        <v>9.5030000000000001</v>
      </c>
      <c r="Q41" s="33">
        <f t="shared" si="8"/>
        <v>1.381</v>
      </c>
      <c r="AB41">
        <v>2</v>
      </c>
      <c r="AC41">
        <v>4</v>
      </c>
      <c r="AD41">
        <v>26</v>
      </c>
      <c r="AE41">
        <v>-0.18099999999999999</v>
      </c>
      <c r="AF41">
        <v>-0.24099999999999999</v>
      </c>
      <c r="AG41">
        <v>0.06</v>
      </c>
      <c r="AH41">
        <v>-0.05</v>
      </c>
      <c r="AI41">
        <v>0.46800000000000003</v>
      </c>
      <c r="AJ41">
        <v>9.31</v>
      </c>
      <c r="AK41">
        <v>1.353</v>
      </c>
      <c r="AL41">
        <v>8.2669999999999995</v>
      </c>
      <c r="AM41">
        <v>0.14499999999999999</v>
      </c>
      <c r="AN41">
        <v>9.4090000000000007</v>
      </c>
      <c r="AO41">
        <v>8.2609999999999992</v>
      </c>
      <c r="AP41">
        <v>3.0000000000000001E-3</v>
      </c>
      <c r="AQ41">
        <v>7.1230000000000002</v>
      </c>
      <c r="AR41">
        <v>0.125</v>
      </c>
      <c r="AS41">
        <v>1</v>
      </c>
      <c r="AT41">
        <v>0</v>
      </c>
      <c r="AU41">
        <v>64</v>
      </c>
    </row>
    <row r="42" spans="2:47" x14ac:dyDescent="0.25">
      <c r="B42" s="9">
        <v>29</v>
      </c>
      <c r="C42" s="35">
        <v>700</v>
      </c>
      <c r="D42" s="3"/>
      <c r="E42" s="9">
        <f t="shared" si="0"/>
        <v>462</v>
      </c>
      <c r="F42" s="54">
        <f t="shared" si="9"/>
        <v>1591</v>
      </c>
      <c r="G42" s="73">
        <f t="shared" si="1"/>
        <v>1.2110000000000001</v>
      </c>
      <c r="H42" s="56">
        <f t="shared" si="2"/>
        <v>0.66500000000000004</v>
      </c>
      <c r="I42" s="57">
        <f t="shared" si="3"/>
        <v>2969</v>
      </c>
      <c r="J42" s="58">
        <f t="shared" si="4"/>
        <v>7</v>
      </c>
      <c r="L42" s="31">
        <f t="shared" si="5"/>
        <v>6.0999999999999999E-2</v>
      </c>
      <c r="M42" s="32">
        <f t="shared" si="10"/>
        <v>0.2465</v>
      </c>
      <c r="N42" s="32">
        <f t="shared" si="6"/>
        <v>0.46700000000000003</v>
      </c>
      <c r="O42" s="32">
        <f t="shared" si="7"/>
        <v>-5.0999999999999997E-2</v>
      </c>
      <c r="P42" s="32">
        <f t="shared" si="8"/>
        <v>9.5449999999999999</v>
      </c>
      <c r="Q42" s="33">
        <f t="shared" si="8"/>
        <v>1.1779999999999999</v>
      </c>
      <c r="AB42">
        <v>2</v>
      </c>
      <c r="AC42">
        <v>4</v>
      </c>
      <c r="AD42">
        <v>27</v>
      </c>
      <c r="AE42">
        <v>-0.186</v>
      </c>
      <c r="AF42">
        <v>-0.246</v>
      </c>
      <c r="AG42">
        <v>5.8999999999999997E-2</v>
      </c>
      <c r="AH42">
        <v>-5.0999999999999997E-2</v>
      </c>
      <c r="AI42">
        <v>0.46800000000000003</v>
      </c>
      <c r="AJ42">
        <v>9.4670000000000005</v>
      </c>
      <c r="AK42">
        <v>1.2989999999999999</v>
      </c>
      <c r="AL42">
        <v>7.8090000000000002</v>
      </c>
      <c r="AM42">
        <v>0.13700000000000001</v>
      </c>
      <c r="AN42">
        <v>9.5559999999999992</v>
      </c>
      <c r="AO42">
        <v>8.15</v>
      </c>
      <c r="AP42">
        <v>2E-3</v>
      </c>
      <c r="AQ42">
        <v>6.508</v>
      </c>
      <c r="AR42">
        <v>0.114</v>
      </c>
      <c r="AS42">
        <v>1</v>
      </c>
      <c r="AT42">
        <v>0</v>
      </c>
      <c r="AU42">
        <v>64</v>
      </c>
    </row>
    <row r="43" spans="2:47" x14ac:dyDescent="0.25">
      <c r="B43" s="9">
        <v>30</v>
      </c>
      <c r="C43" s="35">
        <v>800</v>
      </c>
      <c r="D43" s="3"/>
      <c r="E43" s="9">
        <f t="shared" si="0"/>
        <v>439</v>
      </c>
      <c r="F43" s="54">
        <f t="shared" si="9"/>
        <v>1693</v>
      </c>
      <c r="G43" s="73">
        <f t="shared" si="1"/>
        <v>1.214</v>
      </c>
      <c r="H43" s="56">
        <f t="shared" si="2"/>
        <v>0.66500000000000004</v>
      </c>
      <c r="I43" s="57">
        <f t="shared" si="3"/>
        <v>3039</v>
      </c>
      <c r="J43" s="58">
        <f t="shared" si="4"/>
        <v>8.3000000000000007</v>
      </c>
      <c r="L43" s="31">
        <f t="shared" si="5"/>
        <v>5.8000000000000003E-2</v>
      </c>
      <c r="M43" s="32">
        <f t="shared" si="10"/>
        <v>0.26</v>
      </c>
      <c r="N43" s="32">
        <f t="shared" si="6"/>
        <v>0.46899999999999997</v>
      </c>
      <c r="O43" s="32">
        <f t="shared" si="7"/>
        <v>-0.05</v>
      </c>
      <c r="P43" s="32">
        <f t="shared" si="8"/>
        <v>9.7409999999999997</v>
      </c>
      <c r="Q43" s="33">
        <f t="shared" si="8"/>
        <v>1.4239999999999999</v>
      </c>
      <c r="AB43">
        <v>2</v>
      </c>
      <c r="AC43">
        <v>4</v>
      </c>
      <c r="AD43">
        <v>28</v>
      </c>
      <c r="AE43">
        <v>-0.20399999999999999</v>
      </c>
      <c r="AF43">
        <v>-0.26300000000000001</v>
      </c>
      <c r="AG43">
        <v>5.8999999999999997E-2</v>
      </c>
      <c r="AH43">
        <v>-0.05</v>
      </c>
      <c r="AI43">
        <v>0.46899999999999997</v>
      </c>
      <c r="AJ43">
        <v>9.5030000000000001</v>
      </c>
      <c r="AK43">
        <v>1.381</v>
      </c>
      <c r="AL43">
        <v>8.2720000000000002</v>
      </c>
      <c r="AM43">
        <v>0.14499999999999999</v>
      </c>
      <c r="AN43">
        <v>9.6029999999999998</v>
      </c>
      <c r="AO43">
        <v>8.5009999999999994</v>
      </c>
      <c r="AP43">
        <v>3.0000000000000001E-3</v>
      </c>
      <c r="AQ43">
        <v>7.1950000000000003</v>
      </c>
      <c r="AR43">
        <v>0.126</v>
      </c>
      <c r="AS43">
        <v>1</v>
      </c>
      <c r="AT43">
        <v>0</v>
      </c>
      <c r="AU43">
        <v>64</v>
      </c>
    </row>
    <row r="44" spans="2:47" x14ac:dyDescent="0.25">
      <c r="B44" s="9">
        <v>31</v>
      </c>
      <c r="C44" s="35">
        <v>900</v>
      </c>
      <c r="D44" s="3"/>
      <c r="E44" s="9">
        <f t="shared" si="0"/>
        <v>432</v>
      </c>
      <c r="F44" s="54">
        <f t="shared" si="9"/>
        <v>1810</v>
      </c>
      <c r="G44" s="73">
        <f t="shared" si="1"/>
        <v>1.214</v>
      </c>
      <c r="H44" s="56">
        <f t="shared" si="2"/>
        <v>0.66700000000000004</v>
      </c>
      <c r="I44" s="57">
        <f t="shared" si="3"/>
        <v>3020</v>
      </c>
      <c r="J44" s="58">
        <f t="shared" si="4"/>
        <v>8.1999999999999993</v>
      </c>
      <c r="L44" s="31">
        <f t="shared" si="5"/>
        <v>5.7000000000000002E-2</v>
      </c>
      <c r="M44" s="32">
        <f t="shared" si="10"/>
        <v>0.27550000000000002</v>
      </c>
      <c r="N44" s="32">
        <f t="shared" si="6"/>
        <v>0.46800000000000003</v>
      </c>
      <c r="O44" s="32">
        <f t="shared" si="7"/>
        <v>-5.0999999999999997E-2</v>
      </c>
      <c r="P44" s="32">
        <f t="shared" si="8"/>
        <v>9.6809999999999992</v>
      </c>
      <c r="Q44" s="33">
        <f t="shared" si="8"/>
        <v>1.389</v>
      </c>
      <c r="AB44">
        <v>2</v>
      </c>
      <c r="AC44">
        <v>4</v>
      </c>
      <c r="AD44">
        <v>29</v>
      </c>
      <c r="AE44">
        <v>-0.216</v>
      </c>
      <c r="AF44">
        <v>-0.27800000000000002</v>
      </c>
      <c r="AG44">
        <v>6.0999999999999999E-2</v>
      </c>
      <c r="AH44">
        <v>-5.0999999999999997E-2</v>
      </c>
      <c r="AI44">
        <v>0.46700000000000003</v>
      </c>
      <c r="AJ44">
        <v>9.5449999999999999</v>
      </c>
      <c r="AK44">
        <v>1.1779999999999999</v>
      </c>
      <c r="AL44">
        <v>7.0350000000000001</v>
      </c>
      <c r="AM44">
        <v>0.123</v>
      </c>
      <c r="AN44">
        <v>9.6170000000000009</v>
      </c>
      <c r="AO44">
        <v>8.2390000000000008</v>
      </c>
      <c r="AP44">
        <v>2E-3</v>
      </c>
      <c r="AQ44">
        <v>5.875</v>
      </c>
      <c r="AR44">
        <v>0.10299999999999999</v>
      </c>
      <c r="AS44">
        <v>1</v>
      </c>
      <c r="AT44">
        <v>0</v>
      </c>
      <c r="AU44">
        <v>64</v>
      </c>
    </row>
    <row r="45" spans="2:47" x14ac:dyDescent="0.25">
      <c r="B45" s="9">
        <v>32</v>
      </c>
      <c r="C45" s="35">
        <v>1000</v>
      </c>
      <c r="D45" s="3"/>
      <c r="E45" s="9">
        <f t="shared" si="0"/>
        <v>417</v>
      </c>
      <c r="F45" s="54">
        <f t="shared" si="9"/>
        <v>1901</v>
      </c>
      <c r="G45" s="73">
        <f t="shared" si="1"/>
        <v>1.2110000000000001</v>
      </c>
      <c r="H45" s="56">
        <f t="shared" si="2"/>
        <v>0.66500000000000004</v>
      </c>
      <c r="I45" s="57">
        <f t="shared" si="3"/>
        <v>3048</v>
      </c>
      <c r="J45" s="58">
        <f t="shared" si="4"/>
        <v>7.6</v>
      </c>
      <c r="L45" s="31">
        <f t="shared" si="5"/>
        <v>5.5E-2</v>
      </c>
      <c r="M45" s="32">
        <f t="shared" si="10"/>
        <v>0.28750000000000003</v>
      </c>
      <c r="N45" s="32">
        <f t="shared" si="6"/>
        <v>0.46700000000000003</v>
      </c>
      <c r="O45" s="32">
        <f t="shared" si="7"/>
        <v>-5.0999999999999997E-2</v>
      </c>
      <c r="P45" s="32">
        <f t="shared" si="8"/>
        <v>9.7859999999999996</v>
      </c>
      <c r="Q45" s="33">
        <f t="shared" si="8"/>
        <v>1.31</v>
      </c>
      <c r="AB45">
        <v>2</v>
      </c>
      <c r="AC45">
        <v>4</v>
      </c>
      <c r="AD45">
        <v>30</v>
      </c>
      <c r="AE45">
        <v>-0.23100000000000001</v>
      </c>
      <c r="AF45">
        <v>-0.28899999999999998</v>
      </c>
      <c r="AG45">
        <v>5.8000000000000003E-2</v>
      </c>
      <c r="AH45">
        <v>-0.05</v>
      </c>
      <c r="AI45">
        <v>0.46899999999999997</v>
      </c>
      <c r="AJ45">
        <v>9.7409999999999997</v>
      </c>
      <c r="AK45">
        <v>1.4239999999999999</v>
      </c>
      <c r="AL45">
        <v>8.3160000000000007</v>
      </c>
      <c r="AM45">
        <v>0.14599999999999999</v>
      </c>
      <c r="AN45">
        <v>9.8450000000000006</v>
      </c>
      <c r="AO45">
        <v>8.3670000000000009</v>
      </c>
      <c r="AP45">
        <v>2E-3</v>
      </c>
      <c r="AQ45">
        <v>6.9109999999999996</v>
      </c>
      <c r="AR45">
        <v>0.121</v>
      </c>
      <c r="AS45">
        <v>1</v>
      </c>
      <c r="AT45">
        <v>0</v>
      </c>
      <c r="AU45">
        <v>64</v>
      </c>
    </row>
    <row r="46" spans="2:47" x14ac:dyDescent="0.25">
      <c r="B46" s="9">
        <v>33</v>
      </c>
      <c r="C46" s="35">
        <v>1100</v>
      </c>
      <c r="D46" s="3"/>
      <c r="E46" s="9">
        <f t="shared" si="0"/>
        <v>424</v>
      </c>
      <c r="F46" s="54">
        <f t="shared" si="9"/>
        <v>1981</v>
      </c>
      <c r="G46" s="73">
        <f t="shared" si="1"/>
        <v>1.2110000000000001</v>
      </c>
      <c r="H46" s="56">
        <f t="shared" si="2"/>
        <v>0.66400000000000003</v>
      </c>
      <c r="I46" s="57">
        <f t="shared" si="3"/>
        <v>3087</v>
      </c>
      <c r="J46" s="58">
        <f t="shared" si="4"/>
        <v>8.3000000000000007</v>
      </c>
      <c r="L46" s="31">
        <f t="shared" si="5"/>
        <v>5.6000000000000001E-2</v>
      </c>
      <c r="M46" s="32">
        <f t="shared" si="10"/>
        <v>0.29800000000000004</v>
      </c>
      <c r="N46" s="32">
        <f t="shared" si="6"/>
        <v>0.46800000000000003</v>
      </c>
      <c r="O46" s="32">
        <f t="shared" si="7"/>
        <v>-0.05</v>
      </c>
      <c r="P46" s="32">
        <f t="shared" ref="P46:Q77" si="11">IF(AJ48="","",AJ48)</f>
        <v>9.8930000000000007</v>
      </c>
      <c r="Q46" s="33">
        <f t="shared" si="11"/>
        <v>1.44</v>
      </c>
      <c r="AB46">
        <v>2</v>
      </c>
      <c r="AC46">
        <v>4</v>
      </c>
      <c r="AD46">
        <v>31</v>
      </c>
      <c r="AE46">
        <v>-0.247</v>
      </c>
      <c r="AF46">
        <v>-0.30399999999999999</v>
      </c>
      <c r="AG46">
        <v>5.7000000000000002E-2</v>
      </c>
      <c r="AH46">
        <v>-5.0999999999999997E-2</v>
      </c>
      <c r="AI46">
        <v>0.46800000000000003</v>
      </c>
      <c r="AJ46">
        <v>9.6809999999999992</v>
      </c>
      <c r="AK46">
        <v>1.389</v>
      </c>
      <c r="AL46">
        <v>8.157</v>
      </c>
      <c r="AM46">
        <v>0.14299999999999999</v>
      </c>
      <c r="AN46">
        <v>9.7810000000000006</v>
      </c>
      <c r="AO46">
        <v>8.6929999999999996</v>
      </c>
      <c r="AP46">
        <v>2E-3</v>
      </c>
      <c r="AQ46">
        <v>7.0919999999999996</v>
      </c>
      <c r="AR46">
        <v>0.124</v>
      </c>
      <c r="AS46">
        <v>1</v>
      </c>
      <c r="AT46">
        <v>0</v>
      </c>
      <c r="AU46">
        <v>64</v>
      </c>
    </row>
    <row r="47" spans="2:47" x14ac:dyDescent="0.25">
      <c r="B47" s="9">
        <v>34</v>
      </c>
      <c r="C47" s="35">
        <v>1200</v>
      </c>
      <c r="D47" s="3"/>
      <c r="E47" s="9">
        <f t="shared" si="0"/>
        <v>424</v>
      </c>
      <c r="F47" s="54">
        <f t="shared" si="9"/>
        <v>2064</v>
      </c>
      <c r="G47" s="73">
        <f t="shared" si="1"/>
        <v>1.2110000000000001</v>
      </c>
      <c r="H47" s="56">
        <f t="shared" si="2"/>
        <v>0.66400000000000003</v>
      </c>
      <c r="I47" s="57">
        <f t="shared" si="3"/>
        <v>3066</v>
      </c>
      <c r="J47" s="58">
        <f t="shared" si="4"/>
        <v>7.6</v>
      </c>
      <c r="L47" s="31">
        <f t="shared" si="5"/>
        <v>5.6000000000000001E-2</v>
      </c>
      <c r="M47" s="32">
        <f t="shared" si="10"/>
        <v>0.30900000000000005</v>
      </c>
      <c r="N47" s="32">
        <f t="shared" si="6"/>
        <v>0.46800000000000003</v>
      </c>
      <c r="O47" s="32">
        <f t="shared" si="7"/>
        <v>-0.05</v>
      </c>
      <c r="P47" s="32">
        <f t="shared" si="11"/>
        <v>9.843</v>
      </c>
      <c r="Q47" s="33">
        <f t="shared" si="11"/>
        <v>1.31</v>
      </c>
      <c r="AB47">
        <v>2</v>
      </c>
      <c r="AC47">
        <v>4</v>
      </c>
      <c r="AD47">
        <v>32</v>
      </c>
      <c r="AE47">
        <v>-0.26</v>
      </c>
      <c r="AF47">
        <v>-0.314</v>
      </c>
      <c r="AG47">
        <v>5.5E-2</v>
      </c>
      <c r="AH47">
        <v>-5.0999999999999997E-2</v>
      </c>
      <c r="AI47">
        <v>0.46700000000000003</v>
      </c>
      <c r="AJ47">
        <v>9.7859999999999996</v>
      </c>
      <c r="AK47">
        <v>1.31</v>
      </c>
      <c r="AL47">
        <v>7.6219999999999999</v>
      </c>
      <c r="AM47">
        <v>0.13400000000000001</v>
      </c>
      <c r="AN47">
        <v>9.875</v>
      </c>
      <c r="AO47">
        <v>8.7590000000000003</v>
      </c>
      <c r="AP47">
        <v>2E-3</v>
      </c>
      <c r="AQ47">
        <v>6.6269999999999998</v>
      </c>
      <c r="AR47">
        <v>0.11600000000000001</v>
      </c>
      <c r="AS47">
        <v>1</v>
      </c>
      <c r="AT47">
        <v>0</v>
      </c>
      <c r="AU47">
        <v>64</v>
      </c>
    </row>
    <row r="48" spans="2:47" x14ac:dyDescent="0.25">
      <c r="B48" s="9">
        <v>35</v>
      </c>
      <c r="C48" s="35">
        <v>1300</v>
      </c>
      <c r="D48" s="3"/>
      <c r="E48" s="9">
        <f t="shared" si="0"/>
        <v>439</v>
      </c>
      <c r="F48" s="54">
        <f t="shared" si="9"/>
        <v>2148</v>
      </c>
      <c r="G48" s="73">
        <f t="shared" si="1"/>
        <v>1.214</v>
      </c>
      <c r="H48" s="56">
        <f t="shared" si="2"/>
        <v>0.66500000000000004</v>
      </c>
      <c r="I48" s="57">
        <f t="shared" si="3"/>
        <v>3060</v>
      </c>
      <c r="J48" s="58">
        <f t="shared" si="4"/>
        <v>7.8</v>
      </c>
      <c r="L48" s="31">
        <f t="shared" si="5"/>
        <v>5.8000000000000003E-2</v>
      </c>
      <c r="M48" s="32">
        <f t="shared" si="10"/>
        <v>0.32</v>
      </c>
      <c r="N48" s="32">
        <f t="shared" si="6"/>
        <v>0.46899999999999997</v>
      </c>
      <c r="O48" s="32">
        <f t="shared" si="7"/>
        <v>-0.05</v>
      </c>
      <c r="P48" s="32">
        <f t="shared" si="11"/>
        <v>9.82</v>
      </c>
      <c r="Q48" s="33">
        <f t="shared" si="11"/>
        <v>1.35</v>
      </c>
      <c r="AB48">
        <v>2</v>
      </c>
      <c r="AC48">
        <v>4</v>
      </c>
      <c r="AD48">
        <v>33</v>
      </c>
      <c r="AE48">
        <v>-0.27</v>
      </c>
      <c r="AF48">
        <v>-0.32600000000000001</v>
      </c>
      <c r="AG48">
        <v>5.6000000000000001E-2</v>
      </c>
      <c r="AH48">
        <v>-0.05</v>
      </c>
      <c r="AI48">
        <v>0.46800000000000003</v>
      </c>
      <c r="AJ48">
        <v>9.8930000000000007</v>
      </c>
      <c r="AK48">
        <v>1.44</v>
      </c>
      <c r="AL48">
        <v>8.2840000000000007</v>
      </c>
      <c r="AM48">
        <v>0.14599999999999999</v>
      </c>
      <c r="AN48">
        <v>9.9990000000000006</v>
      </c>
      <c r="AO48">
        <v>8.718</v>
      </c>
      <c r="AP48">
        <v>2E-3</v>
      </c>
      <c r="AQ48">
        <v>7.0629999999999997</v>
      </c>
      <c r="AR48">
        <v>0.124</v>
      </c>
      <c r="AS48">
        <v>1</v>
      </c>
      <c r="AT48">
        <v>0</v>
      </c>
      <c r="AU48">
        <v>64</v>
      </c>
    </row>
    <row r="49" spans="2:47" x14ac:dyDescent="0.25">
      <c r="B49" s="9">
        <v>36</v>
      </c>
      <c r="C49" s="35">
        <v>1400</v>
      </c>
      <c r="D49" s="3"/>
      <c r="E49" s="9">
        <f t="shared" si="0"/>
        <v>424</v>
      </c>
      <c r="F49" s="54">
        <f t="shared" si="9"/>
        <v>2216</v>
      </c>
      <c r="G49" s="73">
        <f t="shared" si="1"/>
        <v>1.216</v>
      </c>
      <c r="H49" s="56">
        <f t="shared" si="2"/>
        <v>0.66700000000000004</v>
      </c>
      <c r="I49" s="57">
        <f t="shared" si="3"/>
        <v>3101</v>
      </c>
      <c r="J49" s="58">
        <f t="shared" si="4"/>
        <v>7.6</v>
      </c>
      <c r="L49" s="31">
        <f t="shared" si="5"/>
        <v>5.6000000000000001E-2</v>
      </c>
      <c r="M49" s="32">
        <f t="shared" si="10"/>
        <v>0.32900000000000001</v>
      </c>
      <c r="N49" s="32">
        <f t="shared" si="6"/>
        <v>0.47</v>
      </c>
      <c r="O49" s="32">
        <f t="shared" si="7"/>
        <v>-0.05</v>
      </c>
      <c r="P49" s="32">
        <f t="shared" si="11"/>
        <v>9.9559999999999995</v>
      </c>
      <c r="Q49" s="33">
        <f t="shared" si="11"/>
        <v>1.3360000000000001</v>
      </c>
      <c r="AB49">
        <v>2</v>
      </c>
      <c r="AC49">
        <v>4</v>
      </c>
      <c r="AD49">
        <v>34</v>
      </c>
      <c r="AE49">
        <v>-0.28100000000000003</v>
      </c>
      <c r="AF49">
        <v>-0.33700000000000002</v>
      </c>
      <c r="AG49">
        <v>5.6000000000000001E-2</v>
      </c>
      <c r="AH49">
        <v>-0.05</v>
      </c>
      <c r="AI49">
        <v>0.46800000000000003</v>
      </c>
      <c r="AJ49">
        <v>9.843</v>
      </c>
      <c r="AK49">
        <v>1.31</v>
      </c>
      <c r="AL49">
        <v>7.5810000000000004</v>
      </c>
      <c r="AM49">
        <v>0.13300000000000001</v>
      </c>
      <c r="AN49">
        <v>9.93</v>
      </c>
      <c r="AO49">
        <v>8.66</v>
      </c>
      <c r="AP49">
        <v>2E-3</v>
      </c>
      <c r="AQ49">
        <v>6.4939999999999998</v>
      </c>
      <c r="AR49">
        <v>0.114</v>
      </c>
      <c r="AS49">
        <v>1</v>
      </c>
      <c r="AT49">
        <v>0</v>
      </c>
      <c r="AU49">
        <v>64</v>
      </c>
    </row>
    <row r="50" spans="2:47" x14ac:dyDescent="0.25">
      <c r="B50" s="9">
        <v>37</v>
      </c>
      <c r="C50" s="35">
        <v>1500</v>
      </c>
      <c r="D50" s="3"/>
      <c r="E50" s="9">
        <f t="shared" si="0"/>
        <v>424</v>
      </c>
      <c r="F50" s="54">
        <f t="shared" si="9"/>
        <v>2299</v>
      </c>
      <c r="G50" s="73">
        <f t="shared" si="1"/>
        <v>1.2110000000000001</v>
      </c>
      <c r="H50" s="56">
        <f t="shared" si="2"/>
        <v>0.66400000000000003</v>
      </c>
      <c r="I50" s="57">
        <f t="shared" si="3"/>
        <v>3125</v>
      </c>
      <c r="J50" s="58">
        <f t="shared" si="4"/>
        <v>7.1</v>
      </c>
      <c r="L50" s="31">
        <f t="shared" si="5"/>
        <v>5.6000000000000001E-2</v>
      </c>
      <c r="M50" s="32">
        <f t="shared" si="10"/>
        <v>0.34</v>
      </c>
      <c r="N50" s="32">
        <f t="shared" si="6"/>
        <v>0.46800000000000003</v>
      </c>
      <c r="O50" s="32">
        <f t="shared" si="7"/>
        <v>-0.05</v>
      </c>
      <c r="P50" s="32">
        <f t="shared" si="11"/>
        <v>10.045999999999999</v>
      </c>
      <c r="Q50" s="33">
        <f t="shared" si="11"/>
        <v>1.248</v>
      </c>
      <c r="AB50">
        <v>2</v>
      </c>
      <c r="AC50">
        <v>4</v>
      </c>
      <c r="AD50">
        <v>35</v>
      </c>
      <c r="AE50">
        <v>-0.29099999999999998</v>
      </c>
      <c r="AF50">
        <v>-0.34899999999999998</v>
      </c>
      <c r="AG50">
        <v>5.8000000000000003E-2</v>
      </c>
      <c r="AH50">
        <v>-0.05</v>
      </c>
      <c r="AI50">
        <v>0.46899999999999997</v>
      </c>
      <c r="AJ50">
        <v>9.82</v>
      </c>
      <c r="AK50">
        <v>1.35</v>
      </c>
      <c r="AL50">
        <v>7.8280000000000003</v>
      </c>
      <c r="AM50">
        <v>0.13700000000000001</v>
      </c>
      <c r="AN50">
        <v>9.9130000000000003</v>
      </c>
      <c r="AO50">
        <v>8.4719999999999995</v>
      </c>
      <c r="AP50">
        <v>2E-3</v>
      </c>
      <c r="AQ50">
        <v>6.4859999999999998</v>
      </c>
      <c r="AR50">
        <v>0.114</v>
      </c>
      <c r="AS50">
        <v>1</v>
      </c>
      <c r="AT50">
        <v>0</v>
      </c>
      <c r="AU50">
        <v>64</v>
      </c>
    </row>
    <row r="51" spans="2:47" x14ac:dyDescent="0.25">
      <c r="B51" s="9">
        <v>38</v>
      </c>
      <c r="C51" s="35">
        <v>1600</v>
      </c>
      <c r="D51" s="3"/>
      <c r="E51" s="9">
        <f t="shared" si="0"/>
        <v>417</v>
      </c>
      <c r="F51" s="54">
        <f t="shared" si="9"/>
        <v>2371</v>
      </c>
      <c r="G51" s="73">
        <f t="shared" si="1"/>
        <v>1.2110000000000001</v>
      </c>
      <c r="H51" s="56">
        <f t="shared" si="2"/>
        <v>0.66400000000000003</v>
      </c>
      <c r="I51" s="57">
        <f t="shared" si="3"/>
        <v>3151</v>
      </c>
      <c r="J51" s="58">
        <f t="shared" si="4"/>
        <v>7.9</v>
      </c>
      <c r="L51" s="31">
        <f t="shared" si="5"/>
        <v>5.5E-2</v>
      </c>
      <c r="M51" s="32">
        <f t="shared" si="10"/>
        <v>0.34950000000000003</v>
      </c>
      <c r="N51" s="32">
        <f t="shared" si="6"/>
        <v>0.46800000000000003</v>
      </c>
      <c r="O51" s="32">
        <f t="shared" si="7"/>
        <v>-0.05</v>
      </c>
      <c r="P51" s="32">
        <f t="shared" si="11"/>
        <v>10.109</v>
      </c>
      <c r="Q51" s="33">
        <f t="shared" si="11"/>
        <v>1.395</v>
      </c>
      <c r="AB51">
        <v>2</v>
      </c>
      <c r="AC51">
        <v>4</v>
      </c>
      <c r="AD51">
        <v>36</v>
      </c>
      <c r="AE51">
        <v>-0.30099999999999999</v>
      </c>
      <c r="AF51">
        <v>-0.35799999999999998</v>
      </c>
      <c r="AG51">
        <v>5.6000000000000001E-2</v>
      </c>
      <c r="AH51">
        <v>-0.05</v>
      </c>
      <c r="AI51">
        <v>0.47</v>
      </c>
      <c r="AJ51">
        <v>9.9559999999999995</v>
      </c>
      <c r="AK51">
        <v>1.3360000000000001</v>
      </c>
      <c r="AL51">
        <v>7.6470000000000002</v>
      </c>
      <c r="AM51">
        <v>0.13400000000000001</v>
      </c>
      <c r="AN51">
        <v>10.045999999999999</v>
      </c>
      <c r="AO51">
        <v>8.7729999999999997</v>
      </c>
      <c r="AP51">
        <v>2E-3</v>
      </c>
      <c r="AQ51">
        <v>6.49</v>
      </c>
      <c r="AR51">
        <v>0.114</v>
      </c>
      <c r="AS51">
        <v>1</v>
      </c>
      <c r="AT51">
        <v>0</v>
      </c>
      <c r="AU51">
        <v>64</v>
      </c>
    </row>
    <row r="52" spans="2:47" x14ac:dyDescent="0.25">
      <c r="B52" s="9">
        <v>39</v>
      </c>
      <c r="C52" s="35">
        <v>1700</v>
      </c>
      <c r="D52" s="3"/>
      <c r="E52" s="9">
        <f t="shared" si="0"/>
        <v>424</v>
      </c>
      <c r="F52" s="54">
        <f t="shared" si="9"/>
        <v>2428</v>
      </c>
      <c r="G52" s="73">
        <f t="shared" si="1"/>
        <v>1.214</v>
      </c>
      <c r="H52" s="56">
        <f t="shared" si="2"/>
        <v>0.66700000000000004</v>
      </c>
      <c r="I52" s="57">
        <f t="shared" si="3"/>
        <v>3109</v>
      </c>
      <c r="J52" s="58">
        <f t="shared" si="4"/>
        <v>7.4</v>
      </c>
      <c r="L52" s="31">
        <f t="shared" si="5"/>
        <v>5.6000000000000001E-2</v>
      </c>
      <c r="M52" s="32">
        <f t="shared" si="10"/>
        <v>0.35700000000000004</v>
      </c>
      <c r="N52" s="32">
        <f t="shared" si="6"/>
        <v>0.46800000000000003</v>
      </c>
      <c r="O52" s="32">
        <f t="shared" si="7"/>
        <v>-5.0999999999999997E-2</v>
      </c>
      <c r="P52" s="32">
        <f t="shared" si="11"/>
        <v>9.9860000000000007</v>
      </c>
      <c r="Q52" s="33">
        <f t="shared" si="11"/>
        <v>1.3</v>
      </c>
      <c r="AB52">
        <v>2</v>
      </c>
      <c r="AC52">
        <v>4</v>
      </c>
      <c r="AD52">
        <v>37</v>
      </c>
      <c r="AE52">
        <v>-0.312</v>
      </c>
      <c r="AF52">
        <v>-0.36799999999999999</v>
      </c>
      <c r="AG52">
        <v>5.6000000000000001E-2</v>
      </c>
      <c r="AH52">
        <v>-0.05</v>
      </c>
      <c r="AI52">
        <v>0.46800000000000003</v>
      </c>
      <c r="AJ52">
        <v>10.045999999999999</v>
      </c>
      <c r="AK52">
        <v>1.248</v>
      </c>
      <c r="AL52">
        <v>7.0759999999999996</v>
      </c>
      <c r="AM52">
        <v>0.124</v>
      </c>
      <c r="AN52">
        <v>10.124000000000001</v>
      </c>
      <c r="AO52">
        <v>8.6359999999999992</v>
      </c>
      <c r="AP52">
        <v>2E-3</v>
      </c>
      <c r="AQ52">
        <v>5.9059999999999997</v>
      </c>
      <c r="AR52">
        <v>0.10299999999999999</v>
      </c>
      <c r="AS52">
        <v>1</v>
      </c>
      <c r="AT52">
        <v>0</v>
      </c>
      <c r="AU52">
        <v>64</v>
      </c>
    </row>
    <row r="53" spans="2:47" x14ac:dyDescent="0.25">
      <c r="B53" s="9">
        <v>40</v>
      </c>
      <c r="C53" s="35">
        <v>1800</v>
      </c>
      <c r="D53" s="3"/>
      <c r="E53" s="9">
        <f t="shared" si="0"/>
        <v>424</v>
      </c>
      <c r="F53" s="54">
        <f t="shared" si="9"/>
        <v>2504</v>
      </c>
      <c r="G53" s="73">
        <f t="shared" si="1"/>
        <v>1.218</v>
      </c>
      <c r="H53" s="56">
        <f t="shared" si="2"/>
        <v>0.66900000000000004</v>
      </c>
      <c r="I53" s="57">
        <f t="shared" si="3"/>
        <v>3107</v>
      </c>
      <c r="J53" s="58">
        <f t="shared" si="4"/>
        <v>7.8</v>
      </c>
      <c r="L53" s="31">
        <f t="shared" si="5"/>
        <v>5.6000000000000001E-2</v>
      </c>
      <c r="M53" s="32">
        <f t="shared" si="10"/>
        <v>0.36700000000000005</v>
      </c>
      <c r="N53" s="32">
        <f t="shared" si="6"/>
        <v>0.47</v>
      </c>
      <c r="O53" s="32">
        <f t="shared" si="7"/>
        <v>-5.0999999999999997E-2</v>
      </c>
      <c r="P53" s="32">
        <f t="shared" si="11"/>
        <v>9.9710000000000001</v>
      </c>
      <c r="Q53" s="33">
        <f t="shared" si="11"/>
        <v>1.359</v>
      </c>
      <c r="AB53">
        <v>2</v>
      </c>
      <c r="AC53">
        <v>4</v>
      </c>
      <c r="AD53">
        <v>38</v>
      </c>
      <c r="AE53">
        <v>-0.32200000000000001</v>
      </c>
      <c r="AF53">
        <v>-0.377</v>
      </c>
      <c r="AG53">
        <v>5.5E-2</v>
      </c>
      <c r="AH53">
        <v>-0.05</v>
      </c>
      <c r="AI53">
        <v>0.46800000000000003</v>
      </c>
      <c r="AJ53">
        <v>10.109</v>
      </c>
      <c r="AK53">
        <v>1.395</v>
      </c>
      <c r="AL53">
        <v>7.859</v>
      </c>
      <c r="AM53">
        <v>0.13800000000000001</v>
      </c>
      <c r="AN53">
        <v>10.206</v>
      </c>
      <c r="AO53">
        <v>8.8350000000000009</v>
      </c>
      <c r="AP53">
        <v>2E-3</v>
      </c>
      <c r="AQ53">
        <v>6.7640000000000002</v>
      </c>
      <c r="AR53">
        <v>0.11899999999999999</v>
      </c>
      <c r="AS53">
        <v>1</v>
      </c>
      <c r="AT53">
        <v>0</v>
      </c>
      <c r="AU53">
        <v>64</v>
      </c>
    </row>
    <row r="54" spans="2:47" x14ac:dyDescent="0.25">
      <c r="B54" s="9">
        <v>41</v>
      </c>
      <c r="C54" s="35">
        <v>1900</v>
      </c>
      <c r="D54" s="3"/>
      <c r="E54" s="9">
        <f t="shared" si="0"/>
        <v>424</v>
      </c>
      <c r="F54" s="54">
        <f t="shared" si="9"/>
        <v>2587</v>
      </c>
      <c r="G54" s="73">
        <f t="shared" si="1"/>
        <v>1.214</v>
      </c>
      <c r="H54" s="56">
        <f t="shared" si="2"/>
        <v>0.66500000000000004</v>
      </c>
      <c r="I54" s="57">
        <f t="shared" si="3"/>
        <v>3160</v>
      </c>
      <c r="J54" s="58">
        <f t="shared" si="4"/>
        <v>8.1</v>
      </c>
      <c r="L54" s="31">
        <f t="shared" si="5"/>
        <v>5.6000000000000001E-2</v>
      </c>
      <c r="M54" s="32">
        <f t="shared" si="10"/>
        <v>0.378</v>
      </c>
      <c r="N54" s="32">
        <f t="shared" si="6"/>
        <v>0.46899999999999997</v>
      </c>
      <c r="O54" s="32">
        <f t="shared" si="7"/>
        <v>-0.05</v>
      </c>
      <c r="P54" s="32">
        <f t="shared" si="11"/>
        <v>10.132999999999999</v>
      </c>
      <c r="Q54" s="33">
        <f t="shared" si="11"/>
        <v>1.444</v>
      </c>
      <c r="AB54">
        <v>2</v>
      </c>
      <c r="AC54">
        <v>4</v>
      </c>
      <c r="AD54">
        <v>39</v>
      </c>
      <c r="AE54">
        <v>-0.32900000000000001</v>
      </c>
      <c r="AF54">
        <v>-0.38500000000000001</v>
      </c>
      <c r="AG54">
        <v>5.6000000000000001E-2</v>
      </c>
      <c r="AH54">
        <v>-5.0999999999999997E-2</v>
      </c>
      <c r="AI54">
        <v>0.46800000000000003</v>
      </c>
      <c r="AJ54">
        <v>9.9860000000000007</v>
      </c>
      <c r="AK54">
        <v>1.3</v>
      </c>
      <c r="AL54">
        <v>7.4139999999999997</v>
      </c>
      <c r="AM54">
        <v>0.13</v>
      </c>
      <c r="AN54">
        <v>10.07</v>
      </c>
      <c r="AO54">
        <v>8.6460000000000008</v>
      </c>
      <c r="AP54">
        <v>2E-3</v>
      </c>
      <c r="AQ54">
        <v>6.2229999999999999</v>
      </c>
      <c r="AR54">
        <v>0.109</v>
      </c>
      <c r="AS54">
        <v>1</v>
      </c>
      <c r="AT54">
        <v>0</v>
      </c>
      <c r="AU54">
        <v>64</v>
      </c>
    </row>
    <row r="55" spans="2:47" x14ac:dyDescent="0.25">
      <c r="B55" s="9">
        <v>42</v>
      </c>
      <c r="C55" s="35">
        <v>2000</v>
      </c>
      <c r="D55" s="3"/>
      <c r="E55" s="9">
        <f t="shared" si="0"/>
        <v>424</v>
      </c>
      <c r="F55" s="54">
        <f t="shared" si="9"/>
        <v>2632</v>
      </c>
      <c r="G55" s="73">
        <f t="shared" si="1"/>
        <v>1.214</v>
      </c>
      <c r="H55" s="56">
        <f t="shared" si="2"/>
        <v>0.66700000000000004</v>
      </c>
      <c r="I55" s="57">
        <f t="shared" si="3"/>
        <v>3133</v>
      </c>
      <c r="J55" s="58">
        <f t="shared" si="4"/>
        <v>8.1999999999999993</v>
      </c>
      <c r="L55" s="31">
        <f t="shared" si="5"/>
        <v>5.6000000000000001E-2</v>
      </c>
      <c r="M55" s="32">
        <f t="shared" si="10"/>
        <v>0.38400000000000001</v>
      </c>
      <c r="N55" s="32">
        <f t="shared" si="6"/>
        <v>0.46800000000000003</v>
      </c>
      <c r="O55" s="32">
        <f t="shared" si="7"/>
        <v>-5.0999999999999997E-2</v>
      </c>
      <c r="P55" s="32">
        <f t="shared" si="11"/>
        <v>10.045</v>
      </c>
      <c r="Q55" s="33">
        <f t="shared" si="11"/>
        <v>1.4490000000000001</v>
      </c>
      <c r="AB55">
        <v>2</v>
      </c>
      <c r="AC55">
        <v>4</v>
      </c>
      <c r="AD55">
        <v>40</v>
      </c>
      <c r="AE55">
        <v>-0.33900000000000002</v>
      </c>
      <c r="AF55">
        <v>-0.39400000000000002</v>
      </c>
      <c r="AG55">
        <v>5.6000000000000001E-2</v>
      </c>
      <c r="AH55">
        <v>-5.0999999999999997E-2</v>
      </c>
      <c r="AI55">
        <v>0.47</v>
      </c>
      <c r="AJ55">
        <v>9.9710000000000001</v>
      </c>
      <c r="AK55">
        <v>1.359</v>
      </c>
      <c r="AL55">
        <v>7.7610000000000001</v>
      </c>
      <c r="AM55">
        <v>0.13600000000000001</v>
      </c>
      <c r="AN55">
        <v>10.063000000000001</v>
      </c>
      <c r="AO55">
        <v>8.6959999999999997</v>
      </c>
      <c r="AP55">
        <v>2E-3</v>
      </c>
      <c r="AQ55">
        <v>6.5439999999999996</v>
      </c>
      <c r="AR55">
        <v>0.115</v>
      </c>
      <c r="AS55">
        <v>1</v>
      </c>
      <c r="AT55">
        <v>0</v>
      </c>
      <c r="AU55">
        <v>64</v>
      </c>
    </row>
    <row r="56" spans="2:47" x14ac:dyDescent="0.25">
      <c r="B56" s="9">
        <v>43</v>
      </c>
      <c r="C56" s="35">
        <v>2500</v>
      </c>
      <c r="D56" s="3"/>
      <c r="E56" s="9">
        <f t="shared" si="0"/>
        <v>409</v>
      </c>
      <c r="F56" s="54">
        <f t="shared" si="9"/>
        <v>2928</v>
      </c>
      <c r="G56" s="73">
        <f t="shared" si="1"/>
        <v>1.214</v>
      </c>
      <c r="H56" s="56">
        <f t="shared" si="2"/>
        <v>0.66700000000000004</v>
      </c>
      <c r="I56" s="57">
        <f t="shared" si="3"/>
        <v>3176</v>
      </c>
      <c r="J56" s="58">
        <f t="shared" si="4"/>
        <v>8.1999999999999993</v>
      </c>
      <c r="L56" s="31">
        <f t="shared" si="5"/>
        <v>5.3999999999999999E-2</v>
      </c>
      <c r="M56" s="32">
        <f t="shared" si="10"/>
        <v>0.42300000000000004</v>
      </c>
      <c r="N56" s="32">
        <f t="shared" si="6"/>
        <v>0.46800000000000003</v>
      </c>
      <c r="O56" s="32">
        <f t="shared" si="7"/>
        <v>-5.0999999999999997E-2</v>
      </c>
      <c r="P56" s="32">
        <f t="shared" si="11"/>
        <v>10.18</v>
      </c>
      <c r="Q56" s="33">
        <f t="shared" si="11"/>
        <v>1.4730000000000001</v>
      </c>
      <c r="AB56">
        <v>2</v>
      </c>
      <c r="AC56">
        <v>4</v>
      </c>
      <c r="AD56">
        <v>41</v>
      </c>
      <c r="AE56">
        <v>-0.35</v>
      </c>
      <c r="AF56">
        <v>-0.40500000000000003</v>
      </c>
      <c r="AG56">
        <v>5.6000000000000001E-2</v>
      </c>
      <c r="AH56">
        <v>-0.05</v>
      </c>
      <c r="AI56">
        <v>0.46899999999999997</v>
      </c>
      <c r="AJ56">
        <v>10.132999999999999</v>
      </c>
      <c r="AK56">
        <v>1.444</v>
      </c>
      <c r="AL56">
        <v>8.1</v>
      </c>
      <c r="AM56">
        <v>0.14199999999999999</v>
      </c>
      <c r="AN56">
        <v>10.238</v>
      </c>
      <c r="AO56">
        <v>8.8089999999999993</v>
      </c>
      <c r="AP56">
        <v>2E-3</v>
      </c>
      <c r="AQ56">
        <v>6.8419999999999996</v>
      </c>
      <c r="AR56">
        <v>0.12</v>
      </c>
      <c r="AS56">
        <v>1</v>
      </c>
      <c r="AT56">
        <v>0</v>
      </c>
      <c r="AU56">
        <v>64</v>
      </c>
    </row>
    <row r="57" spans="2:47" x14ac:dyDescent="0.25">
      <c r="B57" s="9">
        <v>44</v>
      </c>
      <c r="C57" s="35">
        <v>3000</v>
      </c>
      <c r="D57" s="3"/>
      <c r="E57" s="9">
        <f t="shared" si="0"/>
        <v>417</v>
      </c>
      <c r="F57" s="54">
        <f t="shared" si="9"/>
        <v>3189</v>
      </c>
      <c r="G57" s="73">
        <f t="shared" si="1"/>
        <v>1.2110000000000001</v>
      </c>
      <c r="H57" s="56">
        <f t="shared" si="2"/>
        <v>0.66400000000000003</v>
      </c>
      <c r="I57" s="57">
        <f t="shared" si="3"/>
        <v>3186</v>
      </c>
      <c r="J57" s="58">
        <f t="shared" si="4"/>
        <v>8.1</v>
      </c>
      <c r="L57" s="31">
        <f t="shared" si="5"/>
        <v>5.5E-2</v>
      </c>
      <c r="M57" s="32">
        <f t="shared" si="10"/>
        <v>0.45750000000000002</v>
      </c>
      <c r="N57" s="32">
        <f t="shared" si="6"/>
        <v>0.46800000000000003</v>
      </c>
      <c r="O57" s="32">
        <f t="shared" si="7"/>
        <v>-0.05</v>
      </c>
      <c r="P57" s="32">
        <f t="shared" si="11"/>
        <v>10.215</v>
      </c>
      <c r="Q57" s="33">
        <f t="shared" si="11"/>
        <v>1.454</v>
      </c>
      <c r="AB57">
        <v>2</v>
      </c>
      <c r="AC57">
        <v>4</v>
      </c>
      <c r="AD57">
        <v>42</v>
      </c>
      <c r="AE57">
        <v>-0.35599999999999998</v>
      </c>
      <c r="AF57">
        <v>-0.41199999999999998</v>
      </c>
      <c r="AG57">
        <v>5.6000000000000001E-2</v>
      </c>
      <c r="AH57">
        <v>-5.0999999999999997E-2</v>
      </c>
      <c r="AI57">
        <v>0.46800000000000003</v>
      </c>
      <c r="AJ57">
        <v>10.045</v>
      </c>
      <c r="AK57">
        <v>1.4490000000000001</v>
      </c>
      <c r="AL57">
        <v>8.2080000000000002</v>
      </c>
      <c r="AM57">
        <v>0.14399999999999999</v>
      </c>
      <c r="AN57">
        <v>10.15</v>
      </c>
      <c r="AO57">
        <v>8.7769999999999992</v>
      </c>
      <c r="AP57">
        <v>2E-3</v>
      </c>
      <c r="AQ57">
        <v>6.96</v>
      </c>
      <c r="AR57">
        <v>0.122</v>
      </c>
      <c r="AS57">
        <v>1</v>
      </c>
      <c r="AT57">
        <v>0</v>
      </c>
      <c r="AU57">
        <v>64</v>
      </c>
    </row>
    <row r="58" spans="2:47" x14ac:dyDescent="0.25">
      <c r="B58" s="9">
        <v>45</v>
      </c>
      <c r="C58" s="35">
        <v>3500</v>
      </c>
      <c r="D58" s="3"/>
      <c r="E58" s="9">
        <f t="shared" si="0"/>
        <v>432</v>
      </c>
      <c r="F58" s="54">
        <f t="shared" si="9"/>
        <v>3416</v>
      </c>
      <c r="G58" s="73">
        <f t="shared" si="1"/>
        <v>1.214</v>
      </c>
      <c r="H58" s="56">
        <f t="shared" si="2"/>
        <v>0.66700000000000004</v>
      </c>
      <c r="I58" s="57">
        <f t="shared" si="3"/>
        <v>3204</v>
      </c>
      <c r="J58" s="58">
        <f t="shared" si="4"/>
        <v>8.1999999999999993</v>
      </c>
      <c r="L58" s="31">
        <f t="shared" si="5"/>
        <v>5.7000000000000002E-2</v>
      </c>
      <c r="M58" s="32">
        <f t="shared" si="10"/>
        <v>0.48750000000000004</v>
      </c>
      <c r="N58" s="32">
        <f t="shared" si="6"/>
        <v>0.46800000000000003</v>
      </c>
      <c r="O58" s="32">
        <f t="shared" si="7"/>
        <v>-5.0999999999999997E-2</v>
      </c>
      <c r="P58" s="32">
        <f t="shared" si="11"/>
        <v>10.272</v>
      </c>
      <c r="Q58" s="33">
        <f t="shared" si="11"/>
        <v>1.484</v>
      </c>
      <c r="AB58">
        <v>2</v>
      </c>
      <c r="AC58">
        <v>4</v>
      </c>
      <c r="AD58">
        <v>43</v>
      </c>
      <c r="AE58">
        <v>-0.39600000000000002</v>
      </c>
      <c r="AF58">
        <v>-0.45</v>
      </c>
      <c r="AG58">
        <v>5.3999999999999999E-2</v>
      </c>
      <c r="AH58">
        <v>-5.0999999999999997E-2</v>
      </c>
      <c r="AI58">
        <v>0.46800000000000003</v>
      </c>
      <c r="AJ58">
        <v>10.18</v>
      </c>
      <c r="AK58">
        <v>1.4730000000000001</v>
      </c>
      <c r="AL58">
        <v>8.2289999999999992</v>
      </c>
      <c r="AM58">
        <v>0.14499999999999999</v>
      </c>
      <c r="AN58">
        <v>10.287000000000001</v>
      </c>
      <c r="AO58">
        <v>8.9640000000000004</v>
      </c>
      <c r="AP58">
        <v>2E-3</v>
      </c>
      <c r="AQ58">
        <v>7.0350000000000001</v>
      </c>
      <c r="AR58">
        <v>0.123</v>
      </c>
      <c r="AS58">
        <v>1</v>
      </c>
      <c r="AT58">
        <v>0</v>
      </c>
      <c r="AU58">
        <v>64</v>
      </c>
    </row>
    <row r="59" spans="2:47" x14ac:dyDescent="0.25">
      <c r="B59" s="9">
        <v>46</v>
      </c>
      <c r="C59" s="35">
        <v>4000</v>
      </c>
      <c r="D59" s="3"/>
      <c r="E59" s="9">
        <f t="shared" si="0"/>
        <v>424</v>
      </c>
      <c r="F59" s="54">
        <f t="shared" si="9"/>
        <v>3663</v>
      </c>
      <c r="G59" s="73">
        <f t="shared" si="1"/>
        <v>1.214</v>
      </c>
      <c r="H59" s="56">
        <f t="shared" si="2"/>
        <v>0.66500000000000004</v>
      </c>
      <c r="I59" s="57">
        <f t="shared" si="3"/>
        <v>3214</v>
      </c>
      <c r="J59" s="58">
        <f t="shared" si="4"/>
        <v>8.1</v>
      </c>
      <c r="L59" s="31">
        <f t="shared" si="5"/>
        <v>5.6000000000000001E-2</v>
      </c>
      <c r="M59" s="32">
        <f t="shared" si="10"/>
        <v>0.52</v>
      </c>
      <c r="N59" s="32">
        <f t="shared" si="6"/>
        <v>0.46899999999999997</v>
      </c>
      <c r="O59" s="32">
        <f t="shared" si="7"/>
        <v>-0.05</v>
      </c>
      <c r="P59" s="32">
        <f t="shared" si="11"/>
        <v>10.305999999999999</v>
      </c>
      <c r="Q59" s="33">
        <f t="shared" si="11"/>
        <v>1.472</v>
      </c>
      <c r="AB59">
        <v>2</v>
      </c>
      <c r="AC59">
        <v>4</v>
      </c>
      <c r="AD59">
        <v>44</v>
      </c>
      <c r="AE59">
        <v>-0.43</v>
      </c>
      <c r="AF59">
        <v>-0.48499999999999999</v>
      </c>
      <c r="AG59">
        <v>5.5E-2</v>
      </c>
      <c r="AH59">
        <v>-0.05</v>
      </c>
      <c r="AI59">
        <v>0.46800000000000003</v>
      </c>
      <c r="AJ59">
        <v>10.215</v>
      </c>
      <c r="AK59">
        <v>1.454</v>
      </c>
      <c r="AL59">
        <v>8.0969999999999995</v>
      </c>
      <c r="AM59">
        <v>0.14199999999999999</v>
      </c>
      <c r="AN59">
        <v>10.318</v>
      </c>
      <c r="AO59">
        <v>8.8260000000000005</v>
      </c>
      <c r="AP59">
        <v>2E-3</v>
      </c>
      <c r="AQ59">
        <v>6.8150000000000004</v>
      </c>
      <c r="AR59">
        <v>0.12</v>
      </c>
      <c r="AS59">
        <v>1</v>
      </c>
      <c r="AT59">
        <v>0</v>
      </c>
      <c r="AU59">
        <v>64</v>
      </c>
    </row>
    <row r="60" spans="2:47" x14ac:dyDescent="0.25">
      <c r="B60" s="9">
        <v>47</v>
      </c>
      <c r="C60" s="35">
        <v>4500</v>
      </c>
      <c r="D60" s="3"/>
      <c r="E60" s="9">
        <f t="shared" si="0"/>
        <v>394</v>
      </c>
      <c r="F60" s="54">
        <f t="shared" si="9"/>
        <v>3867</v>
      </c>
      <c r="G60" s="73">
        <f t="shared" si="1"/>
        <v>1.216</v>
      </c>
      <c r="H60" s="56">
        <f t="shared" si="2"/>
        <v>0.66800000000000004</v>
      </c>
      <c r="I60" s="57">
        <f t="shared" si="3"/>
        <v>3242</v>
      </c>
      <c r="J60" s="58">
        <f t="shared" si="4"/>
        <v>7.3</v>
      </c>
      <c r="L60" s="31">
        <f t="shared" si="5"/>
        <v>5.1999999999999998E-2</v>
      </c>
      <c r="M60" s="32">
        <f t="shared" si="10"/>
        <v>0.54700000000000004</v>
      </c>
      <c r="N60" s="32">
        <f t="shared" si="6"/>
        <v>0.46899999999999997</v>
      </c>
      <c r="O60" s="32">
        <f t="shared" si="7"/>
        <v>-5.0999999999999997E-2</v>
      </c>
      <c r="P60" s="32">
        <f t="shared" si="11"/>
        <v>10.417</v>
      </c>
      <c r="Q60" s="33">
        <f t="shared" si="11"/>
        <v>1.331</v>
      </c>
      <c r="AB60">
        <v>2</v>
      </c>
      <c r="AC60">
        <v>4</v>
      </c>
      <c r="AD60">
        <v>45</v>
      </c>
      <c r="AE60">
        <v>-0.45900000000000002</v>
      </c>
      <c r="AF60">
        <v>-0.51600000000000001</v>
      </c>
      <c r="AG60">
        <v>5.7000000000000002E-2</v>
      </c>
      <c r="AH60">
        <v>-5.0999999999999997E-2</v>
      </c>
      <c r="AI60">
        <v>0.46800000000000003</v>
      </c>
      <c r="AJ60">
        <v>10.272</v>
      </c>
      <c r="AK60">
        <v>1.484</v>
      </c>
      <c r="AL60">
        <v>8.2279999999999998</v>
      </c>
      <c r="AM60">
        <v>0.14499999999999999</v>
      </c>
      <c r="AN60">
        <v>10.379</v>
      </c>
      <c r="AO60">
        <v>9.0289999999999999</v>
      </c>
      <c r="AP60">
        <v>2E-3</v>
      </c>
      <c r="AQ60">
        <v>7.0389999999999997</v>
      </c>
      <c r="AR60">
        <v>0.123</v>
      </c>
      <c r="AS60">
        <v>1</v>
      </c>
      <c r="AT60">
        <v>0</v>
      </c>
      <c r="AU60">
        <v>64</v>
      </c>
    </row>
    <row r="61" spans="2:47" x14ac:dyDescent="0.25">
      <c r="B61" s="9">
        <v>48</v>
      </c>
      <c r="C61" s="35">
        <v>5000</v>
      </c>
      <c r="D61" s="3"/>
      <c r="E61" s="9">
        <f t="shared" si="0"/>
        <v>409</v>
      </c>
      <c r="F61" s="54">
        <f t="shared" si="9"/>
        <v>4049</v>
      </c>
      <c r="G61" s="73">
        <f t="shared" si="1"/>
        <v>1.214</v>
      </c>
      <c r="H61" s="56">
        <f t="shared" si="2"/>
        <v>0.66700000000000004</v>
      </c>
      <c r="I61" s="57">
        <f t="shared" si="3"/>
        <v>3253</v>
      </c>
      <c r="J61" s="58">
        <f t="shared" si="4"/>
        <v>8.8000000000000007</v>
      </c>
      <c r="L61" s="31">
        <f t="shared" si="5"/>
        <v>5.3999999999999999E-2</v>
      </c>
      <c r="M61" s="32">
        <f t="shared" si="10"/>
        <v>0.57100000000000006</v>
      </c>
      <c r="N61" s="32">
        <f t="shared" si="6"/>
        <v>0.46800000000000003</v>
      </c>
      <c r="O61" s="32">
        <f t="shared" si="7"/>
        <v>-5.0999999999999997E-2</v>
      </c>
      <c r="P61" s="32">
        <f t="shared" si="11"/>
        <v>10.411</v>
      </c>
      <c r="Q61" s="33">
        <f t="shared" si="11"/>
        <v>1.617</v>
      </c>
      <c r="AB61">
        <v>2</v>
      </c>
      <c r="AC61">
        <v>4</v>
      </c>
      <c r="AD61">
        <v>46</v>
      </c>
      <c r="AE61">
        <v>-0.49199999999999999</v>
      </c>
      <c r="AF61">
        <v>-0.54700000000000004</v>
      </c>
      <c r="AG61">
        <v>5.6000000000000001E-2</v>
      </c>
      <c r="AH61">
        <v>-0.05</v>
      </c>
      <c r="AI61">
        <v>0.46899999999999997</v>
      </c>
      <c r="AJ61">
        <v>10.305999999999999</v>
      </c>
      <c r="AK61">
        <v>1.472</v>
      </c>
      <c r="AL61">
        <v>8.1310000000000002</v>
      </c>
      <c r="AM61">
        <v>0.14299999999999999</v>
      </c>
      <c r="AN61">
        <v>10.412000000000001</v>
      </c>
      <c r="AO61">
        <v>8.9730000000000008</v>
      </c>
      <c r="AP61">
        <v>2E-3</v>
      </c>
      <c r="AQ61">
        <v>6.8339999999999996</v>
      </c>
      <c r="AR61">
        <v>0.12</v>
      </c>
      <c r="AS61">
        <v>1</v>
      </c>
      <c r="AT61">
        <v>0</v>
      </c>
      <c r="AU61">
        <v>64</v>
      </c>
    </row>
    <row r="62" spans="2:47" x14ac:dyDescent="0.25">
      <c r="B62" s="9">
        <v>49</v>
      </c>
      <c r="C62" s="35">
        <v>5500</v>
      </c>
      <c r="D62" s="3"/>
      <c r="E62" s="9">
        <f t="shared" si="0"/>
        <v>401</v>
      </c>
      <c r="F62" s="54">
        <f t="shared" si="9"/>
        <v>4242</v>
      </c>
      <c r="G62" s="73">
        <f t="shared" si="1"/>
        <v>1.216</v>
      </c>
      <c r="H62" s="56">
        <f t="shared" si="2"/>
        <v>0.66800000000000004</v>
      </c>
      <c r="I62" s="57">
        <f t="shared" si="3"/>
        <v>3281</v>
      </c>
      <c r="J62" s="58">
        <f t="shared" si="4"/>
        <v>8</v>
      </c>
      <c r="L62" s="31">
        <f t="shared" si="5"/>
        <v>5.2999999999999999E-2</v>
      </c>
      <c r="M62" s="32">
        <f t="shared" si="10"/>
        <v>0.59649999999999992</v>
      </c>
      <c r="N62" s="32">
        <f t="shared" si="6"/>
        <v>0.46899999999999997</v>
      </c>
      <c r="O62" s="32">
        <f t="shared" si="7"/>
        <v>-5.0999999999999997E-2</v>
      </c>
      <c r="P62" s="32">
        <f t="shared" si="11"/>
        <v>10.523</v>
      </c>
      <c r="Q62" s="33">
        <f t="shared" si="11"/>
        <v>1.482</v>
      </c>
      <c r="AB62">
        <v>2</v>
      </c>
      <c r="AC62">
        <v>4</v>
      </c>
      <c r="AD62">
        <v>47</v>
      </c>
      <c r="AE62">
        <v>-0.52100000000000002</v>
      </c>
      <c r="AF62">
        <v>-0.57299999999999995</v>
      </c>
      <c r="AG62">
        <v>5.1999999999999998E-2</v>
      </c>
      <c r="AH62">
        <v>-5.0999999999999997E-2</v>
      </c>
      <c r="AI62">
        <v>0.46899999999999997</v>
      </c>
      <c r="AJ62">
        <v>10.417</v>
      </c>
      <c r="AK62">
        <v>1.331</v>
      </c>
      <c r="AL62">
        <v>7.2830000000000004</v>
      </c>
      <c r="AM62">
        <v>0.128</v>
      </c>
      <c r="AN62">
        <v>10.502000000000001</v>
      </c>
      <c r="AO62">
        <v>9.2200000000000006</v>
      </c>
      <c r="AP62">
        <v>2E-3</v>
      </c>
      <c r="AQ62">
        <v>6.298</v>
      </c>
      <c r="AR62">
        <v>0.11</v>
      </c>
      <c r="AS62">
        <v>1</v>
      </c>
      <c r="AT62">
        <v>0</v>
      </c>
      <c r="AU62">
        <v>64</v>
      </c>
    </row>
    <row r="63" spans="2:47" x14ac:dyDescent="0.25">
      <c r="B63" s="9">
        <v>50</v>
      </c>
      <c r="C63" s="35">
        <v>6000</v>
      </c>
      <c r="D63" s="3"/>
      <c r="E63" s="9">
        <f t="shared" si="0"/>
        <v>409</v>
      </c>
      <c r="F63" s="54">
        <f t="shared" si="9"/>
        <v>4420</v>
      </c>
      <c r="G63" s="73">
        <f t="shared" si="1"/>
        <v>1.214</v>
      </c>
      <c r="H63" s="56">
        <f t="shared" si="2"/>
        <v>0.66700000000000004</v>
      </c>
      <c r="I63" s="57">
        <f t="shared" si="3"/>
        <v>3273</v>
      </c>
      <c r="J63" s="58">
        <f t="shared" si="4"/>
        <v>7.2</v>
      </c>
      <c r="L63" s="31">
        <f t="shared" si="5"/>
        <v>5.3999999999999999E-2</v>
      </c>
      <c r="M63" s="32">
        <f t="shared" si="10"/>
        <v>0.62</v>
      </c>
      <c r="N63" s="32">
        <f t="shared" si="6"/>
        <v>0.46800000000000003</v>
      </c>
      <c r="O63" s="32">
        <f t="shared" si="7"/>
        <v>-5.0999999999999997E-2</v>
      </c>
      <c r="P63" s="32">
        <f t="shared" si="11"/>
        <v>10.518000000000001</v>
      </c>
      <c r="Q63" s="33">
        <f t="shared" si="11"/>
        <v>1.3380000000000001</v>
      </c>
      <c r="AB63">
        <v>2</v>
      </c>
      <c r="AC63">
        <v>4</v>
      </c>
      <c r="AD63">
        <v>48</v>
      </c>
      <c r="AE63">
        <v>-0.54400000000000004</v>
      </c>
      <c r="AF63">
        <v>-0.59799999999999998</v>
      </c>
      <c r="AG63">
        <v>5.3999999999999999E-2</v>
      </c>
      <c r="AH63">
        <v>-5.0999999999999997E-2</v>
      </c>
      <c r="AI63">
        <v>0.46800000000000003</v>
      </c>
      <c r="AJ63">
        <v>10.411</v>
      </c>
      <c r="AK63">
        <v>1.617</v>
      </c>
      <c r="AL63">
        <v>8.83</v>
      </c>
      <c r="AM63">
        <v>0.155</v>
      </c>
      <c r="AN63">
        <v>10.536</v>
      </c>
      <c r="AO63">
        <v>8.9770000000000003</v>
      </c>
      <c r="AP63">
        <v>2E-3</v>
      </c>
      <c r="AQ63">
        <v>7.4029999999999996</v>
      </c>
      <c r="AR63">
        <v>0.13</v>
      </c>
      <c r="AS63">
        <v>1</v>
      </c>
      <c r="AT63">
        <v>0</v>
      </c>
      <c r="AU63">
        <v>64</v>
      </c>
    </row>
    <row r="64" spans="2:47" x14ac:dyDescent="0.25">
      <c r="B64" s="9">
        <v>51</v>
      </c>
      <c r="C64" s="35">
        <v>6500</v>
      </c>
      <c r="D64" s="3"/>
      <c r="E64" s="9">
        <f t="shared" si="0"/>
        <v>409</v>
      </c>
      <c r="F64" s="54">
        <f t="shared" si="9"/>
        <v>4572</v>
      </c>
      <c r="G64" s="73">
        <f t="shared" si="1"/>
        <v>1.2090000000000001</v>
      </c>
      <c r="H64" s="56">
        <f t="shared" si="2"/>
        <v>0.66400000000000003</v>
      </c>
      <c r="I64" s="57">
        <f t="shared" si="3"/>
        <v>3292</v>
      </c>
      <c r="J64" s="58">
        <f t="shared" si="4"/>
        <v>8</v>
      </c>
      <c r="L64" s="31">
        <f t="shared" si="5"/>
        <v>5.3999999999999999E-2</v>
      </c>
      <c r="M64" s="32">
        <f t="shared" si="10"/>
        <v>0.64</v>
      </c>
      <c r="N64" s="32">
        <f t="shared" si="6"/>
        <v>0.46600000000000003</v>
      </c>
      <c r="O64" s="32">
        <f t="shared" si="7"/>
        <v>-5.0999999999999997E-2</v>
      </c>
      <c r="P64" s="32">
        <f t="shared" si="11"/>
        <v>10.558</v>
      </c>
      <c r="Q64" s="33">
        <f t="shared" si="11"/>
        <v>1.4890000000000001</v>
      </c>
      <c r="AB64">
        <v>2</v>
      </c>
      <c r="AC64">
        <v>4</v>
      </c>
      <c r="AD64">
        <v>49</v>
      </c>
      <c r="AE64">
        <v>-0.56999999999999995</v>
      </c>
      <c r="AF64">
        <v>-0.623</v>
      </c>
      <c r="AG64">
        <v>5.2999999999999999E-2</v>
      </c>
      <c r="AH64">
        <v>-5.0999999999999997E-2</v>
      </c>
      <c r="AI64">
        <v>0.46899999999999997</v>
      </c>
      <c r="AJ64">
        <v>10.523</v>
      </c>
      <c r="AK64">
        <v>1.482</v>
      </c>
      <c r="AL64">
        <v>8.0139999999999993</v>
      </c>
      <c r="AM64">
        <v>0.14099999999999999</v>
      </c>
      <c r="AN64">
        <v>10.627000000000001</v>
      </c>
      <c r="AO64">
        <v>9.1419999999999995</v>
      </c>
      <c r="AP64">
        <v>2E-3</v>
      </c>
      <c r="AQ64">
        <v>6.7489999999999997</v>
      </c>
      <c r="AR64">
        <v>0.11799999999999999</v>
      </c>
      <c r="AS64">
        <v>1</v>
      </c>
      <c r="AT64">
        <v>0</v>
      </c>
      <c r="AU64">
        <v>64</v>
      </c>
    </row>
    <row r="65" spans="2:47" x14ac:dyDescent="0.25">
      <c r="B65" s="9">
        <v>52</v>
      </c>
      <c r="C65" s="35">
        <v>7000</v>
      </c>
      <c r="D65" s="3"/>
      <c r="E65" s="9">
        <f t="shared" si="0"/>
        <v>394</v>
      </c>
      <c r="F65" s="54">
        <f t="shared" si="9"/>
        <v>4761</v>
      </c>
      <c r="G65" s="73">
        <f t="shared" si="1"/>
        <v>1.214</v>
      </c>
      <c r="H65" s="56">
        <f t="shared" si="2"/>
        <v>0.66800000000000004</v>
      </c>
      <c r="I65" s="57">
        <f t="shared" si="3"/>
        <v>3286</v>
      </c>
      <c r="J65" s="58">
        <f t="shared" si="4"/>
        <v>7.3</v>
      </c>
      <c r="L65" s="31">
        <f t="shared" si="5"/>
        <v>5.1999999999999998E-2</v>
      </c>
      <c r="M65" s="32">
        <f t="shared" si="10"/>
        <v>0.66500000000000004</v>
      </c>
      <c r="N65" s="32">
        <f t="shared" si="6"/>
        <v>0.46700000000000003</v>
      </c>
      <c r="O65" s="32">
        <f t="shared" si="7"/>
        <v>-5.1999999999999998E-2</v>
      </c>
      <c r="P65" s="32">
        <f t="shared" si="11"/>
        <v>10.555999999999999</v>
      </c>
      <c r="Q65" s="33">
        <f t="shared" si="11"/>
        <v>1.349</v>
      </c>
      <c r="AB65">
        <v>2</v>
      </c>
      <c r="AC65">
        <v>4</v>
      </c>
      <c r="AD65">
        <v>50</v>
      </c>
      <c r="AE65">
        <v>-0.59299999999999997</v>
      </c>
      <c r="AF65">
        <v>-0.64800000000000002</v>
      </c>
      <c r="AG65">
        <v>5.3999999999999999E-2</v>
      </c>
      <c r="AH65">
        <v>-5.0999999999999997E-2</v>
      </c>
      <c r="AI65">
        <v>0.46800000000000003</v>
      </c>
      <c r="AJ65">
        <v>10.518000000000001</v>
      </c>
      <c r="AK65">
        <v>1.3380000000000001</v>
      </c>
      <c r="AL65">
        <v>7.25</v>
      </c>
      <c r="AM65">
        <v>0.127</v>
      </c>
      <c r="AN65">
        <v>10.603999999999999</v>
      </c>
      <c r="AO65">
        <v>9.0760000000000005</v>
      </c>
      <c r="AP65">
        <v>2E-3</v>
      </c>
      <c r="AQ65">
        <v>6.0780000000000003</v>
      </c>
      <c r="AR65">
        <v>0.106</v>
      </c>
      <c r="AS65">
        <v>1</v>
      </c>
      <c r="AT65">
        <v>0</v>
      </c>
      <c r="AU65">
        <v>64</v>
      </c>
    </row>
    <row r="66" spans="2:47" x14ac:dyDescent="0.25">
      <c r="B66" s="9">
        <v>53</v>
      </c>
      <c r="C66" s="35">
        <v>7500</v>
      </c>
      <c r="D66" s="3"/>
      <c r="E66" s="9">
        <f t="shared" si="0"/>
        <v>417</v>
      </c>
      <c r="F66" s="54">
        <f t="shared" si="9"/>
        <v>4946</v>
      </c>
      <c r="G66" s="73">
        <f t="shared" si="1"/>
        <v>1.216</v>
      </c>
      <c r="H66" s="56">
        <f t="shared" si="2"/>
        <v>0.66800000000000004</v>
      </c>
      <c r="I66" s="57">
        <f t="shared" si="3"/>
        <v>3269</v>
      </c>
      <c r="J66" s="58">
        <f t="shared" si="4"/>
        <v>7.9</v>
      </c>
      <c r="L66" s="31">
        <f t="shared" si="5"/>
        <v>5.5E-2</v>
      </c>
      <c r="M66" s="32">
        <f t="shared" si="10"/>
        <v>0.6895</v>
      </c>
      <c r="N66" s="32">
        <f t="shared" si="6"/>
        <v>0.46899999999999997</v>
      </c>
      <c r="O66" s="32">
        <f t="shared" si="7"/>
        <v>-5.0999999999999997E-2</v>
      </c>
      <c r="P66" s="32">
        <f t="shared" si="11"/>
        <v>10.488</v>
      </c>
      <c r="Q66" s="33">
        <f t="shared" si="11"/>
        <v>1.464</v>
      </c>
      <c r="AB66">
        <v>2</v>
      </c>
      <c r="AC66">
        <v>4</v>
      </c>
      <c r="AD66">
        <v>51</v>
      </c>
      <c r="AE66">
        <v>-0.61299999999999999</v>
      </c>
      <c r="AF66">
        <v>-0.66700000000000004</v>
      </c>
      <c r="AG66">
        <v>5.3999999999999999E-2</v>
      </c>
      <c r="AH66">
        <v>-5.0999999999999997E-2</v>
      </c>
      <c r="AI66">
        <v>0.46600000000000003</v>
      </c>
      <c r="AJ66">
        <v>10.558</v>
      </c>
      <c r="AK66">
        <v>1.4890000000000001</v>
      </c>
      <c r="AL66">
        <v>8.032</v>
      </c>
      <c r="AM66">
        <v>0.14099999999999999</v>
      </c>
      <c r="AN66">
        <v>10.663</v>
      </c>
      <c r="AO66">
        <v>9.218</v>
      </c>
      <c r="AP66">
        <v>2E-3</v>
      </c>
      <c r="AQ66">
        <v>6.8220000000000001</v>
      </c>
      <c r="AR66">
        <v>0.12</v>
      </c>
      <c r="AS66">
        <v>1</v>
      </c>
      <c r="AT66">
        <v>0</v>
      </c>
      <c r="AU66">
        <v>64</v>
      </c>
    </row>
    <row r="67" spans="2:47" x14ac:dyDescent="0.25">
      <c r="B67" s="9">
        <v>54</v>
      </c>
      <c r="C67" s="35">
        <v>8000</v>
      </c>
      <c r="D67" s="3"/>
      <c r="E67" s="9">
        <f t="shared" si="0"/>
        <v>401</v>
      </c>
      <c r="F67" s="54">
        <f t="shared" si="9"/>
        <v>5083</v>
      </c>
      <c r="G67" s="73">
        <f t="shared" si="1"/>
        <v>1.2110000000000001</v>
      </c>
      <c r="H67" s="56">
        <f t="shared" si="2"/>
        <v>0.66500000000000004</v>
      </c>
      <c r="I67" s="57">
        <f t="shared" si="3"/>
        <v>3291</v>
      </c>
      <c r="J67" s="58">
        <f t="shared" si="4"/>
        <v>8.1</v>
      </c>
      <c r="L67" s="31">
        <f t="shared" si="5"/>
        <v>5.2999999999999999E-2</v>
      </c>
      <c r="M67" s="32">
        <f t="shared" si="10"/>
        <v>0.70750000000000002</v>
      </c>
      <c r="N67" s="32">
        <f t="shared" si="6"/>
        <v>0.46700000000000003</v>
      </c>
      <c r="O67" s="32">
        <f t="shared" si="7"/>
        <v>-5.0999999999999997E-2</v>
      </c>
      <c r="P67" s="32">
        <f t="shared" si="11"/>
        <v>10.554</v>
      </c>
      <c r="Q67" s="33">
        <f t="shared" si="11"/>
        <v>1.4970000000000001</v>
      </c>
      <c r="AB67">
        <v>2</v>
      </c>
      <c r="AC67">
        <v>4</v>
      </c>
      <c r="AD67">
        <v>52</v>
      </c>
      <c r="AE67">
        <v>-0.63900000000000001</v>
      </c>
      <c r="AF67">
        <v>-0.69099999999999995</v>
      </c>
      <c r="AG67">
        <v>5.1999999999999998E-2</v>
      </c>
      <c r="AH67">
        <v>-5.1999999999999998E-2</v>
      </c>
      <c r="AI67">
        <v>0.46700000000000003</v>
      </c>
      <c r="AJ67">
        <v>10.555999999999999</v>
      </c>
      <c r="AK67">
        <v>1.349</v>
      </c>
      <c r="AL67">
        <v>7.2770000000000001</v>
      </c>
      <c r="AM67">
        <v>0.128</v>
      </c>
      <c r="AN67">
        <v>10.641999999999999</v>
      </c>
      <c r="AO67">
        <v>9.3729999999999993</v>
      </c>
      <c r="AP67">
        <v>2E-3</v>
      </c>
      <c r="AQ67">
        <v>6.3280000000000003</v>
      </c>
      <c r="AR67">
        <v>0.111</v>
      </c>
      <c r="AS67">
        <v>1</v>
      </c>
      <c r="AT67">
        <v>0</v>
      </c>
      <c r="AU67">
        <v>64</v>
      </c>
    </row>
    <row r="68" spans="2:47" x14ac:dyDescent="0.25">
      <c r="B68" s="9">
        <v>55</v>
      </c>
      <c r="C68" s="35">
        <v>8500</v>
      </c>
      <c r="D68" s="3"/>
      <c r="E68" s="9">
        <f t="shared" si="0"/>
        <v>394</v>
      </c>
      <c r="F68" s="54">
        <f t="shared" si="9"/>
        <v>5246</v>
      </c>
      <c r="G68" s="73">
        <f t="shared" si="1"/>
        <v>1.218</v>
      </c>
      <c r="H68" s="56">
        <f t="shared" si="2"/>
        <v>0.67</v>
      </c>
      <c r="I68" s="57">
        <f t="shared" si="3"/>
        <v>3312</v>
      </c>
      <c r="J68" s="58">
        <f t="shared" si="4"/>
        <v>8.1999999999999993</v>
      </c>
      <c r="L68" s="31">
        <f t="shared" si="5"/>
        <v>5.1999999999999998E-2</v>
      </c>
      <c r="M68" s="32">
        <f t="shared" si="10"/>
        <v>0.72899999999999998</v>
      </c>
      <c r="N68" s="32">
        <f t="shared" si="6"/>
        <v>0.46899999999999997</v>
      </c>
      <c r="O68" s="32">
        <f t="shared" si="7"/>
        <v>-5.1999999999999998E-2</v>
      </c>
      <c r="P68" s="32">
        <f t="shared" si="11"/>
        <v>10.618</v>
      </c>
      <c r="Q68" s="33">
        <f t="shared" si="11"/>
        <v>1.526</v>
      </c>
      <c r="AB68">
        <v>2</v>
      </c>
      <c r="AC68">
        <v>4</v>
      </c>
      <c r="AD68">
        <v>53</v>
      </c>
      <c r="AE68">
        <v>-0.66200000000000003</v>
      </c>
      <c r="AF68">
        <v>-0.71699999999999997</v>
      </c>
      <c r="AG68">
        <v>5.5E-2</v>
      </c>
      <c r="AH68">
        <v>-5.0999999999999997E-2</v>
      </c>
      <c r="AI68">
        <v>0.46899999999999997</v>
      </c>
      <c r="AJ68">
        <v>10.488</v>
      </c>
      <c r="AK68">
        <v>1.464</v>
      </c>
      <c r="AL68">
        <v>7.9480000000000004</v>
      </c>
      <c r="AM68">
        <v>0.14000000000000001</v>
      </c>
      <c r="AN68">
        <v>10.590999999999999</v>
      </c>
      <c r="AO68">
        <v>9.0269999999999992</v>
      </c>
      <c r="AP68">
        <v>2E-3</v>
      </c>
      <c r="AQ68">
        <v>6.657</v>
      </c>
      <c r="AR68">
        <v>0.11700000000000001</v>
      </c>
      <c r="AS68">
        <v>1</v>
      </c>
      <c r="AT68">
        <v>0</v>
      </c>
      <c r="AU68">
        <v>64</v>
      </c>
    </row>
    <row r="69" spans="2:47" x14ac:dyDescent="0.25">
      <c r="B69" s="9">
        <v>56</v>
      </c>
      <c r="C69" s="35">
        <v>9000</v>
      </c>
      <c r="D69" s="3"/>
      <c r="E69" s="9">
        <f t="shared" si="0"/>
        <v>401</v>
      </c>
      <c r="F69" s="54">
        <f t="shared" si="9"/>
        <v>5378</v>
      </c>
      <c r="G69" s="73">
        <f t="shared" si="1"/>
        <v>1.216</v>
      </c>
      <c r="H69" s="56">
        <f t="shared" si="2"/>
        <v>0.66900000000000004</v>
      </c>
      <c r="I69" s="57">
        <f t="shared" si="3"/>
        <v>3300</v>
      </c>
      <c r="J69" s="58">
        <f t="shared" si="4"/>
        <v>8.1</v>
      </c>
      <c r="L69" s="31">
        <f t="shared" si="5"/>
        <v>5.2999999999999999E-2</v>
      </c>
      <c r="M69" s="32">
        <f t="shared" si="10"/>
        <v>0.74649999999999994</v>
      </c>
      <c r="N69" s="32">
        <f t="shared" si="6"/>
        <v>0.46800000000000003</v>
      </c>
      <c r="O69" s="32">
        <f t="shared" si="7"/>
        <v>-5.1999999999999998E-2</v>
      </c>
      <c r="P69" s="32">
        <f t="shared" si="11"/>
        <v>10.584</v>
      </c>
      <c r="Q69" s="33">
        <f t="shared" si="11"/>
        <v>1.5</v>
      </c>
      <c r="AB69">
        <v>2</v>
      </c>
      <c r="AC69">
        <v>4</v>
      </c>
      <c r="AD69">
        <v>54</v>
      </c>
      <c r="AE69">
        <v>-0.68100000000000005</v>
      </c>
      <c r="AF69">
        <v>-0.73399999999999999</v>
      </c>
      <c r="AG69">
        <v>5.2999999999999999E-2</v>
      </c>
      <c r="AH69">
        <v>-5.0999999999999997E-2</v>
      </c>
      <c r="AI69">
        <v>0.46700000000000003</v>
      </c>
      <c r="AJ69">
        <v>10.554</v>
      </c>
      <c r="AK69">
        <v>1.4970000000000001</v>
      </c>
      <c r="AL69">
        <v>8.0730000000000004</v>
      </c>
      <c r="AM69">
        <v>0.14199999999999999</v>
      </c>
      <c r="AN69">
        <v>10.66</v>
      </c>
      <c r="AO69">
        <v>9.1869999999999994</v>
      </c>
      <c r="AP69">
        <v>2E-3</v>
      </c>
      <c r="AQ69">
        <v>6.88</v>
      </c>
      <c r="AR69">
        <v>0.121</v>
      </c>
      <c r="AS69">
        <v>1</v>
      </c>
      <c r="AT69">
        <v>0</v>
      </c>
      <c r="AU69">
        <v>64</v>
      </c>
    </row>
    <row r="70" spans="2:47" x14ac:dyDescent="0.25">
      <c r="B70" s="9">
        <v>57</v>
      </c>
      <c r="C70" s="35">
        <v>9500</v>
      </c>
      <c r="D70" s="3"/>
      <c r="E70" s="9">
        <f t="shared" si="0"/>
        <v>409</v>
      </c>
      <c r="F70" s="54">
        <f t="shared" si="9"/>
        <v>5541</v>
      </c>
      <c r="G70" s="73">
        <f t="shared" si="1"/>
        <v>1.214</v>
      </c>
      <c r="H70" s="56">
        <f t="shared" si="2"/>
        <v>0.66700000000000004</v>
      </c>
      <c r="I70" s="57">
        <f t="shared" si="3"/>
        <v>3282</v>
      </c>
      <c r="J70" s="58">
        <f t="shared" si="4"/>
        <v>8.1999999999999993</v>
      </c>
      <c r="L70" s="31">
        <f t="shared" si="5"/>
        <v>5.3999999999999999E-2</v>
      </c>
      <c r="M70" s="32">
        <f t="shared" si="10"/>
        <v>0.76800000000000002</v>
      </c>
      <c r="N70" s="32">
        <f t="shared" si="6"/>
        <v>0.46800000000000003</v>
      </c>
      <c r="O70" s="32">
        <f t="shared" si="7"/>
        <v>-5.0999999999999997E-2</v>
      </c>
      <c r="P70" s="32">
        <f t="shared" si="11"/>
        <v>10.522</v>
      </c>
      <c r="Q70" s="33">
        <f t="shared" si="11"/>
        <v>1.51</v>
      </c>
      <c r="AB70">
        <v>2</v>
      </c>
      <c r="AC70">
        <v>4</v>
      </c>
      <c r="AD70">
        <v>55</v>
      </c>
      <c r="AE70">
        <v>-0.70299999999999996</v>
      </c>
      <c r="AF70">
        <v>-0.755</v>
      </c>
      <c r="AG70">
        <v>5.1999999999999998E-2</v>
      </c>
      <c r="AH70">
        <v>-5.1999999999999998E-2</v>
      </c>
      <c r="AI70">
        <v>0.46899999999999997</v>
      </c>
      <c r="AJ70">
        <v>10.618</v>
      </c>
      <c r="AK70">
        <v>1.526</v>
      </c>
      <c r="AL70">
        <v>8.1769999999999996</v>
      </c>
      <c r="AM70">
        <v>0.14399999999999999</v>
      </c>
      <c r="AN70">
        <v>10.728</v>
      </c>
      <c r="AO70">
        <v>9.452</v>
      </c>
      <c r="AP70">
        <v>2E-3</v>
      </c>
      <c r="AQ70">
        <v>7.1130000000000004</v>
      </c>
      <c r="AR70">
        <v>0.125</v>
      </c>
      <c r="AS70">
        <v>1</v>
      </c>
      <c r="AT70">
        <v>0</v>
      </c>
      <c r="AU70">
        <v>64</v>
      </c>
    </row>
    <row r="71" spans="2:47" x14ac:dyDescent="0.25">
      <c r="B71" s="9">
        <v>58</v>
      </c>
      <c r="C71" s="35">
        <v>10000</v>
      </c>
      <c r="D71" s="3"/>
      <c r="E71" s="9">
        <f t="shared" si="0"/>
        <v>401</v>
      </c>
      <c r="F71" s="54">
        <f t="shared" si="9"/>
        <v>5681</v>
      </c>
      <c r="G71" s="73">
        <f t="shared" si="1"/>
        <v>1.216</v>
      </c>
      <c r="H71" s="56">
        <f t="shared" si="2"/>
        <v>0.66700000000000004</v>
      </c>
      <c r="I71" s="57">
        <f t="shared" si="3"/>
        <v>3317</v>
      </c>
      <c r="J71" s="58">
        <f t="shared" si="4"/>
        <v>7.5</v>
      </c>
      <c r="L71" s="31">
        <f t="shared" si="5"/>
        <v>5.2999999999999999E-2</v>
      </c>
      <c r="M71" s="32">
        <f t="shared" si="10"/>
        <v>0.78649999999999998</v>
      </c>
      <c r="N71" s="32">
        <f t="shared" si="6"/>
        <v>0.47</v>
      </c>
      <c r="O71" s="32">
        <f t="shared" si="7"/>
        <v>-0.05</v>
      </c>
      <c r="P71" s="32">
        <f t="shared" si="11"/>
        <v>10.653</v>
      </c>
      <c r="Q71" s="33">
        <f t="shared" si="11"/>
        <v>1.401</v>
      </c>
      <c r="AB71">
        <v>2</v>
      </c>
      <c r="AC71">
        <v>4</v>
      </c>
      <c r="AD71">
        <v>56</v>
      </c>
      <c r="AE71">
        <v>-0.72</v>
      </c>
      <c r="AF71">
        <v>-0.77300000000000002</v>
      </c>
      <c r="AG71">
        <v>5.2999999999999999E-2</v>
      </c>
      <c r="AH71">
        <v>-5.1999999999999998E-2</v>
      </c>
      <c r="AI71">
        <v>0.46800000000000003</v>
      </c>
      <c r="AJ71">
        <v>10.584</v>
      </c>
      <c r="AK71">
        <v>1.5</v>
      </c>
      <c r="AL71">
        <v>8.0630000000000006</v>
      </c>
      <c r="AM71">
        <v>0.14199999999999999</v>
      </c>
      <c r="AN71">
        <v>10.69</v>
      </c>
      <c r="AO71">
        <v>9.173</v>
      </c>
      <c r="AP71">
        <v>2E-3</v>
      </c>
      <c r="AQ71">
        <v>6.8040000000000003</v>
      </c>
      <c r="AR71">
        <v>0.11899999999999999</v>
      </c>
      <c r="AS71">
        <v>1</v>
      </c>
      <c r="AT71">
        <v>0</v>
      </c>
      <c r="AU71">
        <v>64</v>
      </c>
    </row>
    <row r="72" spans="2:47" x14ac:dyDescent="0.25">
      <c r="B72" s="9">
        <v>59</v>
      </c>
      <c r="C72" s="35">
        <v>10500</v>
      </c>
      <c r="D72" s="3"/>
      <c r="E72" s="9">
        <f t="shared" si="0"/>
        <v>394</v>
      </c>
      <c r="F72" s="54">
        <f t="shared" si="9"/>
        <v>5821</v>
      </c>
      <c r="G72" s="73">
        <f t="shared" si="1"/>
        <v>1.214</v>
      </c>
      <c r="H72" s="56">
        <f t="shared" si="2"/>
        <v>0.66700000000000004</v>
      </c>
      <c r="I72" s="57">
        <f t="shared" si="3"/>
        <v>3319</v>
      </c>
      <c r="J72" s="58">
        <f t="shared" si="4"/>
        <v>8.4</v>
      </c>
      <c r="L72" s="31">
        <f t="shared" si="5"/>
        <v>5.1999999999999998E-2</v>
      </c>
      <c r="M72" s="32">
        <f t="shared" si="10"/>
        <v>0.80500000000000005</v>
      </c>
      <c r="N72" s="32">
        <f t="shared" si="6"/>
        <v>0.46800000000000003</v>
      </c>
      <c r="O72" s="32">
        <f t="shared" si="7"/>
        <v>-5.0999999999999997E-2</v>
      </c>
      <c r="P72" s="32">
        <f t="shared" si="11"/>
        <v>10.635</v>
      </c>
      <c r="Q72" s="33">
        <f t="shared" si="11"/>
        <v>1.5720000000000001</v>
      </c>
      <c r="AB72">
        <v>2</v>
      </c>
      <c r="AC72">
        <v>4</v>
      </c>
      <c r="AD72">
        <v>57</v>
      </c>
      <c r="AE72">
        <v>-0.74099999999999999</v>
      </c>
      <c r="AF72">
        <v>-0.79500000000000004</v>
      </c>
      <c r="AG72">
        <v>5.3999999999999999E-2</v>
      </c>
      <c r="AH72">
        <v>-5.0999999999999997E-2</v>
      </c>
      <c r="AI72">
        <v>0.46800000000000003</v>
      </c>
      <c r="AJ72">
        <v>10.522</v>
      </c>
      <c r="AK72">
        <v>1.51</v>
      </c>
      <c r="AL72">
        <v>8.1679999999999993</v>
      </c>
      <c r="AM72">
        <v>0.14399999999999999</v>
      </c>
      <c r="AN72">
        <v>10.631</v>
      </c>
      <c r="AO72">
        <v>9.1140000000000008</v>
      </c>
      <c r="AP72">
        <v>2E-3</v>
      </c>
      <c r="AQ72">
        <v>6.9249999999999998</v>
      </c>
      <c r="AR72">
        <v>0.121</v>
      </c>
      <c r="AS72">
        <v>1</v>
      </c>
      <c r="AT72">
        <v>0</v>
      </c>
      <c r="AU72">
        <v>64</v>
      </c>
    </row>
    <row r="73" spans="2:47" x14ac:dyDescent="0.25">
      <c r="B73" s="9">
        <v>60</v>
      </c>
      <c r="C73" s="35">
        <v>11000</v>
      </c>
      <c r="D73" s="3"/>
      <c r="E73" s="9">
        <f t="shared" si="0"/>
        <v>401</v>
      </c>
      <c r="F73" s="54">
        <f t="shared" si="9"/>
        <v>5954</v>
      </c>
      <c r="G73" s="73">
        <f t="shared" si="1"/>
        <v>1.2110000000000001</v>
      </c>
      <c r="H73" s="56">
        <f t="shared" si="2"/>
        <v>0.66500000000000004</v>
      </c>
      <c r="I73" s="57">
        <f t="shared" si="3"/>
        <v>3333</v>
      </c>
      <c r="J73" s="58">
        <f t="shared" si="4"/>
        <v>8.5</v>
      </c>
      <c r="L73" s="31">
        <f t="shared" si="5"/>
        <v>5.2999999999999999E-2</v>
      </c>
      <c r="M73" s="32">
        <f t="shared" si="10"/>
        <v>0.82250000000000001</v>
      </c>
      <c r="N73" s="32">
        <f t="shared" si="6"/>
        <v>0.46700000000000003</v>
      </c>
      <c r="O73" s="32">
        <f t="shared" si="7"/>
        <v>-5.0999999999999997E-2</v>
      </c>
      <c r="P73" s="32">
        <f t="shared" si="11"/>
        <v>10.676</v>
      </c>
      <c r="Q73" s="33">
        <f t="shared" si="11"/>
        <v>1.599</v>
      </c>
      <c r="AB73">
        <v>2</v>
      </c>
      <c r="AC73">
        <v>4</v>
      </c>
      <c r="AD73">
        <v>58</v>
      </c>
      <c r="AE73">
        <v>-0.76</v>
      </c>
      <c r="AF73">
        <v>-0.81200000000000006</v>
      </c>
      <c r="AG73">
        <v>5.2999999999999999E-2</v>
      </c>
      <c r="AH73">
        <v>-0.05</v>
      </c>
      <c r="AI73">
        <v>0.47</v>
      </c>
      <c r="AJ73">
        <v>10.653</v>
      </c>
      <c r="AK73">
        <v>1.401</v>
      </c>
      <c r="AL73">
        <v>7.4930000000000003</v>
      </c>
      <c r="AM73">
        <v>0.13200000000000001</v>
      </c>
      <c r="AN73">
        <v>10.744999999999999</v>
      </c>
      <c r="AO73">
        <v>9.1530000000000005</v>
      </c>
      <c r="AP73">
        <v>2E-3</v>
      </c>
      <c r="AQ73">
        <v>6.282</v>
      </c>
      <c r="AR73">
        <v>0.11</v>
      </c>
      <c r="AS73">
        <v>1</v>
      </c>
      <c r="AT73">
        <v>0</v>
      </c>
      <c r="AU73">
        <v>64</v>
      </c>
    </row>
    <row r="74" spans="2:47" x14ac:dyDescent="0.25">
      <c r="B74" s="9">
        <v>61</v>
      </c>
      <c r="C74" s="35">
        <v>11500</v>
      </c>
      <c r="D74" s="3"/>
      <c r="E74" s="9">
        <f t="shared" si="0"/>
        <v>371</v>
      </c>
      <c r="F74" s="54">
        <f t="shared" si="9"/>
        <v>6098</v>
      </c>
      <c r="G74" s="73">
        <f t="shared" si="1"/>
        <v>1.2110000000000001</v>
      </c>
      <c r="H74" s="56">
        <f t="shared" si="2"/>
        <v>0.66500000000000004</v>
      </c>
      <c r="I74" s="57">
        <f t="shared" si="3"/>
        <v>3322</v>
      </c>
      <c r="J74" s="58">
        <f t="shared" si="4"/>
        <v>7.7</v>
      </c>
      <c r="L74" s="31">
        <f t="shared" si="5"/>
        <v>4.9000000000000002E-2</v>
      </c>
      <c r="M74" s="32">
        <f t="shared" si="10"/>
        <v>0.84149999999999991</v>
      </c>
      <c r="N74" s="32">
        <f t="shared" si="6"/>
        <v>0.46700000000000003</v>
      </c>
      <c r="O74" s="32">
        <f t="shared" si="7"/>
        <v>-5.0999999999999997E-2</v>
      </c>
      <c r="P74" s="32">
        <f t="shared" si="11"/>
        <v>10.662000000000001</v>
      </c>
      <c r="Q74" s="33">
        <f t="shared" si="11"/>
        <v>1.4510000000000001</v>
      </c>
      <c r="AB74">
        <v>2</v>
      </c>
      <c r="AC74">
        <v>4</v>
      </c>
      <c r="AD74">
        <v>59</v>
      </c>
      <c r="AE74">
        <v>-0.77900000000000003</v>
      </c>
      <c r="AF74">
        <v>-0.83099999999999996</v>
      </c>
      <c r="AG74">
        <v>5.1999999999999998E-2</v>
      </c>
      <c r="AH74">
        <v>-5.0999999999999997E-2</v>
      </c>
      <c r="AI74">
        <v>0.46800000000000003</v>
      </c>
      <c r="AJ74">
        <v>10.635</v>
      </c>
      <c r="AK74">
        <v>1.5720000000000001</v>
      </c>
      <c r="AL74">
        <v>8.4019999999999992</v>
      </c>
      <c r="AM74">
        <v>0.14799999999999999</v>
      </c>
      <c r="AN74">
        <v>10.750999999999999</v>
      </c>
      <c r="AO74">
        <v>9.3079999999999998</v>
      </c>
      <c r="AP74">
        <v>2E-3</v>
      </c>
      <c r="AQ74">
        <v>7.1710000000000003</v>
      </c>
      <c r="AR74">
        <v>0.126</v>
      </c>
      <c r="AS74">
        <v>1</v>
      </c>
      <c r="AT74">
        <v>0</v>
      </c>
      <c r="AU74">
        <v>64</v>
      </c>
    </row>
    <row r="75" spans="2:47" x14ac:dyDescent="0.25">
      <c r="B75" s="9">
        <v>62</v>
      </c>
      <c r="C75" s="35">
        <v>12000</v>
      </c>
      <c r="D75" s="3"/>
      <c r="E75" s="9">
        <f t="shared" si="0"/>
        <v>386</v>
      </c>
      <c r="F75" s="54">
        <f t="shared" si="9"/>
        <v>6219</v>
      </c>
      <c r="G75" s="73">
        <f t="shared" si="1"/>
        <v>1.214</v>
      </c>
      <c r="H75" s="56">
        <f t="shared" si="2"/>
        <v>0.66500000000000004</v>
      </c>
      <c r="I75" s="57">
        <f t="shared" si="3"/>
        <v>3299</v>
      </c>
      <c r="J75" s="58">
        <f t="shared" si="4"/>
        <v>8.4</v>
      </c>
      <c r="L75" s="31">
        <f t="shared" si="5"/>
        <v>5.0999999999999997E-2</v>
      </c>
      <c r="M75" s="32">
        <f t="shared" si="10"/>
        <v>0.85749999999999993</v>
      </c>
      <c r="N75" s="32">
        <f t="shared" si="6"/>
        <v>0.46899999999999997</v>
      </c>
      <c r="O75" s="32">
        <f t="shared" si="7"/>
        <v>-0.05</v>
      </c>
      <c r="P75" s="32">
        <f t="shared" si="11"/>
        <v>10.57</v>
      </c>
      <c r="Q75" s="33">
        <f t="shared" si="11"/>
        <v>1.5569999999999999</v>
      </c>
      <c r="AB75">
        <v>2</v>
      </c>
      <c r="AC75">
        <v>4</v>
      </c>
      <c r="AD75">
        <v>60</v>
      </c>
      <c r="AE75">
        <v>-0.79600000000000004</v>
      </c>
      <c r="AF75">
        <v>-0.85</v>
      </c>
      <c r="AG75">
        <v>5.2999999999999999E-2</v>
      </c>
      <c r="AH75">
        <v>-5.0999999999999997E-2</v>
      </c>
      <c r="AI75">
        <v>0.46700000000000003</v>
      </c>
      <c r="AJ75">
        <v>10.676</v>
      </c>
      <c r="AK75">
        <v>1.599</v>
      </c>
      <c r="AL75">
        <v>8.516</v>
      </c>
      <c r="AM75">
        <v>0.15</v>
      </c>
      <c r="AN75">
        <v>10.795</v>
      </c>
      <c r="AO75">
        <v>9.3759999999999994</v>
      </c>
      <c r="AP75">
        <v>2E-3</v>
      </c>
      <c r="AQ75">
        <v>7.2930000000000001</v>
      </c>
      <c r="AR75">
        <v>0.128</v>
      </c>
      <c r="AS75">
        <v>1</v>
      </c>
      <c r="AT75">
        <v>0</v>
      </c>
      <c r="AU75">
        <v>64</v>
      </c>
    </row>
    <row r="76" spans="2:47" x14ac:dyDescent="0.25">
      <c r="B76" s="9">
        <v>63</v>
      </c>
      <c r="C76" s="35">
        <v>12500</v>
      </c>
      <c r="D76" s="3"/>
      <c r="E76" s="9">
        <f t="shared" si="0"/>
        <v>401</v>
      </c>
      <c r="F76" s="54">
        <f t="shared" si="9"/>
        <v>6378</v>
      </c>
      <c r="G76" s="73">
        <f t="shared" si="1"/>
        <v>1.214</v>
      </c>
      <c r="H76" s="56">
        <f t="shared" si="2"/>
        <v>0.66700000000000004</v>
      </c>
      <c r="I76" s="57">
        <f t="shared" si="3"/>
        <v>3302</v>
      </c>
      <c r="J76" s="58">
        <f t="shared" si="4"/>
        <v>7.8</v>
      </c>
      <c r="L76" s="31">
        <f t="shared" si="5"/>
        <v>5.2999999999999999E-2</v>
      </c>
      <c r="M76" s="32">
        <f t="shared" si="10"/>
        <v>0.87849999999999995</v>
      </c>
      <c r="N76" s="32">
        <f t="shared" si="6"/>
        <v>0.46800000000000003</v>
      </c>
      <c r="O76" s="32">
        <f t="shared" si="7"/>
        <v>-5.0999999999999997E-2</v>
      </c>
      <c r="P76" s="32">
        <f t="shared" si="11"/>
        <v>10.595000000000001</v>
      </c>
      <c r="Q76" s="33">
        <f t="shared" si="11"/>
        <v>1.4550000000000001</v>
      </c>
      <c r="AB76">
        <v>2</v>
      </c>
      <c r="AC76">
        <v>4</v>
      </c>
      <c r="AD76">
        <v>61</v>
      </c>
      <c r="AE76">
        <v>-0.81699999999999995</v>
      </c>
      <c r="AF76">
        <v>-0.86599999999999999</v>
      </c>
      <c r="AG76">
        <v>4.9000000000000002E-2</v>
      </c>
      <c r="AH76">
        <v>-5.0999999999999997E-2</v>
      </c>
      <c r="AI76">
        <v>0.46700000000000003</v>
      </c>
      <c r="AJ76">
        <v>10.662000000000001</v>
      </c>
      <c r="AK76">
        <v>1.4510000000000001</v>
      </c>
      <c r="AL76">
        <v>7.742</v>
      </c>
      <c r="AM76">
        <v>0.13600000000000001</v>
      </c>
      <c r="AN76">
        <v>10.760999999999999</v>
      </c>
      <c r="AO76">
        <v>9.8000000000000007</v>
      </c>
      <c r="AP76">
        <v>2E-3</v>
      </c>
      <c r="AQ76">
        <v>6.9749999999999996</v>
      </c>
      <c r="AR76">
        <v>0.122</v>
      </c>
      <c r="AS76">
        <v>1</v>
      </c>
      <c r="AT76">
        <v>0</v>
      </c>
      <c r="AU76">
        <v>64</v>
      </c>
    </row>
    <row r="77" spans="2:47" x14ac:dyDescent="0.25">
      <c r="B77" s="9">
        <v>64</v>
      </c>
      <c r="C77" s="35">
        <v>13000</v>
      </c>
      <c r="D77" s="3"/>
      <c r="E77" s="9">
        <f t="shared" si="0"/>
        <v>409</v>
      </c>
      <c r="F77" s="54">
        <f t="shared" si="9"/>
        <v>6480</v>
      </c>
      <c r="G77" s="73">
        <f t="shared" si="1"/>
        <v>1.216</v>
      </c>
      <c r="H77" s="56">
        <f t="shared" si="2"/>
        <v>0.66700000000000004</v>
      </c>
      <c r="I77" s="57">
        <f t="shared" si="3"/>
        <v>3282</v>
      </c>
      <c r="J77" s="58">
        <f t="shared" si="4"/>
        <v>8.9</v>
      </c>
      <c r="L77" s="31">
        <f t="shared" si="5"/>
        <v>5.3999999999999999E-2</v>
      </c>
      <c r="M77" s="32">
        <f t="shared" si="10"/>
        <v>0.89200000000000002</v>
      </c>
      <c r="N77" s="32">
        <f t="shared" si="6"/>
        <v>0.47</v>
      </c>
      <c r="O77" s="32">
        <f t="shared" si="7"/>
        <v>-0.05</v>
      </c>
      <c r="P77" s="32">
        <f t="shared" si="11"/>
        <v>10.500999999999999</v>
      </c>
      <c r="Q77" s="33">
        <f t="shared" si="11"/>
        <v>1.6479999999999999</v>
      </c>
      <c r="AB77">
        <v>2</v>
      </c>
      <c r="AC77">
        <v>4</v>
      </c>
      <c r="AD77">
        <v>62</v>
      </c>
      <c r="AE77">
        <v>-0.83199999999999996</v>
      </c>
      <c r="AF77">
        <v>-0.88300000000000001</v>
      </c>
      <c r="AG77">
        <v>5.0999999999999997E-2</v>
      </c>
      <c r="AH77">
        <v>-0.05</v>
      </c>
      <c r="AI77">
        <v>0.46899999999999997</v>
      </c>
      <c r="AJ77">
        <v>10.57</v>
      </c>
      <c r="AK77">
        <v>1.5569999999999999</v>
      </c>
      <c r="AL77">
        <v>8.3780000000000001</v>
      </c>
      <c r="AM77">
        <v>0.14699999999999999</v>
      </c>
      <c r="AN77">
        <v>10.685</v>
      </c>
      <c r="AO77">
        <v>9.4369999999999994</v>
      </c>
      <c r="AP77">
        <v>2E-3</v>
      </c>
      <c r="AQ77">
        <v>7.3360000000000003</v>
      </c>
      <c r="AR77">
        <v>0.129</v>
      </c>
      <c r="AS77">
        <v>1</v>
      </c>
      <c r="AT77">
        <v>0</v>
      </c>
      <c r="AU77">
        <v>64</v>
      </c>
    </row>
    <row r="78" spans="2:47" x14ac:dyDescent="0.25">
      <c r="B78" s="9">
        <v>65</v>
      </c>
      <c r="C78" s="35">
        <v>13500</v>
      </c>
      <c r="D78" s="3"/>
      <c r="E78" s="9">
        <f t="shared" ref="E78:E141" si="12">IF(L78="","",ROUND(12*C$7/(2*H$7^2+2*H$6*H$7-H$6^2)*L78*1000000,0))</f>
        <v>409</v>
      </c>
      <c r="F78" s="54">
        <f t="shared" si="9"/>
        <v>6624</v>
      </c>
      <c r="G78" s="73">
        <f t="shared" ref="G78:G141" si="13">IF(L78="","",ROUND(1.5*((N78-O78)*1000*H$7)/(C$6*C$7^2),3))</f>
        <v>1.216</v>
      </c>
      <c r="H78" s="56">
        <f t="shared" ref="H78:H141" si="14">IF(L78="","",ROUND(1.5*((N78/2-O78)*1000*H$7)/(C$6*C$7^2),3))</f>
        <v>0.66800000000000004</v>
      </c>
      <c r="I78" s="57">
        <f t="shared" ref="I78:I141" si="15">IF(L78="","",IF(P78&lt;=0,"foute meting",ROUND(0.000001*V$4*SQRT((1000000*Q78)^2+(1000000*P78+V$5*(2*PI()*H$5)^2)^2),0)))</f>
        <v>3279</v>
      </c>
      <c r="J78" s="58">
        <f t="shared" ref="J78:J141" si="16">IF(L78="","",ROUND(ATAN(Q78/P78)/PI()*180,1))</f>
        <v>7.9</v>
      </c>
      <c r="L78" s="31">
        <f t="shared" ref="L78:L141" si="17">IF(AG80&lt;=0,"",AG80)</f>
        <v>5.3999999999999999E-2</v>
      </c>
      <c r="M78" s="32">
        <f t="shared" si="10"/>
        <v>0.91100000000000003</v>
      </c>
      <c r="N78" s="32">
        <f t="shared" ref="N78:N141" si="18">IF(AI80="","",AI80)</f>
        <v>0.46899999999999997</v>
      </c>
      <c r="O78" s="32">
        <f t="shared" ref="O78:O141" si="19">IF(AH80="","",AH80)</f>
        <v>-5.0999999999999997E-2</v>
      </c>
      <c r="P78" s="32">
        <f t="shared" ref="P78:Q109" si="20">IF(AJ80="","",AJ80)</f>
        <v>10.52</v>
      </c>
      <c r="Q78" s="33">
        <f t="shared" si="20"/>
        <v>1.464</v>
      </c>
      <c r="AB78">
        <v>2</v>
      </c>
      <c r="AC78">
        <v>4</v>
      </c>
      <c r="AD78">
        <v>63</v>
      </c>
      <c r="AE78">
        <v>-0.85199999999999998</v>
      </c>
      <c r="AF78">
        <v>-0.90400000000000003</v>
      </c>
      <c r="AG78">
        <v>5.2999999999999999E-2</v>
      </c>
      <c r="AH78">
        <v>-5.0999999999999997E-2</v>
      </c>
      <c r="AI78">
        <v>0.46800000000000003</v>
      </c>
      <c r="AJ78">
        <v>10.595000000000001</v>
      </c>
      <c r="AK78">
        <v>1.4550000000000001</v>
      </c>
      <c r="AL78">
        <v>7.8179999999999996</v>
      </c>
      <c r="AM78">
        <v>0.13700000000000001</v>
      </c>
      <c r="AN78">
        <v>10.695</v>
      </c>
      <c r="AO78">
        <v>9.3330000000000002</v>
      </c>
      <c r="AP78">
        <v>2E-3</v>
      </c>
      <c r="AQ78">
        <v>6.7270000000000003</v>
      </c>
      <c r="AR78">
        <v>0.11799999999999999</v>
      </c>
      <c r="AS78">
        <v>1</v>
      </c>
      <c r="AT78">
        <v>0</v>
      </c>
      <c r="AU78">
        <v>64</v>
      </c>
    </row>
    <row r="79" spans="2:47" x14ac:dyDescent="0.25">
      <c r="B79" s="9">
        <v>66</v>
      </c>
      <c r="C79" s="35">
        <v>14000</v>
      </c>
      <c r="D79" s="3"/>
      <c r="E79" s="9">
        <f t="shared" si="12"/>
        <v>401</v>
      </c>
      <c r="F79" s="54">
        <f t="shared" ref="F79:F142" si="21">IF(L79="","",ABS(ROUND(12*C$7/(2*(H$7/1000)^2+2*(H$6/1000)*(H$7/1000)-(H$6/1000)^2)*(M79-M$14)*1,0)))</f>
        <v>6772</v>
      </c>
      <c r="G79" s="73">
        <f t="shared" si="13"/>
        <v>1.214</v>
      </c>
      <c r="H79" s="56">
        <f t="shared" si="14"/>
        <v>0.66800000000000004</v>
      </c>
      <c r="I79" s="57">
        <f t="shared" si="15"/>
        <v>3302</v>
      </c>
      <c r="J79" s="58">
        <f t="shared" si="16"/>
        <v>8.4</v>
      </c>
      <c r="L79" s="31">
        <f t="shared" si="17"/>
        <v>5.2999999999999999E-2</v>
      </c>
      <c r="M79" s="32">
        <f t="shared" ref="M79:M142" si="22">IF(AG81="","",AG81/2-AE81)</f>
        <v>0.93049999999999999</v>
      </c>
      <c r="N79" s="32">
        <f t="shared" si="18"/>
        <v>0.46700000000000003</v>
      </c>
      <c r="O79" s="32">
        <f t="shared" si="19"/>
        <v>-5.1999999999999998E-2</v>
      </c>
      <c r="P79" s="32">
        <f t="shared" si="20"/>
        <v>10.579000000000001</v>
      </c>
      <c r="Q79" s="33">
        <f t="shared" si="20"/>
        <v>1.5680000000000001</v>
      </c>
      <c r="AB79">
        <v>2</v>
      </c>
      <c r="AC79">
        <v>4</v>
      </c>
      <c r="AD79">
        <v>64</v>
      </c>
      <c r="AE79">
        <v>-0.86499999999999999</v>
      </c>
      <c r="AF79">
        <v>-0.91900000000000004</v>
      </c>
      <c r="AG79">
        <v>5.3999999999999999E-2</v>
      </c>
      <c r="AH79">
        <v>-0.05</v>
      </c>
      <c r="AI79">
        <v>0.47</v>
      </c>
      <c r="AJ79">
        <v>10.500999999999999</v>
      </c>
      <c r="AK79">
        <v>1.6479999999999999</v>
      </c>
      <c r="AL79">
        <v>8.9160000000000004</v>
      </c>
      <c r="AM79">
        <v>0.157</v>
      </c>
      <c r="AN79">
        <v>10.63</v>
      </c>
      <c r="AO79">
        <v>8.98</v>
      </c>
      <c r="AP79">
        <v>2E-3</v>
      </c>
      <c r="AQ79">
        <v>7.4039999999999999</v>
      </c>
      <c r="AR79">
        <v>0.13</v>
      </c>
      <c r="AS79">
        <v>1</v>
      </c>
      <c r="AT79">
        <v>0</v>
      </c>
      <c r="AU79">
        <v>64</v>
      </c>
    </row>
    <row r="80" spans="2:47" x14ac:dyDescent="0.25">
      <c r="B80" s="9">
        <v>67</v>
      </c>
      <c r="C80" s="35">
        <v>14500</v>
      </c>
      <c r="D80" s="3"/>
      <c r="E80" s="9">
        <f t="shared" si="12"/>
        <v>394</v>
      </c>
      <c r="F80" s="54">
        <f t="shared" si="21"/>
        <v>6905</v>
      </c>
      <c r="G80" s="73">
        <f t="shared" si="13"/>
        <v>1.2110000000000001</v>
      </c>
      <c r="H80" s="56">
        <f t="shared" si="14"/>
        <v>0.66400000000000003</v>
      </c>
      <c r="I80" s="57">
        <f t="shared" si="15"/>
        <v>3300</v>
      </c>
      <c r="J80" s="58">
        <f t="shared" si="16"/>
        <v>8.4</v>
      </c>
      <c r="L80" s="31">
        <f t="shared" si="17"/>
        <v>5.1999999999999998E-2</v>
      </c>
      <c r="M80" s="32">
        <f t="shared" si="22"/>
        <v>0.94800000000000006</v>
      </c>
      <c r="N80" s="32">
        <f t="shared" si="18"/>
        <v>0.46800000000000003</v>
      </c>
      <c r="O80" s="32">
        <f t="shared" si="19"/>
        <v>-0.05</v>
      </c>
      <c r="P80" s="32">
        <f t="shared" si="20"/>
        <v>10.574</v>
      </c>
      <c r="Q80" s="33">
        <f t="shared" si="20"/>
        <v>1.5629999999999999</v>
      </c>
      <c r="AB80">
        <v>2</v>
      </c>
      <c r="AC80">
        <v>4</v>
      </c>
      <c r="AD80">
        <v>65</v>
      </c>
      <c r="AE80">
        <v>-0.88400000000000001</v>
      </c>
      <c r="AF80">
        <v>-0.93899999999999995</v>
      </c>
      <c r="AG80">
        <v>5.3999999999999999E-2</v>
      </c>
      <c r="AH80">
        <v>-5.0999999999999997E-2</v>
      </c>
      <c r="AI80">
        <v>0.46899999999999997</v>
      </c>
      <c r="AJ80">
        <v>10.52</v>
      </c>
      <c r="AK80">
        <v>1.464</v>
      </c>
      <c r="AL80">
        <v>7.923</v>
      </c>
      <c r="AM80">
        <v>0.13900000000000001</v>
      </c>
      <c r="AN80">
        <v>10.621</v>
      </c>
      <c r="AO80">
        <v>9.1470000000000002</v>
      </c>
      <c r="AP80">
        <v>2E-3</v>
      </c>
      <c r="AQ80">
        <v>6.69</v>
      </c>
      <c r="AR80">
        <v>0.11700000000000001</v>
      </c>
      <c r="AS80">
        <v>1</v>
      </c>
      <c r="AT80">
        <v>0</v>
      </c>
      <c r="AU80">
        <v>64</v>
      </c>
    </row>
    <row r="81" spans="2:47" x14ac:dyDescent="0.25">
      <c r="B81" s="9">
        <v>68</v>
      </c>
      <c r="C81" s="35">
        <v>15000</v>
      </c>
      <c r="D81" s="3"/>
      <c r="E81" s="9">
        <f t="shared" si="12"/>
        <v>386</v>
      </c>
      <c r="F81" s="54">
        <f t="shared" si="21"/>
        <v>7014</v>
      </c>
      <c r="G81" s="73">
        <f t="shared" si="13"/>
        <v>1.214</v>
      </c>
      <c r="H81" s="56">
        <f t="shared" si="14"/>
        <v>0.66700000000000004</v>
      </c>
      <c r="I81" s="57">
        <f t="shared" si="15"/>
        <v>3311</v>
      </c>
      <c r="J81" s="58">
        <f t="shared" si="16"/>
        <v>8</v>
      </c>
      <c r="L81" s="31">
        <f t="shared" si="17"/>
        <v>5.0999999999999997E-2</v>
      </c>
      <c r="M81" s="32">
        <f t="shared" si="22"/>
        <v>0.96250000000000002</v>
      </c>
      <c r="N81" s="32">
        <f t="shared" si="18"/>
        <v>0.46800000000000003</v>
      </c>
      <c r="O81" s="32">
        <f t="shared" si="19"/>
        <v>-5.0999999999999997E-2</v>
      </c>
      <c r="P81" s="32">
        <f t="shared" si="20"/>
        <v>10.622</v>
      </c>
      <c r="Q81" s="33">
        <f t="shared" si="20"/>
        <v>1.488</v>
      </c>
      <c r="AB81">
        <v>2</v>
      </c>
      <c r="AC81">
        <v>4</v>
      </c>
      <c r="AD81">
        <v>66</v>
      </c>
      <c r="AE81">
        <v>-0.90400000000000003</v>
      </c>
      <c r="AF81">
        <v>-0.95599999999999996</v>
      </c>
      <c r="AG81">
        <v>5.2999999999999999E-2</v>
      </c>
      <c r="AH81">
        <v>-5.1999999999999998E-2</v>
      </c>
      <c r="AI81">
        <v>0.46700000000000003</v>
      </c>
      <c r="AJ81">
        <v>10.579000000000001</v>
      </c>
      <c r="AK81">
        <v>1.5680000000000001</v>
      </c>
      <c r="AL81">
        <v>8.43</v>
      </c>
      <c r="AM81">
        <v>0.14799999999999999</v>
      </c>
      <c r="AN81">
        <v>10.695</v>
      </c>
      <c r="AO81">
        <v>9.375</v>
      </c>
      <c r="AP81">
        <v>2E-3</v>
      </c>
      <c r="AQ81">
        <v>7.2919999999999998</v>
      </c>
      <c r="AR81">
        <v>0.128</v>
      </c>
      <c r="AS81">
        <v>1</v>
      </c>
      <c r="AT81">
        <v>0</v>
      </c>
      <c r="AU81">
        <v>64</v>
      </c>
    </row>
    <row r="82" spans="2:47" x14ac:dyDescent="0.25">
      <c r="B82" s="9">
        <v>69</v>
      </c>
      <c r="C82" s="35">
        <v>15500</v>
      </c>
      <c r="D82" s="3"/>
      <c r="E82" s="9">
        <f t="shared" si="12"/>
        <v>401</v>
      </c>
      <c r="F82" s="54">
        <f t="shared" si="21"/>
        <v>7151</v>
      </c>
      <c r="G82" s="73">
        <f t="shared" si="13"/>
        <v>1.2110000000000001</v>
      </c>
      <c r="H82" s="56">
        <f t="shared" si="14"/>
        <v>0.66700000000000004</v>
      </c>
      <c r="I82" s="57">
        <f t="shared" si="15"/>
        <v>3318</v>
      </c>
      <c r="J82" s="58">
        <f t="shared" si="16"/>
        <v>8.6</v>
      </c>
      <c r="L82" s="31">
        <f t="shared" si="17"/>
        <v>5.2999999999999999E-2</v>
      </c>
      <c r="M82" s="32">
        <f t="shared" si="22"/>
        <v>0.98049999999999993</v>
      </c>
      <c r="N82" s="32">
        <f t="shared" si="18"/>
        <v>0.46600000000000003</v>
      </c>
      <c r="O82" s="32">
        <f t="shared" si="19"/>
        <v>-5.1999999999999998E-2</v>
      </c>
      <c r="P82" s="32">
        <f t="shared" si="20"/>
        <v>10.625999999999999</v>
      </c>
      <c r="Q82" s="33">
        <f t="shared" si="20"/>
        <v>1.609</v>
      </c>
      <c r="AB82">
        <v>2</v>
      </c>
      <c r="AC82">
        <v>4</v>
      </c>
      <c r="AD82">
        <v>67</v>
      </c>
      <c r="AE82">
        <v>-0.92200000000000004</v>
      </c>
      <c r="AF82">
        <v>-0.97299999999999998</v>
      </c>
      <c r="AG82">
        <v>5.1999999999999998E-2</v>
      </c>
      <c r="AH82">
        <v>-0.05</v>
      </c>
      <c r="AI82">
        <v>0.46800000000000003</v>
      </c>
      <c r="AJ82">
        <v>10.574</v>
      </c>
      <c r="AK82">
        <v>1.5629999999999999</v>
      </c>
      <c r="AL82">
        <v>8.4139999999999997</v>
      </c>
      <c r="AM82">
        <v>0.14799999999999999</v>
      </c>
      <c r="AN82">
        <v>10.69</v>
      </c>
      <c r="AO82">
        <v>9.6189999999999998</v>
      </c>
      <c r="AP82">
        <v>2E-3</v>
      </c>
      <c r="AQ82">
        <v>7.4829999999999997</v>
      </c>
      <c r="AR82">
        <v>0.13100000000000001</v>
      </c>
      <c r="AS82">
        <v>1</v>
      </c>
      <c r="AT82">
        <v>0</v>
      </c>
      <c r="AU82">
        <v>64</v>
      </c>
    </row>
    <row r="83" spans="2:47" x14ac:dyDescent="0.25">
      <c r="B83" s="9">
        <v>70</v>
      </c>
      <c r="C83" s="35">
        <v>16000</v>
      </c>
      <c r="D83" s="3"/>
      <c r="E83" s="9">
        <f t="shared" si="12"/>
        <v>386</v>
      </c>
      <c r="F83" s="54">
        <f t="shared" si="21"/>
        <v>7302</v>
      </c>
      <c r="G83" s="73">
        <f t="shared" si="13"/>
        <v>1.214</v>
      </c>
      <c r="H83" s="56">
        <f t="shared" si="14"/>
        <v>0.66800000000000004</v>
      </c>
      <c r="I83" s="57">
        <f t="shared" si="15"/>
        <v>3313</v>
      </c>
      <c r="J83" s="58">
        <f t="shared" si="16"/>
        <v>8.4</v>
      </c>
      <c r="L83" s="31">
        <f t="shared" si="17"/>
        <v>5.0999999999999997E-2</v>
      </c>
      <c r="M83" s="32">
        <f t="shared" si="22"/>
        <v>1.0004999999999999</v>
      </c>
      <c r="N83" s="32">
        <f t="shared" si="18"/>
        <v>0.46700000000000003</v>
      </c>
      <c r="O83" s="32">
        <f t="shared" si="19"/>
        <v>-5.1999999999999998E-2</v>
      </c>
      <c r="P83" s="32">
        <f t="shared" si="20"/>
        <v>10.617000000000001</v>
      </c>
      <c r="Q83" s="33">
        <f t="shared" si="20"/>
        <v>1.5669999999999999</v>
      </c>
      <c r="AB83">
        <v>2</v>
      </c>
      <c r="AC83">
        <v>4</v>
      </c>
      <c r="AD83">
        <v>68</v>
      </c>
      <c r="AE83">
        <v>-0.93700000000000006</v>
      </c>
      <c r="AF83">
        <v>-0.98799999999999999</v>
      </c>
      <c r="AG83">
        <v>5.0999999999999997E-2</v>
      </c>
      <c r="AH83">
        <v>-5.0999999999999997E-2</v>
      </c>
      <c r="AI83">
        <v>0.46800000000000003</v>
      </c>
      <c r="AJ83">
        <v>10.622</v>
      </c>
      <c r="AK83">
        <v>1.488</v>
      </c>
      <c r="AL83">
        <v>7.9729999999999999</v>
      </c>
      <c r="AM83">
        <v>0.14000000000000001</v>
      </c>
      <c r="AN83">
        <v>10.726000000000001</v>
      </c>
      <c r="AO83">
        <v>9.3650000000000002</v>
      </c>
      <c r="AP83">
        <v>2E-3</v>
      </c>
      <c r="AQ83">
        <v>6.9160000000000004</v>
      </c>
      <c r="AR83">
        <v>0.121</v>
      </c>
      <c r="AS83">
        <v>1</v>
      </c>
      <c r="AT83">
        <v>0</v>
      </c>
      <c r="AU83">
        <v>64</v>
      </c>
    </row>
    <row r="84" spans="2:47" x14ac:dyDescent="0.25">
      <c r="B84" s="9">
        <v>71</v>
      </c>
      <c r="C84" s="35">
        <v>16500</v>
      </c>
      <c r="D84" s="3"/>
      <c r="E84" s="9">
        <f t="shared" si="12"/>
        <v>394</v>
      </c>
      <c r="F84" s="54">
        <f t="shared" si="21"/>
        <v>7405</v>
      </c>
      <c r="G84" s="73">
        <f t="shared" si="13"/>
        <v>1.214</v>
      </c>
      <c r="H84" s="56">
        <f t="shared" si="14"/>
        <v>0.66700000000000004</v>
      </c>
      <c r="I84" s="57">
        <f t="shared" si="15"/>
        <v>3357</v>
      </c>
      <c r="J84" s="58">
        <f t="shared" si="16"/>
        <v>8.5</v>
      </c>
      <c r="L84" s="31">
        <f t="shared" si="17"/>
        <v>5.1999999999999998E-2</v>
      </c>
      <c r="M84" s="32">
        <f t="shared" si="22"/>
        <v>1.014</v>
      </c>
      <c r="N84" s="32">
        <f t="shared" si="18"/>
        <v>0.46800000000000003</v>
      </c>
      <c r="O84" s="32">
        <f t="shared" si="19"/>
        <v>-5.0999999999999997E-2</v>
      </c>
      <c r="P84" s="32">
        <f t="shared" si="20"/>
        <v>10.755000000000001</v>
      </c>
      <c r="Q84" s="33">
        <f t="shared" si="20"/>
        <v>1.61</v>
      </c>
      <c r="AB84">
        <v>2</v>
      </c>
      <c r="AC84">
        <v>4</v>
      </c>
      <c r="AD84">
        <v>69</v>
      </c>
      <c r="AE84">
        <v>-0.95399999999999996</v>
      </c>
      <c r="AF84">
        <v>-1.0069999999999999</v>
      </c>
      <c r="AG84">
        <v>5.2999999999999999E-2</v>
      </c>
      <c r="AH84">
        <v>-5.1999999999999998E-2</v>
      </c>
      <c r="AI84">
        <v>0.46600000000000003</v>
      </c>
      <c r="AJ84">
        <v>10.625999999999999</v>
      </c>
      <c r="AK84">
        <v>1.609</v>
      </c>
      <c r="AL84">
        <v>8.6120000000000001</v>
      </c>
      <c r="AM84">
        <v>0.151</v>
      </c>
      <c r="AN84">
        <v>10.747</v>
      </c>
      <c r="AO84">
        <v>9.4499999999999993</v>
      </c>
      <c r="AP84">
        <v>2E-3</v>
      </c>
      <c r="AQ84">
        <v>7.5229999999999997</v>
      </c>
      <c r="AR84">
        <v>0.13200000000000001</v>
      </c>
      <c r="AS84">
        <v>1</v>
      </c>
      <c r="AT84">
        <v>0</v>
      </c>
      <c r="AU84">
        <v>64</v>
      </c>
    </row>
    <row r="85" spans="2:47" x14ac:dyDescent="0.25">
      <c r="B85" s="9">
        <v>72</v>
      </c>
      <c r="C85" s="35">
        <v>17000</v>
      </c>
      <c r="D85" s="3"/>
      <c r="E85" s="9">
        <f t="shared" si="12"/>
        <v>424</v>
      </c>
      <c r="F85" s="54">
        <f t="shared" si="21"/>
        <v>7526</v>
      </c>
      <c r="G85" s="73">
        <f t="shared" si="13"/>
        <v>1.2110000000000001</v>
      </c>
      <c r="H85" s="56">
        <f t="shared" si="14"/>
        <v>0.66400000000000003</v>
      </c>
      <c r="I85" s="57">
        <f t="shared" si="15"/>
        <v>3279</v>
      </c>
      <c r="J85" s="58">
        <f t="shared" si="16"/>
        <v>8.9</v>
      </c>
      <c r="L85" s="31">
        <f t="shared" si="17"/>
        <v>5.6000000000000001E-2</v>
      </c>
      <c r="M85" s="32">
        <f t="shared" si="22"/>
        <v>1.03</v>
      </c>
      <c r="N85" s="32">
        <f t="shared" si="18"/>
        <v>0.46800000000000003</v>
      </c>
      <c r="O85" s="32">
        <f t="shared" si="19"/>
        <v>-0.05</v>
      </c>
      <c r="P85" s="32">
        <f t="shared" si="20"/>
        <v>10.494</v>
      </c>
      <c r="Q85" s="33">
        <f t="shared" si="20"/>
        <v>1.645</v>
      </c>
      <c r="AB85">
        <v>2</v>
      </c>
      <c r="AC85">
        <v>4</v>
      </c>
      <c r="AD85">
        <v>70</v>
      </c>
      <c r="AE85">
        <v>-0.97499999999999998</v>
      </c>
      <c r="AF85">
        <v>-1.026</v>
      </c>
      <c r="AG85">
        <v>5.0999999999999997E-2</v>
      </c>
      <c r="AH85">
        <v>-5.1999999999999998E-2</v>
      </c>
      <c r="AI85">
        <v>0.46700000000000003</v>
      </c>
      <c r="AJ85">
        <v>10.617000000000001</v>
      </c>
      <c r="AK85">
        <v>1.5669999999999999</v>
      </c>
      <c r="AL85">
        <v>8.4009999999999998</v>
      </c>
      <c r="AM85">
        <v>0.14799999999999999</v>
      </c>
      <c r="AN85">
        <v>10.733000000000001</v>
      </c>
      <c r="AO85">
        <v>9.3949999999999996</v>
      </c>
      <c r="AP85">
        <v>2E-3</v>
      </c>
      <c r="AQ85">
        <v>7.2889999999999997</v>
      </c>
      <c r="AR85">
        <v>0.128</v>
      </c>
      <c r="AS85">
        <v>1</v>
      </c>
      <c r="AT85">
        <v>0</v>
      </c>
      <c r="AU85">
        <v>64</v>
      </c>
    </row>
    <row r="86" spans="2:47" x14ac:dyDescent="0.25">
      <c r="B86" s="9">
        <v>73</v>
      </c>
      <c r="C86" s="35">
        <v>17500</v>
      </c>
      <c r="D86" s="3"/>
      <c r="E86" s="9">
        <f t="shared" si="12"/>
        <v>394</v>
      </c>
      <c r="F86" s="54">
        <f t="shared" si="21"/>
        <v>7632</v>
      </c>
      <c r="G86" s="73">
        <f t="shared" si="13"/>
        <v>1.2110000000000001</v>
      </c>
      <c r="H86" s="56">
        <f t="shared" si="14"/>
        <v>0.66500000000000004</v>
      </c>
      <c r="I86" s="57">
        <f t="shared" si="15"/>
        <v>3311</v>
      </c>
      <c r="J86" s="58">
        <f t="shared" si="16"/>
        <v>9.4</v>
      </c>
      <c r="L86" s="31">
        <f t="shared" si="17"/>
        <v>5.1999999999999998E-2</v>
      </c>
      <c r="M86" s="32">
        <f t="shared" si="22"/>
        <v>1.044</v>
      </c>
      <c r="N86" s="32">
        <f t="shared" si="18"/>
        <v>0.46700000000000003</v>
      </c>
      <c r="O86" s="32">
        <f t="shared" si="19"/>
        <v>-5.0999999999999997E-2</v>
      </c>
      <c r="P86" s="32">
        <f t="shared" si="20"/>
        <v>10.582000000000001</v>
      </c>
      <c r="Q86" s="33">
        <f t="shared" si="20"/>
        <v>1.744</v>
      </c>
      <c r="AB86">
        <v>2</v>
      </c>
      <c r="AC86">
        <v>4</v>
      </c>
      <c r="AD86">
        <v>71</v>
      </c>
      <c r="AE86">
        <v>-0.98799999999999999</v>
      </c>
      <c r="AF86">
        <v>-1.0389999999999999</v>
      </c>
      <c r="AG86">
        <v>5.1999999999999998E-2</v>
      </c>
      <c r="AH86">
        <v>-5.0999999999999997E-2</v>
      </c>
      <c r="AI86">
        <v>0.46800000000000003</v>
      </c>
      <c r="AJ86">
        <v>10.755000000000001</v>
      </c>
      <c r="AK86">
        <v>1.61</v>
      </c>
      <c r="AL86">
        <v>8.5069999999999997</v>
      </c>
      <c r="AM86">
        <v>0.15</v>
      </c>
      <c r="AN86">
        <v>10.875999999999999</v>
      </c>
      <c r="AO86">
        <v>9.4049999999999994</v>
      </c>
      <c r="AP86">
        <v>2E-3</v>
      </c>
      <c r="AQ86">
        <v>7.282</v>
      </c>
      <c r="AR86">
        <v>0.128</v>
      </c>
      <c r="AS86">
        <v>1</v>
      </c>
      <c r="AT86">
        <v>0</v>
      </c>
      <c r="AU86">
        <v>64</v>
      </c>
    </row>
    <row r="87" spans="2:47" x14ac:dyDescent="0.25">
      <c r="B87" s="9">
        <v>74</v>
      </c>
      <c r="C87" s="35">
        <v>18000</v>
      </c>
      <c r="D87" s="3"/>
      <c r="E87" s="9">
        <f t="shared" si="12"/>
        <v>409</v>
      </c>
      <c r="F87" s="54">
        <f t="shared" si="21"/>
        <v>7761</v>
      </c>
      <c r="G87" s="73">
        <f t="shared" si="13"/>
        <v>1.214</v>
      </c>
      <c r="H87" s="56">
        <f t="shared" si="14"/>
        <v>0.66700000000000004</v>
      </c>
      <c r="I87" s="57">
        <f t="shared" si="15"/>
        <v>3251</v>
      </c>
      <c r="J87" s="58">
        <f t="shared" si="16"/>
        <v>8.6</v>
      </c>
      <c r="L87" s="31">
        <f t="shared" si="17"/>
        <v>5.3999999999999999E-2</v>
      </c>
      <c r="M87" s="32">
        <f t="shared" si="22"/>
        <v>1.0609999999999999</v>
      </c>
      <c r="N87" s="32">
        <f t="shared" si="18"/>
        <v>0.46800000000000003</v>
      </c>
      <c r="O87" s="32">
        <f t="shared" si="19"/>
        <v>-5.0999999999999997E-2</v>
      </c>
      <c r="P87" s="32">
        <f t="shared" si="20"/>
        <v>10.412000000000001</v>
      </c>
      <c r="Q87" s="33">
        <f t="shared" si="20"/>
        <v>1.5720000000000001</v>
      </c>
      <c r="AB87">
        <v>2</v>
      </c>
      <c r="AC87">
        <v>4</v>
      </c>
      <c r="AD87">
        <v>72</v>
      </c>
      <c r="AE87">
        <v>-1.002</v>
      </c>
      <c r="AF87">
        <v>-1.0580000000000001</v>
      </c>
      <c r="AG87">
        <v>5.6000000000000001E-2</v>
      </c>
      <c r="AH87">
        <v>-0.05</v>
      </c>
      <c r="AI87">
        <v>0.46800000000000003</v>
      </c>
      <c r="AJ87">
        <v>10.494</v>
      </c>
      <c r="AK87">
        <v>1.645</v>
      </c>
      <c r="AL87">
        <v>8.8989999999999991</v>
      </c>
      <c r="AM87">
        <v>0.157</v>
      </c>
      <c r="AN87">
        <v>10.622</v>
      </c>
      <c r="AO87">
        <v>9.0500000000000007</v>
      </c>
      <c r="AP87">
        <v>2E-3</v>
      </c>
      <c r="AQ87">
        <v>7.5060000000000002</v>
      </c>
      <c r="AR87">
        <v>0.13200000000000001</v>
      </c>
      <c r="AS87">
        <v>1</v>
      </c>
      <c r="AT87">
        <v>0</v>
      </c>
      <c r="AU87">
        <v>64</v>
      </c>
    </row>
    <row r="88" spans="2:47" x14ac:dyDescent="0.25">
      <c r="B88" s="9">
        <v>75</v>
      </c>
      <c r="C88" s="35">
        <v>18500</v>
      </c>
      <c r="D88" s="3"/>
      <c r="E88" s="9">
        <f t="shared" si="12"/>
        <v>424</v>
      </c>
      <c r="F88" s="54">
        <f t="shared" si="21"/>
        <v>7874</v>
      </c>
      <c r="G88" s="73">
        <f t="shared" si="13"/>
        <v>1.214</v>
      </c>
      <c r="H88" s="56">
        <f t="shared" si="14"/>
        <v>0.66700000000000004</v>
      </c>
      <c r="I88" s="57">
        <f t="shared" si="15"/>
        <v>3290</v>
      </c>
      <c r="J88" s="58">
        <f t="shared" si="16"/>
        <v>8.9</v>
      </c>
      <c r="L88" s="31">
        <f t="shared" si="17"/>
        <v>5.6000000000000001E-2</v>
      </c>
      <c r="M88" s="32">
        <f t="shared" si="22"/>
        <v>1.0760000000000001</v>
      </c>
      <c r="N88" s="32">
        <f t="shared" si="18"/>
        <v>0.46800000000000003</v>
      </c>
      <c r="O88" s="32">
        <f t="shared" si="19"/>
        <v>-5.0999999999999997E-2</v>
      </c>
      <c r="P88" s="32">
        <f t="shared" si="20"/>
        <v>10.526</v>
      </c>
      <c r="Q88" s="33">
        <f t="shared" si="20"/>
        <v>1.655</v>
      </c>
      <c r="AB88">
        <v>2</v>
      </c>
      <c r="AC88">
        <v>4</v>
      </c>
      <c r="AD88">
        <v>73</v>
      </c>
      <c r="AE88">
        <v>-1.018</v>
      </c>
      <c r="AF88">
        <v>-1.071</v>
      </c>
      <c r="AG88">
        <v>5.1999999999999998E-2</v>
      </c>
      <c r="AH88">
        <v>-5.0999999999999997E-2</v>
      </c>
      <c r="AI88">
        <v>0.46700000000000003</v>
      </c>
      <c r="AJ88">
        <v>10.582000000000001</v>
      </c>
      <c r="AK88">
        <v>1.744</v>
      </c>
      <c r="AL88">
        <v>9.3550000000000004</v>
      </c>
      <c r="AM88">
        <v>0.16500000000000001</v>
      </c>
      <c r="AN88">
        <v>10.725</v>
      </c>
      <c r="AO88">
        <v>9.6750000000000007</v>
      </c>
      <c r="AP88">
        <v>3.0000000000000001E-3</v>
      </c>
      <c r="AQ88">
        <v>8.44</v>
      </c>
      <c r="AR88">
        <v>0.14799999999999999</v>
      </c>
      <c r="AS88">
        <v>1</v>
      </c>
      <c r="AT88">
        <v>0</v>
      </c>
      <c r="AU88">
        <v>64</v>
      </c>
    </row>
    <row r="89" spans="2:47" x14ac:dyDescent="0.25">
      <c r="B89" s="9">
        <v>76</v>
      </c>
      <c r="C89" s="35">
        <v>19000</v>
      </c>
      <c r="D89" s="3"/>
      <c r="E89" s="9">
        <f t="shared" si="12"/>
        <v>394</v>
      </c>
      <c r="F89" s="54">
        <f t="shared" si="21"/>
        <v>7980</v>
      </c>
      <c r="G89" s="73">
        <f t="shared" si="13"/>
        <v>1.214</v>
      </c>
      <c r="H89" s="56">
        <f t="shared" si="14"/>
        <v>0.66400000000000003</v>
      </c>
      <c r="I89" s="57">
        <f t="shared" si="15"/>
        <v>3314</v>
      </c>
      <c r="J89" s="58">
        <f t="shared" si="16"/>
        <v>8.4</v>
      </c>
      <c r="L89" s="31">
        <f t="shared" si="17"/>
        <v>5.1999999999999998E-2</v>
      </c>
      <c r="M89" s="32">
        <f t="shared" si="22"/>
        <v>1.0900000000000001</v>
      </c>
      <c r="N89" s="32">
        <f t="shared" si="18"/>
        <v>0.47</v>
      </c>
      <c r="O89" s="32">
        <f t="shared" si="19"/>
        <v>-4.9000000000000002E-2</v>
      </c>
      <c r="P89" s="32">
        <f t="shared" si="20"/>
        <v>10.62</v>
      </c>
      <c r="Q89" s="33">
        <f t="shared" si="20"/>
        <v>1.5649999999999999</v>
      </c>
      <c r="AB89">
        <v>2</v>
      </c>
      <c r="AC89">
        <v>4</v>
      </c>
      <c r="AD89">
        <v>74</v>
      </c>
      <c r="AE89">
        <v>-1.034</v>
      </c>
      <c r="AF89">
        <v>-1.0880000000000001</v>
      </c>
      <c r="AG89">
        <v>5.3999999999999999E-2</v>
      </c>
      <c r="AH89">
        <v>-5.0999999999999997E-2</v>
      </c>
      <c r="AI89">
        <v>0.46800000000000003</v>
      </c>
      <c r="AJ89">
        <v>10.412000000000001</v>
      </c>
      <c r="AK89">
        <v>1.5720000000000001</v>
      </c>
      <c r="AL89">
        <v>8.5879999999999992</v>
      </c>
      <c r="AM89">
        <v>0.151</v>
      </c>
      <c r="AN89">
        <v>10.53</v>
      </c>
      <c r="AO89">
        <v>9.0419999999999998</v>
      </c>
      <c r="AP89">
        <v>2E-3</v>
      </c>
      <c r="AQ89">
        <v>7.2939999999999996</v>
      </c>
      <c r="AR89">
        <v>0.128</v>
      </c>
      <c r="AS89">
        <v>1</v>
      </c>
      <c r="AT89">
        <v>0</v>
      </c>
      <c r="AU89">
        <v>64</v>
      </c>
    </row>
    <row r="90" spans="2:47" x14ac:dyDescent="0.25">
      <c r="B90" s="9">
        <v>77</v>
      </c>
      <c r="C90" s="35">
        <v>19500</v>
      </c>
      <c r="D90" s="3"/>
      <c r="E90" s="9">
        <f t="shared" si="12"/>
        <v>401</v>
      </c>
      <c r="F90" s="54">
        <f t="shared" si="21"/>
        <v>8158</v>
      </c>
      <c r="G90" s="73">
        <f t="shared" si="13"/>
        <v>1.216</v>
      </c>
      <c r="H90" s="56">
        <f t="shared" si="14"/>
        <v>0.66900000000000004</v>
      </c>
      <c r="I90" s="57">
        <f t="shared" si="15"/>
        <v>3218</v>
      </c>
      <c r="J90" s="58">
        <f t="shared" si="16"/>
        <v>8.1</v>
      </c>
      <c r="L90" s="31">
        <f t="shared" si="17"/>
        <v>5.2999999999999999E-2</v>
      </c>
      <c r="M90" s="32">
        <f t="shared" si="22"/>
        <v>1.1134999999999999</v>
      </c>
      <c r="N90" s="32">
        <f t="shared" si="18"/>
        <v>0.46800000000000003</v>
      </c>
      <c r="O90" s="32">
        <f t="shared" si="19"/>
        <v>-5.1999999999999998E-2</v>
      </c>
      <c r="P90" s="32">
        <f t="shared" si="20"/>
        <v>10.319000000000001</v>
      </c>
      <c r="Q90" s="33">
        <f t="shared" si="20"/>
        <v>1.476</v>
      </c>
      <c r="AB90">
        <v>2</v>
      </c>
      <c r="AC90">
        <v>4</v>
      </c>
      <c r="AD90">
        <v>75</v>
      </c>
      <c r="AE90">
        <v>-1.048</v>
      </c>
      <c r="AF90">
        <v>-1.1040000000000001</v>
      </c>
      <c r="AG90">
        <v>5.6000000000000001E-2</v>
      </c>
      <c r="AH90">
        <v>-5.0999999999999997E-2</v>
      </c>
      <c r="AI90">
        <v>0.46800000000000003</v>
      </c>
      <c r="AJ90">
        <v>10.526</v>
      </c>
      <c r="AK90">
        <v>1.655</v>
      </c>
      <c r="AL90">
        <v>8.9440000000000008</v>
      </c>
      <c r="AM90">
        <v>0.157</v>
      </c>
      <c r="AN90">
        <v>10.656000000000001</v>
      </c>
      <c r="AO90">
        <v>8.9039999999999999</v>
      </c>
      <c r="AP90">
        <v>2E-3</v>
      </c>
      <c r="AQ90">
        <v>7.38</v>
      </c>
      <c r="AR90">
        <v>0.13</v>
      </c>
      <c r="AS90">
        <v>1</v>
      </c>
      <c r="AT90">
        <v>0</v>
      </c>
      <c r="AU90">
        <v>64</v>
      </c>
    </row>
    <row r="91" spans="2:47" x14ac:dyDescent="0.25">
      <c r="B91" s="9">
        <v>78</v>
      </c>
      <c r="C91" s="35">
        <v>20000</v>
      </c>
      <c r="D91" s="3"/>
      <c r="E91" s="9">
        <f t="shared" si="12"/>
        <v>409</v>
      </c>
      <c r="F91" s="54">
        <f t="shared" si="21"/>
        <v>8336</v>
      </c>
      <c r="G91" s="73">
        <f t="shared" si="13"/>
        <v>1.214</v>
      </c>
      <c r="H91" s="56">
        <f t="shared" si="14"/>
        <v>0.66500000000000004</v>
      </c>
      <c r="I91" s="57">
        <f t="shared" si="15"/>
        <v>3230</v>
      </c>
      <c r="J91" s="58">
        <f t="shared" si="16"/>
        <v>8.5</v>
      </c>
      <c r="L91" s="31">
        <f t="shared" si="17"/>
        <v>5.3999999999999999E-2</v>
      </c>
      <c r="M91" s="32">
        <f t="shared" si="22"/>
        <v>1.137</v>
      </c>
      <c r="N91" s="32">
        <f t="shared" si="18"/>
        <v>0.46899999999999997</v>
      </c>
      <c r="O91" s="32">
        <f t="shared" si="19"/>
        <v>-0.05</v>
      </c>
      <c r="P91" s="32">
        <f t="shared" si="20"/>
        <v>10.346</v>
      </c>
      <c r="Q91" s="33">
        <f t="shared" si="20"/>
        <v>1.5469999999999999</v>
      </c>
      <c r="AB91">
        <v>2</v>
      </c>
      <c r="AC91">
        <v>4</v>
      </c>
      <c r="AD91">
        <v>76</v>
      </c>
      <c r="AE91">
        <v>-1.0640000000000001</v>
      </c>
      <c r="AF91">
        <v>-1.1160000000000001</v>
      </c>
      <c r="AG91">
        <v>5.1999999999999998E-2</v>
      </c>
      <c r="AH91">
        <v>-4.9000000000000002E-2</v>
      </c>
      <c r="AI91">
        <v>0.47</v>
      </c>
      <c r="AJ91">
        <v>10.62</v>
      </c>
      <c r="AK91">
        <v>1.5649999999999999</v>
      </c>
      <c r="AL91">
        <v>8.3770000000000007</v>
      </c>
      <c r="AM91">
        <v>0.14699999999999999</v>
      </c>
      <c r="AN91">
        <v>10.737</v>
      </c>
      <c r="AO91">
        <v>9.5830000000000002</v>
      </c>
      <c r="AP91">
        <v>2E-3</v>
      </c>
      <c r="AQ91">
        <v>7.4349999999999996</v>
      </c>
      <c r="AR91">
        <v>0.13100000000000001</v>
      </c>
      <c r="AS91">
        <v>1</v>
      </c>
      <c r="AT91">
        <v>0</v>
      </c>
      <c r="AU91">
        <v>64</v>
      </c>
    </row>
    <row r="92" spans="2:47" x14ac:dyDescent="0.25">
      <c r="B92" s="9">
        <v>79</v>
      </c>
      <c r="C92" s="35">
        <v>20500</v>
      </c>
      <c r="D92" s="3"/>
      <c r="E92" s="9">
        <f t="shared" si="12"/>
        <v>409</v>
      </c>
      <c r="F92" s="54">
        <f t="shared" si="21"/>
        <v>8450</v>
      </c>
      <c r="G92" s="73">
        <f t="shared" si="13"/>
        <v>1.214</v>
      </c>
      <c r="H92" s="56">
        <f t="shared" si="14"/>
        <v>0.66700000000000004</v>
      </c>
      <c r="I92" s="57">
        <f t="shared" si="15"/>
        <v>3234</v>
      </c>
      <c r="J92" s="58">
        <f t="shared" si="16"/>
        <v>8.4</v>
      </c>
      <c r="L92" s="31">
        <f t="shared" si="17"/>
        <v>5.3999999999999999E-2</v>
      </c>
      <c r="M92" s="32">
        <f t="shared" si="22"/>
        <v>1.1519999999999999</v>
      </c>
      <c r="N92" s="32">
        <f t="shared" si="18"/>
        <v>0.46800000000000003</v>
      </c>
      <c r="O92" s="32">
        <f t="shared" si="19"/>
        <v>-5.0999999999999997E-2</v>
      </c>
      <c r="P92" s="32">
        <f t="shared" si="20"/>
        <v>10.364000000000001</v>
      </c>
      <c r="Q92" s="33">
        <f t="shared" si="20"/>
        <v>1.5229999999999999</v>
      </c>
      <c r="AB92">
        <v>2</v>
      </c>
      <c r="AC92">
        <v>4</v>
      </c>
      <c r="AD92">
        <v>77</v>
      </c>
      <c r="AE92">
        <v>-1.087</v>
      </c>
      <c r="AF92">
        <v>-1.1399999999999999</v>
      </c>
      <c r="AG92">
        <v>5.2999999999999999E-2</v>
      </c>
      <c r="AH92">
        <v>-5.1999999999999998E-2</v>
      </c>
      <c r="AI92">
        <v>0.46800000000000003</v>
      </c>
      <c r="AJ92">
        <v>10.319000000000001</v>
      </c>
      <c r="AK92">
        <v>1.476</v>
      </c>
      <c r="AL92">
        <v>8.1359999999999992</v>
      </c>
      <c r="AM92">
        <v>0.14299999999999999</v>
      </c>
      <c r="AN92">
        <v>10.423999999999999</v>
      </c>
      <c r="AO92">
        <v>9.2159999999999993</v>
      </c>
      <c r="AP92">
        <v>2E-3</v>
      </c>
      <c r="AQ92">
        <v>7.101</v>
      </c>
      <c r="AR92">
        <v>0.125</v>
      </c>
      <c r="AS92">
        <v>1</v>
      </c>
      <c r="AT92">
        <v>0</v>
      </c>
      <c r="AU92">
        <v>64</v>
      </c>
    </row>
    <row r="93" spans="2:47" x14ac:dyDescent="0.25">
      <c r="B93" s="9">
        <v>80</v>
      </c>
      <c r="C93" s="35">
        <v>21000</v>
      </c>
      <c r="D93" s="3"/>
      <c r="E93" s="9">
        <f t="shared" si="12"/>
        <v>417</v>
      </c>
      <c r="F93" s="54">
        <f t="shared" si="21"/>
        <v>8567</v>
      </c>
      <c r="G93" s="73">
        <f t="shared" si="13"/>
        <v>1.214</v>
      </c>
      <c r="H93" s="56">
        <f t="shared" si="14"/>
        <v>0.66700000000000004</v>
      </c>
      <c r="I93" s="57">
        <f t="shared" si="15"/>
        <v>3205</v>
      </c>
      <c r="J93" s="58">
        <f t="shared" si="16"/>
        <v>9</v>
      </c>
      <c r="L93" s="31">
        <f t="shared" si="17"/>
        <v>5.5E-2</v>
      </c>
      <c r="M93" s="32">
        <f t="shared" si="22"/>
        <v>1.1675</v>
      </c>
      <c r="N93" s="32">
        <f t="shared" si="18"/>
        <v>0.46800000000000003</v>
      </c>
      <c r="O93" s="32">
        <f t="shared" si="19"/>
        <v>-5.0999999999999997E-2</v>
      </c>
      <c r="P93" s="32">
        <f t="shared" si="20"/>
        <v>10.253</v>
      </c>
      <c r="Q93" s="33">
        <f t="shared" si="20"/>
        <v>1.615</v>
      </c>
      <c r="AB93">
        <v>2</v>
      </c>
      <c r="AC93">
        <v>4</v>
      </c>
      <c r="AD93">
        <v>78</v>
      </c>
      <c r="AE93">
        <v>-1.1100000000000001</v>
      </c>
      <c r="AF93">
        <v>-1.1639999999999999</v>
      </c>
      <c r="AG93">
        <v>5.3999999999999999E-2</v>
      </c>
      <c r="AH93">
        <v>-0.05</v>
      </c>
      <c r="AI93">
        <v>0.46899999999999997</v>
      </c>
      <c r="AJ93">
        <v>10.346</v>
      </c>
      <c r="AK93">
        <v>1.5469999999999999</v>
      </c>
      <c r="AL93">
        <v>8.5069999999999997</v>
      </c>
      <c r="AM93">
        <v>0.15</v>
      </c>
      <c r="AN93">
        <v>10.462</v>
      </c>
      <c r="AO93">
        <v>9.2910000000000004</v>
      </c>
      <c r="AP93">
        <v>2E-3</v>
      </c>
      <c r="AQ93">
        <v>7.4630000000000001</v>
      </c>
      <c r="AR93">
        <v>0.13100000000000001</v>
      </c>
      <c r="AS93">
        <v>1</v>
      </c>
      <c r="AT93">
        <v>0</v>
      </c>
      <c r="AU93">
        <v>64</v>
      </c>
    </row>
    <row r="94" spans="2:47" x14ac:dyDescent="0.25">
      <c r="B94" s="9">
        <v>81</v>
      </c>
      <c r="C94" s="35">
        <v>21500</v>
      </c>
      <c r="D94" s="3"/>
      <c r="E94" s="9">
        <f t="shared" si="12"/>
        <v>394</v>
      </c>
      <c r="F94" s="54">
        <f t="shared" si="21"/>
        <v>8715</v>
      </c>
      <c r="G94" s="73">
        <f t="shared" si="13"/>
        <v>1.2110000000000001</v>
      </c>
      <c r="H94" s="56">
        <f t="shared" si="14"/>
        <v>0.66500000000000004</v>
      </c>
      <c r="I94" s="57">
        <f t="shared" si="15"/>
        <v>3246</v>
      </c>
      <c r="J94" s="58">
        <f t="shared" si="16"/>
        <v>8.1</v>
      </c>
      <c r="L94" s="31">
        <f t="shared" si="17"/>
        <v>5.1999999999999998E-2</v>
      </c>
      <c r="M94" s="32">
        <f t="shared" si="22"/>
        <v>1.1870000000000001</v>
      </c>
      <c r="N94" s="32">
        <f t="shared" si="18"/>
        <v>0.46700000000000003</v>
      </c>
      <c r="O94" s="32">
        <f t="shared" si="19"/>
        <v>-5.0999999999999997E-2</v>
      </c>
      <c r="P94" s="32">
        <f t="shared" si="20"/>
        <v>10.41</v>
      </c>
      <c r="Q94" s="33">
        <f t="shared" si="20"/>
        <v>1.4810000000000001</v>
      </c>
      <c r="AB94">
        <v>2</v>
      </c>
      <c r="AC94">
        <v>4</v>
      </c>
      <c r="AD94">
        <v>79</v>
      </c>
      <c r="AE94">
        <v>-1.125</v>
      </c>
      <c r="AF94">
        <v>-1.179</v>
      </c>
      <c r="AG94">
        <v>5.3999999999999999E-2</v>
      </c>
      <c r="AH94">
        <v>-5.0999999999999997E-2</v>
      </c>
      <c r="AI94">
        <v>0.46800000000000003</v>
      </c>
      <c r="AJ94">
        <v>10.364000000000001</v>
      </c>
      <c r="AK94">
        <v>1.5229999999999999</v>
      </c>
      <c r="AL94">
        <v>8.36</v>
      </c>
      <c r="AM94">
        <v>0.14699999999999999</v>
      </c>
      <c r="AN94">
        <v>10.475</v>
      </c>
      <c r="AO94">
        <v>9.234</v>
      </c>
      <c r="AP94">
        <v>2E-3</v>
      </c>
      <c r="AQ94">
        <v>7.274</v>
      </c>
      <c r="AR94">
        <v>0.128</v>
      </c>
      <c r="AS94">
        <v>1</v>
      </c>
      <c r="AT94">
        <v>0</v>
      </c>
      <c r="AU94">
        <v>64</v>
      </c>
    </row>
    <row r="95" spans="2:47" x14ac:dyDescent="0.25">
      <c r="B95" s="9">
        <v>82</v>
      </c>
      <c r="C95" s="35">
        <v>22000</v>
      </c>
      <c r="D95" s="3"/>
      <c r="E95" s="9">
        <f t="shared" si="12"/>
        <v>401</v>
      </c>
      <c r="F95" s="54">
        <f t="shared" si="21"/>
        <v>8802</v>
      </c>
      <c r="G95" s="73">
        <f t="shared" si="13"/>
        <v>1.214</v>
      </c>
      <c r="H95" s="56">
        <f t="shared" si="14"/>
        <v>0.66700000000000004</v>
      </c>
      <c r="I95" s="57">
        <f t="shared" si="15"/>
        <v>3272</v>
      </c>
      <c r="J95" s="58">
        <f t="shared" si="16"/>
        <v>9.1999999999999993</v>
      </c>
      <c r="L95" s="31">
        <f t="shared" si="17"/>
        <v>5.2999999999999999E-2</v>
      </c>
      <c r="M95" s="32">
        <f t="shared" si="22"/>
        <v>1.1984999999999999</v>
      </c>
      <c r="N95" s="32">
        <f t="shared" si="18"/>
        <v>0.46800000000000003</v>
      </c>
      <c r="O95" s="32">
        <f t="shared" si="19"/>
        <v>-5.0999999999999997E-2</v>
      </c>
      <c r="P95" s="32">
        <f t="shared" si="20"/>
        <v>10.461</v>
      </c>
      <c r="Q95" s="33">
        <f t="shared" si="20"/>
        <v>1.69</v>
      </c>
      <c r="AB95">
        <v>2</v>
      </c>
      <c r="AC95">
        <v>4</v>
      </c>
      <c r="AD95">
        <v>80</v>
      </c>
      <c r="AE95">
        <v>-1.1399999999999999</v>
      </c>
      <c r="AF95">
        <v>-1.1950000000000001</v>
      </c>
      <c r="AG95">
        <v>5.5E-2</v>
      </c>
      <c r="AH95">
        <v>-5.0999999999999997E-2</v>
      </c>
      <c r="AI95">
        <v>0.46800000000000003</v>
      </c>
      <c r="AJ95">
        <v>10.253</v>
      </c>
      <c r="AK95">
        <v>1.615</v>
      </c>
      <c r="AL95">
        <v>8.9489999999999998</v>
      </c>
      <c r="AM95">
        <v>0.157</v>
      </c>
      <c r="AN95">
        <v>10.38</v>
      </c>
      <c r="AO95">
        <v>9.2119999999999997</v>
      </c>
      <c r="AP95">
        <v>3.0000000000000001E-3</v>
      </c>
      <c r="AQ95">
        <v>7.9180000000000001</v>
      </c>
      <c r="AR95">
        <v>0.13900000000000001</v>
      </c>
      <c r="AS95">
        <v>1</v>
      </c>
      <c r="AT95">
        <v>0</v>
      </c>
      <c r="AU95">
        <v>64</v>
      </c>
    </row>
    <row r="96" spans="2:47" x14ac:dyDescent="0.25">
      <c r="B96" s="9">
        <v>83</v>
      </c>
      <c r="C96" s="35">
        <v>22500</v>
      </c>
      <c r="D96" s="3"/>
      <c r="E96" s="9">
        <f t="shared" si="12"/>
        <v>401</v>
      </c>
      <c r="F96" s="54">
        <f t="shared" si="21"/>
        <v>8916</v>
      </c>
      <c r="G96" s="73">
        <f t="shared" si="13"/>
        <v>1.214</v>
      </c>
      <c r="H96" s="56">
        <f t="shared" si="14"/>
        <v>0.66500000000000004</v>
      </c>
      <c r="I96" s="57">
        <f t="shared" si="15"/>
        <v>3221</v>
      </c>
      <c r="J96" s="58">
        <f t="shared" si="16"/>
        <v>8</v>
      </c>
      <c r="L96" s="31">
        <f t="shared" si="17"/>
        <v>5.2999999999999999E-2</v>
      </c>
      <c r="M96" s="32">
        <f t="shared" si="22"/>
        <v>1.2135</v>
      </c>
      <c r="N96" s="32">
        <f t="shared" si="18"/>
        <v>0.46899999999999997</v>
      </c>
      <c r="O96" s="32">
        <f t="shared" si="19"/>
        <v>-0.05</v>
      </c>
      <c r="P96" s="32">
        <f t="shared" si="20"/>
        <v>10.331</v>
      </c>
      <c r="Q96" s="33">
        <f t="shared" si="20"/>
        <v>1.458</v>
      </c>
      <c r="AB96">
        <v>2</v>
      </c>
      <c r="AC96">
        <v>4</v>
      </c>
      <c r="AD96">
        <v>81</v>
      </c>
      <c r="AE96">
        <v>-1.161</v>
      </c>
      <c r="AF96">
        <v>-1.2130000000000001</v>
      </c>
      <c r="AG96">
        <v>5.1999999999999998E-2</v>
      </c>
      <c r="AH96">
        <v>-5.0999999999999997E-2</v>
      </c>
      <c r="AI96">
        <v>0.46700000000000003</v>
      </c>
      <c r="AJ96">
        <v>10.41</v>
      </c>
      <c r="AK96">
        <v>1.4810000000000001</v>
      </c>
      <c r="AL96">
        <v>8.0939999999999994</v>
      </c>
      <c r="AM96">
        <v>0.14199999999999999</v>
      </c>
      <c r="AN96">
        <v>10.515000000000001</v>
      </c>
      <c r="AO96">
        <v>9.3379999999999992</v>
      </c>
      <c r="AP96">
        <v>2E-3</v>
      </c>
      <c r="AQ96">
        <v>7.1559999999999997</v>
      </c>
      <c r="AR96">
        <v>0.126</v>
      </c>
      <c r="AS96">
        <v>1</v>
      </c>
      <c r="AT96">
        <v>0</v>
      </c>
      <c r="AU96">
        <v>64</v>
      </c>
    </row>
    <row r="97" spans="2:47" x14ac:dyDescent="0.25">
      <c r="B97" s="9">
        <v>84</v>
      </c>
      <c r="C97" s="35">
        <v>23000</v>
      </c>
      <c r="D97" s="3"/>
      <c r="E97" s="9">
        <f t="shared" si="12"/>
        <v>394</v>
      </c>
      <c r="F97" s="54">
        <f t="shared" si="21"/>
        <v>9010</v>
      </c>
      <c r="G97" s="73">
        <f t="shared" si="13"/>
        <v>1.214</v>
      </c>
      <c r="H97" s="56">
        <f t="shared" si="14"/>
        <v>0.66700000000000004</v>
      </c>
      <c r="I97" s="57">
        <f t="shared" si="15"/>
        <v>3251</v>
      </c>
      <c r="J97" s="58">
        <f t="shared" si="16"/>
        <v>8.8000000000000007</v>
      </c>
      <c r="L97" s="31">
        <f t="shared" si="17"/>
        <v>5.1999999999999998E-2</v>
      </c>
      <c r="M97" s="32">
        <f t="shared" si="22"/>
        <v>1.226</v>
      </c>
      <c r="N97" s="32">
        <f t="shared" si="18"/>
        <v>0.46800000000000003</v>
      </c>
      <c r="O97" s="32">
        <f t="shared" si="19"/>
        <v>-5.0999999999999997E-2</v>
      </c>
      <c r="P97" s="32">
        <f t="shared" si="20"/>
        <v>10.406000000000001</v>
      </c>
      <c r="Q97" s="33">
        <f t="shared" si="20"/>
        <v>1.6080000000000001</v>
      </c>
      <c r="AB97">
        <v>2</v>
      </c>
      <c r="AC97">
        <v>4</v>
      </c>
      <c r="AD97">
        <v>82</v>
      </c>
      <c r="AE97">
        <v>-1.1719999999999999</v>
      </c>
      <c r="AF97">
        <v>-1.2250000000000001</v>
      </c>
      <c r="AG97">
        <v>5.2999999999999999E-2</v>
      </c>
      <c r="AH97">
        <v>-5.0999999999999997E-2</v>
      </c>
      <c r="AI97">
        <v>0.46800000000000003</v>
      </c>
      <c r="AJ97">
        <v>10.461</v>
      </c>
      <c r="AK97">
        <v>1.69</v>
      </c>
      <c r="AL97">
        <v>9.1750000000000007</v>
      </c>
      <c r="AM97">
        <v>0.16200000000000001</v>
      </c>
      <c r="AN97">
        <v>10.597</v>
      </c>
      <c r="AO97">
        <v>9.2970000000000006</v>
      </c>
      <c r="AP97">
        <v>3.0000000000000001E-3</v>
      </c>
      <c r="AQ97">
        <v>8.0220000000000002</v>
      </c>
      <c r="AR97">
        <v>0.14099999999999999</v>
      </c>
      <c r="AS97">
        <v>1</v>
      </c>
      <c r="AT97">
        <v>0</v>
      </c>
      <c r="AU97">
        <v>64</v>
      </c>
    </row>
    <row r="98" spans="2:47" x14ac:dyDescent="0.25">
      <c r="B98" s="9">
        <v>85</v>
      </c>
      <c r="C98" s="35">
        <v>23500</v>
      </c>
      <c r="D98" s="3"/>
      <c r="E98" s="9">
        <f t="shared" si="12"/>
        <v>409</v>
      </c>
      <c r="F98" s="54">
        <f t="shared" si="21"/>
        <v>9117</v>
      </c>
      <c r="G98" s="73">
        <f t="shared" si="13"/>
        <v>1.216</v>
      </c>
      <c r="H98" s="56">
        <f t="shared" si="14"/>
        <v>0.66800000000000004</v>
      </c>
      <c r="I98" s="57">
        <f t="shared" si="15"/>
        <v>3277</v>
      </c>
      <c r="J98" s="58">
        <f t="shared" si="16"/>
        <v>8.5</v>
      </c>
      <c r="L98" s="31">
        <f t="shared" si="17"/>
        <v>5.3999999999999999E-2</v>
      </c>
      <c r="M98" s="32">
        <f t="shared" si="22"/>
        <v>1.24</v>
      </c>
      <c r="N98" s="32">
        <f t="shared" si="18"/>
        <v>0.46899999999999997</v>
      </c>
      <c r="O98" s="32">
        <f t="shared" si="19"/>
        <v>-5.0999999999999997E-2</v>
      </c>
      <c r="P98" s="32">
        <f t="shared" si="20"/>
        <v>10.497999999999999</v>
      </c>
      <c r="Q98" s="33">
        <f t="shared" si="20"/>
        <v>1.5660000000000001</v>
      </c>
      <c r="AB98">
        <v>2</v>
      </c>
      <c r="AC98">
        <v>4</v>
      </c>
      <c r="AD98">
        <v>83</v>
      </c>
      <c r="AE98">
        <v>-1.1870000000000001</v>
      </c>
      <c r="AF98">
        <v>-1.24</v>
      </c>
      <c r="AG98">
        <v>5.2999999999999999E-2</v>
      </c>
      <c r="AH98">
        <v>-0.05</v>
      </c>
      <c r="AI98">
        <v>0.46899999999999997</v>
      </c>
      <c r="AJ98">
        <v>10.331</v>
      </c>
      <c r="AK98">
        <v>1.458</v>
      </c>
      <c r="AL98">
        <v>8.0280000000000005</v>
      </c>
      <c r="AM98">
        <v>0.14099999999999999</v>
      </c>
      <c r="AN98">
        <v>10.433999999999999</v>
      </c>
      <c r="AO98">
        <v>9.1809999999999992</v>
      </c>
      <c r="AP98">
        <v>2E-3</v>
      </c>
      <c r="AQ98">
        <v>6.9829999999999997</v>
      </c>
      <c r="AR98">
        <v>0.123</v>
      </c>
      <c r="AS98">
        <v>1</v>
      </c>
      <c r="AT98">
        <v>0</v>
      </c>
      <c r="AU98">
        <v>64</v>
      </c>
    </row>
    <row r="99" spans="2:47" x14ac:dyDescent="0.25">
      <c r="B99" s="9">
        <v>86</v>
      </c>
      <c r="C99" s="35">
        <v>24000</v>
      </c>
      <c r="D99" s="3"/>
      <c r="E99" s="9">
        <f t="shared" si="12"/>
        <v>409</v>
      </c>
      <c r="F99" s="54">
        <f t="shared" si="21"/>
        <v>9185</v>
      </c>
      <c r="G99" s="73">
        <f t="shared" si="13"/>
        <v>1.2110000000000001</v>
      </c>
      <c r="H99" s="56">
        <f t="shared" si="14"/>
        <v>0.66400000000000003</v>
      </c>
      <c r="I99" s="57">
        <f t="shared" si="15"/>
        <v>3222</v>
      </c>
      <c r="J99" s="58">
        <f t="shared" si="16"/>
        <v>8.4</v>
      </c>
      <c r="L99" s="31">
        <f t="shared" si="17"/>
        <v>5.3999999999999999E-2</v>
      </c>
      <c r="M99" s="32">
        <f t="shared" si="22"/>
        <v>1.2489999999999999</v>
      </c>
      <c r="N99" s="32">
        <f t="shared" si="18"/>
        <v>0.46800000000000003</v>
      </c>
      <c r="O99" s="32">
        <f t="shared" si="19"/>
        <v>-0.05</v>
      </c>
      <c r="P99" s="32">
        <f t="shared" si="20"/>
        <v>10.326000000000001</v>
      </c>
      <c r="Q99" s="33">
        <f t="shared" si="20"/>
        <v>1.522</v>
      </c>
      <c r="AB99">
        <v>2</v>
      </c>
      <c r="AC99">
        <v>4</v>
      </c>
      <c r="AD99">
        <v>84</v>
      </c>
      <c r="AE99">
        <v>-1.2</v>
      </c>
      <c r="AF99">
        <v>-1.252</v>
      </c>
      <c r="AG99">
        <v>5.1999999999999998E-2</v>
      </c>
      <c r="AH99">
        <v>-5.0999999999999997E-2</v>
      </c>
      <c r="AI99">
        <v>0.46800000000000003</v>
      </c>
      <c r="AJ99">
        <v>10.406000000000001</v>
      </c>
      <c r="AK99">
        <v>1.6080000000000001</v>
      </c>
      <c r="AL99">
        <v>8.7829999999999995</v>
      </c>
      <c r="AM99">
        <v>0.155</v>
      </c>
      <c r="AN99">
        <v>10.53</v>
      </c>
      <c r="AO99">
        <v>9.4209999999999994</v>
      </c>
      <c r="AP99">
        <v>2E-3</v>
      </c>
      <c r="AQ99">
        <v>7.758</v>
      </c>
      <c r="AR99">
        <v>0.13600000000000001</v>
      </c>
      <c r="AS99">
        <v>1</v>
      </c>
      <c r="AT99">
        <v>0</v>
      </c>
      <c r="AU99">
        <v>64</v>
      </c>
    </row>
    <row r="100" spans="2:47" x14ac:dyDescent="0.25">
      <c r="B100" s="9">
        <v>87</v>
      </c>
      <c r="C100" s="35">
        <v>24500</v>
      </c>
      <c r="D100" s="3"/>
      <c r="E100" s="9">
        <f t="shared" si="12"/>
        <v>424</v>
      </c>
      <c r="F100" s="54">
        <f t="shared" si="21"/>
        <v>9389</v>
      </c>
      <c r="G100" s="73">
        <f t="shared" si="13"/>
        <v>1.214</v>
      </c>
      <c r="H100" s="56">
        <f t="shared" si="14"/>
        <v>0.66700000000000004</v>
      </c>
      <c r="I100" s="57">
        <f t="shared" si="15"/>
        <v>3126</v>
      </c>
      <c r="J100" s="58">
        <f t="shared" si="16"/>
        <v>9.4</v>
      </c>
      <c r="L100" s="31">
        <f t="shared" si="17"/>
        <v>5.6000000000000001E-2</v>
      </c>
      <c r="M100" s="32">
        <f t="shared" si="22"/>
        <v>1.276</v>
      </c>
      <c r="N100" s="32">
        <f t="shared" si="18"/>
        <v>0.46800000000000003</v>
      </c>
      <c r="O100" s="32">
        <f t="shared" si="19"/>
        <v>-5.0999999999999997E-2</v>
      </c>
      <c r="P100" s="32">
        <f t="shared" si="20"/>
        <v>9.9909999999999997</v>
      </c>
      <c r="Q100" s="33">
        <f t="shared" si="20"/>
        <v>1.6459999999999999</v>
      </c>
      <c r="AB100">
        <v>2</v>
      </c>
      <c r="AC100">
        <v>4</v>
      </c>
      <c r="AD100">
        <v>85</v>
      </c>
      <c r="AE100">
        <v>-1.2130000000000001</v>
      </c>
      <c r="AF100">
        <v>-1.2669999999999999</v>
      </c>
      <c r="AG100">
        <v>5.3999999999999999E-2</v>
      </c>
      <c r="AH100">
        <v>-5.0999999999999997E-2</v>
      </c>
      <c r="AI100">
        <v>0.46899999999999997</v>
      </c>
      <c r="AJ100">
        <v>10.497999999999999</v>
      </c>
      <c r="AK100">
        <v>1.5660000000000001</v>
      </c>
      <c r="AL100">
        <v>8.48</v>
      </c>
      <c r="AM100">
        <v>0.14899999999999999</v>
      </c>
      <c r="AN100">
        <v>10.616</v>
      </c>
      <c r="AO100">
        <v>9.2729999999999997</v>
      </c>
      <c r="AP100">
        <v>2E-3</v>
      </c>
      <c r="AQ100">
        <v>7.3440000000000003</v>
      </c>
      <c r="AR100">
        <v>0.129</v>
      </c>
      <c r="AS100">
        <v>1</v>
      </c>
      <c r="AT100">
        <v>0</v>
      </c>
      <c r="AU100">
        <v>64</v>
      </c>
    </row>
    <row r="101" spans="2:47" x14ac:dyDescent="0.25">
      <c r="B101" s="9">
        <v>88</v>
      </c>
      <c r="C101" s="35">
        <v>25000</v>
      </c>
      <c r="D101" s="3"/>
      <c r="E101" s="9">
        <f t="shared" si="12"/>
        <v>424</v>
      </c>
      <c r="F101" s="54">
        <f t="shared" si="21"/>
        <v>9548</v>
      </c>
      <c r="G101" s="73">
        <f t="shared" si="13"/>
        <v>1.214</v>
      </c>
      <c r="H101" s="56">
        <f t="shared" si="14"/>
        <v>0.66700000000000004</v>
      </c>
      <c r="I101" s="57">
        <f t="shared" si="15"/>
        <v>3139</v>
      </c>
      <c r="J101" s="58">
        <f t="shared" si="16"/>
        <v>9.8000000000000007</v>
      </c>
      <c r="L101" s="31">
        <f t="shared" si="17"/>
        <v>5.6000000000000001E-2</v>
      </c>
      <c r="M101" s="32">
        <f t="shared" si="22"/>
        <v>1.2969999999999999</v>
      </c>
      <c r="N101" s="32">
        <f t="shared" si="18"/>
        <v>0.46800000000000003</v>
      </c>
      <c r="O101" s="32">
        <f t="shared" si="19"/>
        <v>-5.0999999999999997E-2</v>
      </c>
      <c r="P101" s="32">
        <f t="shared" si="20"/>
        <v>10.019</v>
      </c>
      <c r="Q101" s="33">
        <f t="shared" si="20"/>
        <v>1.7310000000000001</v>
      </c>
      <c r="AB101">
        <v>2</v>
      </c>
      <c r="AC101">
        <v>4</v>
      </c>
      <c r="AD101">
        <v>86</v>
      </c>
      <c r="AE101">
        <v>-1.222</v>
      </c>
      <c r="AF101">
        <v>-1.276</v>
      </c>
      <c r="AG101">
        <v>5.3999999999999999E-2</v>
      </c>
      <c r="AH101">
        <v>-0.05</v>
      </c>
      <c r="AI101">
        <v>0.46800000000000003</v>
      </c>
      <c r="AJ101">
        <v>10.326000000000001</v>
      </c>
      <c r="AK101">
        <v>1.522</v>
      </c>
      <c r="AL101">
        <v>8.3919999999999995</v>
      </c>
      <c r="AM101">
        <v>0.14799999999999999</v>
      </c>
      <c r="AN101">
        <v>10.438000000000001</v>
      </c>
      <c r="AO101">
        <v>9.1820000000000004</v>
      </c>
      <c r="AP101">
        <v>2E-3</v>
      </c>
      <c r="AQ101">
        <v>7.3419999999999996</v>
      </c>
      <c r="AR101">
        <v>0.129</v>
      </c>
      <c r="AS101">
        <v>1</v>
      </c>
      <c r="AT101">
        <v>0</v>
      </c>
      <c r="AU101">
        <v>64</v>
      </c>
    </row>
    <row r="102" spans="2:47" x14ac:dyDescent="0.25">
      <c r="B102" s="9">
        <v>89</v>
      </c>
      <c r="C102" s="35">
        <v>25500</v>
      </c>
      <c r="D102" s="3"/>
      <c r="E102" s="9">
        <f t="shared" si="12"/>
        <v>409</v>
      </c>
      <c r="F102" s="54">
        <f t="shared" si="21"/>
        <v>9669</v>
      </c>
      <c r="G102" s="73">
        <f t="shared" si="13"/>
        <v>1.216</v>
      </c>
      <c r="H102" s="56">
        <f t="shared" si="14"/>
        <v>0.66800000000000004</v>
      </c>
      <c r="I102" s="57">
        <f t="shared" si="15"/>
        <v>3213</v>
      </c>
      <c r="J102" s="58">
        <f t="shared" si="16"/>
        <v>9.4</v>
      </c>
      <c r="L102" s="31">
        <f t="shared" si="17"/>
        <v>5.3999999999999999E-2</v>
      </c>
      <c r="M102" s="32">
        <f t="shared" si="22"/>
        <v>1.3129999999999999</v>
      </c>
      <c r="N102" s="32">
        <f t="shared" si="18"/>
        <v>0.46899999999999997</v>
      </c>
      <c r="O102" s="32">
        <f t="shared" si="19"/>
        <v>-5.0999999999999997E-2</v>
      </c>
      <c r="P102" s="32">
        <f t="shared" si="20"/>
        <v>10.266</v>
      </c>
      <c r="Q102" s="33">
        <f t="shared" si="20"/>
        <v>1.7010000000000001</v>
      </c>
      <c r="AB102">
        <v>2</v>
      </c>
      <c r="AC102">
        <v>4</v>
      </c>
      <c r="AD102">
        <v>87</v>
      </c>
      <c r="AE102">
        <v>-1.248</v>
      </c>
      <c r="AF102">
        <v>-1.304</v>
      </c>
      <c r="AG102">
        <v>5.6000000000000001E-2</v>
      </c>
      <c r="AH102">
        <v>-5.0999999999999997E-2</v>
      </c>
      <c r="AI102">
        <v>0.46800000000000003</v>
      </c>
      <c r="AJ102">
        <v>9.9909999999999997</v>
      </c>
      <c r="AK102">
        <v>1.6459999999999999</v>
      </c>
      <c r="AL102">
        <v>9.3550000000000004</v>
      </c>
      <c r="AM102">
        <v>0.16500000000000001</v>
      </c>
      <c r="AN102">
        <v>10.125999999999999</v>
      </c>
      <c r="AO102">
        <v>8.8490000000000002</v>
      </c>
      <c r="AP102">
        <v>3.0000000000000001E-3</v>
      </c>
      <c r="AQ102">
        <v>8.1080000000000005</v>
      </c>
      <c r="AR102">
        <v>0.14199999999999999</v>
      </c>
      <c r="AS102">
        <v>1</v>
      </c>
      <c r="AT102">
        <v>0</v>
      </c>
      <c r="AU102">
        <v>64</v>
      </c>
    </row>
    <row r="103" spans="2:47" x14ac:dyDescent="0.25">
      <c r="B103" s="9">
        <v>90</v>
      </c>
      <c r="C103" s="35">
        <v>26000</v>
      </c>
      <c r="D103" s="3"/>
      <c r="E103" s="9">
        <f t="shared" si="12"/>
        <v>386</v>
      </c>
      <c r="F103" s="54">
        <f t="shared" si="21"/>
        <v>9794</v>
      </c>
      <c r="G103" s="73">
        <f t="shared" si="13"/>
        <v>1.2110000000000001</v>
      </c>
      <c r="H103" s="56">
        <f t="shared" si="14"/>
        <v>0.66500000000000004</v>
      </c>
      <c r="I103" s="57">
        <f t="shared" si="15"/>
        <v>3234</v>
      </c>
      <c r="J103" s="58">
        <f t="shared" si="16"/>
        <v>9.8000000000000007</v>
      </c>
      <c r="L103" s="31">
        <f t="shared" si="17"/>
        <v>5.0999999999999997E-2</v>
      </c>
      <c r="M103" s="32">
        <f t="shared" si="22"/>
        <v>1.3295000000000001</v>
      </c>
      <c r="N103" s="32">
        <f t="shared" si="18"/>
        <v>0.46700000000000003</v>
      </c>
      <c r="O103" s="32">
        <f t="shared" si="19"/>
        <v>-5.0999999999999997E-2</v>
      </c>
      <c r="P103" s="32">
        <f t="shared" si="20"/>
        <v>10.321999999999999</v>
      </c>
      <c r="Q103" s="33">
        <f t="shared" si="20"/>
        <v>1.7789999999999999</v>
      </c>
      <c r="AB103">
        <v>2</v>
      </c>
      <c r="AC103">
        <v>4</v>
      </c>
      <c r="AD103">
        <v>88</v>
      </c>
      <c r="AE103">
        <v>-1.2689999999999999</v>
      </c>
      <c r="AF103">
        <v>-1.325</v>
      </c>
      <c r="AG103">
        <v>5.6000000000000001E-2</v>
      </c>
      <c r="AH103">
        <v>-5.0999999999999997E-2</v>
      </c>
      <c r="AI103">
        <v>0.46800000000000003</v>
      </c>
      <c r="AJ103">
        <v>10.019</v>
      </c>
      <c r="AK103">
        <v>1.7310000000000001</v>
      </c>
      <c r="AL103">
        <v>9.7970000000000006</v>
      </c>
      <c r="AM103">
        <v>0.17299999999999999</v>
      </c>
      <c r="AN103">
        <v>10.169</v>
      </c>
      <c r="AO103">
        <v>8.8490000000000002</v>
      </c>
      <c r="AP103">
        <v>3.0000000000000001E-3</v>
      </c>
      <c r="AQ103">
        <v>8.4930000000000003</v>
      </c>
      <c r="AR103">
        <v>0.14899999999999999</v>
      </c>
      <c r="AS103">
        <v>1</v>
      </c>
      <c r="AT103">
        <v>0</v>
      </c>
      <c r="AU103">
        <v>64</v>
      </c>
    </row>
    <row r="104" spans="2:47" x14ac:dyDescent="0.25">
      <c r="B104" s="9">
        <v>91</v>
      </c>
      <c r="C104" s="35">
        <v>26500</v>
      </c>
      <c r="D104" s="3"/>
      <c r="E104" s="9">
        <f t="shared" si="12"/>
        <v>417</v>
      </c>
      <c r="F104" s="54">
        <f t="shared" si="21"/>
        <v>9901</v>
      </c>
      <c r="G104" s="73">
        <f t="shared" si="13"/>
        <v>1.214</v>
      </c>
      <c r="H104" s="56">
        <f t="shared" si="14"/>
        <v>0.66700000000000004</v>
      </c>
      <c r="I104" s="57">
        <f t="shared" si="15"/>
        <v>3162</v>
      </c>
      <c r="J104" s="58">
        <f t="shared" si="16"/>
        <v>8.6999999999999993</v>
      </c>
      <c r="L104" s="31">
        <f t="shared" si="17"/>
        <v>5.5E-2</v>
      </c>
      <c r="M104" s="32">
        <f t="shared" si="22"/>
        <v>1.3435000000000001</v>
      </c>
      <c r="N104" s="32">
        <f t="shared" si="18"/>
        <v>0.46800000000000003</v>
      </c>
      <c r="O104" s="32">
        <f t="shared" si="19"/>
        <v>-5.0999999999999997E-2</v>
      </c>
      <c r="P104" s="32">
        <f t="shared" si="20"/>
        <v>10.124000000000001</v>
      </c>
      <c r="Q104" s="33">
        <f t="shared" si="20"/>
        <v>1.5569999999999999</v>
      </c>
      <c r="AB104">
        <v>2</v>
      </c>
      <c r="AC104">
        <v>4</v>
      </c>
      <c r="AD104">
        <v>89</v>
      </c>
      <c r="AE104">
        <v>-1.286</v>
      </c>
      <c r="AF104">
        <v>-1.341</v>
      </c>
      <c r="AG104">
        <v>5.3999999999999999E-2</v>
      </c>
      <c r="AH104">
        <v>-5.0999999999999997E-2</v>
      </c>
      <c r="AI104">
        <v>0.46899999999999997</v>
      </c>
      <c r="AJ104">
        <v>10.266</v>
      </c>
      <c r="AK104">
        <v>1.7010000000000001</v>
      </c>
      <c r="AL104">
        <v>9.4190000000000005</v>
      </c>
      <c r="AM104">
        <v>0.16600000000000001</v>
      </c>
      <c r="AN104">
        <v>10.407</v>
      </c>
      <c r="AO104">
        <v>9.2279999999999998</v>
      </c>
      <c r="AP104">
        <v>3.0000000000000001E-3</v>
      </c>
      <c r="AQ104">
        <v>8.2669999999999995</v>
      </c>
      <c r="AR104">
        <v>0.14499999999999999</v>
      </c>
      <c r="AS104">
        <v>1</v>
      </c>
      <c r="AT104">
        <v>0</v>
      </c>
      <c r="AU104">
        <v>64</v>
      </c>
    </row>
    <row r="105" spans="2:47" x14ac:dyDescent="0.25">
      <c r="B105" s="9">
        <v>92</v>
      </c>
      <c r="C105" s="35">
        <v>27000</v>
      </c>
      <c r="D105" s="3"/>
      <c r="E105" s="9">
        <f t="shared" si="12"/>
        <v>386</v>
      </c>
      <c r="F105" s="54">
        <f t="shared" si="21"/>
        <v>9999</v>
      </c>
      <c r="G105" s="73">
        <f t="shared" si="13"/>
        <v>1.214</v>
      </c>
      <c r="H105" s="56">
        <f t="shared" si="14"/>
        <v>0.66700000000000004</v>
      </c>
      <c r="I105" s="57">
        <f t="shared" si="15"/>
        <v>3243</v>
      </c>
      <c r="J105" s="58">
        <f t="shared" si="16"/>
        <v>8.4</v>
      </c>
      <c r="L105" s="31">
        <f t="shared" si="17"/>
        <v>5.0999999999999997E-2</v>
      </c>
      <c r="M105" s="32">
        <f t="shared" si="22"/>
        <v>1.3565</v>
      </c>
      <c r="N105" s="32">
        <f t="shared" si="18"/>
        <v>0.46800000000000003</v>
      </c>
      <c r="O105" s="32">
        <f t="shared" si="19"/>
        <v>-5.0999999999999997E-2</v>
      </c>
      <c r="P105" s="32">
        <f t="shared" si="20"/>
        <v>10.388999999999999</v>
      </c>
      <c r="Q105" s="33">
        <f t="shared" si="20"/>
        <v>1.5429999999999999</v>
      </c>
      <c r="AB105">
        <v>2</v>
      </c>
      <c r="AC105">
        <v>4</v>
      </c>
      <c r="AD105">
        <v>90</v>
      </c>
      <c r="AE105">
        <v>-1.304</v>
      </c>
      <c r="AF105">
        <v>-1.355</v>
      </c>
      <c r="AG105">
        <v>5.0999999999999997E-2</v>
      </c>
      <c r="AH105">
        <v>-5.0999999999999997E-2</v>
      </c>
      <c r="AI105">
        <v>0.46700000000000003</v>
      </c>
      <c r="AJ105">
        <v>10.321999999999999</v>
      </c>
      <c r="AK105">
        <v>1.7789999999999999</v>
      </c>
      <c r="AL105">
        <v>9.77</v>
      </c>
      <c r="AM105">
        <v>0.17199999999999999</v>
      </c>
      <c r="AN105">
        <v>10.475</v>
      </c>
      <c r="AO105">
        <v>9.423</v>
      </c>
      <c r="AP105">
        <v>3.0000000000000001E-3</v>
      </c>
      <c r="AQ105">
        <v>8.7089999999999996</v>
      </c>
      <c r="AR105">
        <v>0.153</v>
      </c>
      <c r="AS105">
        <v>1</v>
      </c>
      <c r="AT105">
        <v>0</v>
      </c>
      <c r="AU105">
        <v>64</v>
      </c>
    </row>
    <row r="106" spans="2:47" x14ac:dyDescent="0.25">
      <c r="B106" s="9">
        <v>93</v>
      </c>
      <c r="C106" s="35">
        <v>27500</v>
      </c>
      <c r="D106" s="3"/>
      <c r="E106" s="9">
        <f t="shared" si="12"/>
        <v>386</v>
      </c>
      <c r="F106" s="54">
        <f t="shared" si="21"/>
        <v>10090</v>
      </c>
      <c r="G106" s="73">
        <f t="shared" si="13"/>
        <v>1.2110000000000001</v>
      </c>
      <c r="H106" s="56">
        <f t="shared" si="14"/>
        <v>0.66500000000000004</v>
      </c>
      <c r="I106" s="57">
        <f t="shared" si="15"/>
        <v>3225</v>
      </c>
      <c r="J106" s="58">
        <f t="shared" si="16"/>
        <v>9.1999999999999993</v>
      </c>
      <c r="L106" s="31">
        <f t="shared" si="17"/>
        <v>5.0999999999999997E-2</v>
      </c>
      <c r="M106" s="32">
        <f t="shared" si="22"/>
        <v>1.3685</v>
      </c>
      <c r="N106" s="32">
        <f t="shared" si="18"/>
        <v>0.46700000000000003</v>
      </c>
      <c r="O106" s="32">
        <f t="shared" si="19"/>
        <v>-5.0999999999999997E-2</v>
      </c>
      <c r="P106" s="32">
        <f t="shared" si="20"/>
        <v>10.313000000000001</v>
      </c>
      <c r="Q106" s="33">
        <f t="shared" si="20"/>
        <v>1.6639999999999999</v>
      </c>
      <c r="AB106">
        <v>2</v>
      </c>
      <c r="AC106">
        <v>4</v>
      </c>
      <c r="AD106">
        <v>91</v>
      </c>
      <c r="AE106">
        <v>-1.3160000000000001</v>
      </c>
      <c r="AF106">
        <v>-1.371</v>
      </c>
      <c r="AG106">
        <v>5.5E-2</v>
      </c>
      <c r="AH106">
        <v>-5.0999999999999997E-2</v>
      </c>
      <c r="AI106">
        <v>0.46800000000000003</v>
      </c>
      <c r="AJ106">
        <v>10.124000000000001</v>
      </c>
      <c r="AK106">
        <v>1.5569999999999999</v>
      </c>
      <c r="AL106">
        <v>8.7430000000000003</v>
      </c>
      <c r="AM106">
        <v>0.154</v>
      </c>
      <c r="AN106">
        <v>10.244</v>
      </c>
      <c r="AO106">
        <v>8.9359999999999999</v>
      </c>
      <c r="AP106">
        <v>3.0000000000000001E-3</v>
      </c>
      <c r="AQ106">
        <v>7.53</v>
      </c>
      <c r="AR106">
        <v>0.13200000000000001</v>
      </c>
      <c r="AS106">
        <v>1</v>
      </c>
      <c r="AT106">
        <v>0</v>
      </c>
      <c r="AU106">
        <v>64</v>
      </c>
    </row>
    <row r="107" spans="2:47" x14ac:dyDescent="0.25">
      <c r="B107" s="9">
        <v>94</v>
      </c>
      <c r="C107" s="35">
        <v>28000</v>
      </c>
      <c r="D107" s="3"/>
      <c r="E107" s="9">
        <f t="shared" si="12"/>
        <v>424</v>
      </c>
      <c r="F107" s="54">
        <f t="shared" si="21"/>
        <v>10207</v>
      </c>
      <c r="G107" s="73">
        <f t="shared" si="13"/>
        <v>1.218</v>
      </c>
      <c r="H107" s="56">
        <f t="shared" si="14"/>
        <v>0.66800000000000004</v>
      </c>
      <c r="I107" s="57">
        <f t="shared" si="15"/>
        <v>3235</v>
      </c>
      <c r="J107" s="58">
        <f t="shared" si="16"/>
        <v>9.3000000000000007</v>
      </c>
      <c r="L107" s="31">
        <f t="shared" si="17"/>
        <v>5.6000000000000001E-2</v>
      </c>
      <c r="M107" s="32">
        <f t="shared" si="22"/>
        <v>1.3840000000000001</v>
      </c>
      <c r="N107" s="32">
        <f t="shared" si="18"/>
        <v>0.47099999999999997</v>
      </c>
      <c r="O107" s="32">
        <f t="shared" si="19"/>
        <v>-0.05</v>
      </c>
      <c r="P107" s="32">
        <f t="shared" si="20"/>
        <v>10.34</v>
      </c>
      <c r="Q107" s="33">
        <f t="shared" si="20"/>
        <v>1.6879999999999999</v>
      </c>
      <c r="AB107">
        <v>2</v>
      </c>
      <c r="AC107">
        <v>4</v>
      </c>
      <c r="AD107">
        <v>92</v>
      </c>
      <c r="AE107">
        <v>-1.331</v>
      </c>
      <c r="AF107">
        <v>-1.381</v>
      </c>
      <c r="AG107">
        <v>5.0999999999999997E-2</v>
      </c>
      <c r="AH107">
        <v>-5.0999999999999997E-2</v>
      </c>
      <c r="AI107">
        <v>0.46800000000000003</v>
      </c>
      <c r="AJ107">
        <v>10.388999999999999</v>
      </c>
      <c r="AK107">
        <v>1.5429999999999999</v>
      </c>
      <c r="AL107">
        <v>8.4489999999999998</v>
      </c>
      <c r="AM107">
        <v>0.14899999999999999</v>
      </c>
      <c r="AN107">
        <v>10.503</v>
      </c>
      <c r="AO107">
        <v>9.5060000000000002</v>
      </c>
      <c r="AP107">
        <v>2E-3</v>
      </c>
      <c r="AQ107">
        <v>7.6059999999999999</v>
      </c>
      <c r="AR107">
        <v>0.13400000000000001</v>
      </c>
      <c r="AS107">
        <v>1</v>
      </c>
      <c r="AT107">
        <v>0</v>
      </c>
      <c r="AU107">
        <v>64</v>
      </c>
    </row>
    <row r="108" spans="2:47" x14ac:dyDescent="0.25">
      <c r="B108" s="9">
        <v>95</v>
      </c>
      <c r="C108" s="35">
        <v>28500</v>
      </c>
      <c r="D108" s="3"/>
      <c r="E108" s="9">
        <f t="shared" si="12"/>
        <v>424</v>
      </c>
      <c r="F108" s="54">
        <f t="shared" si="21"/>
        <v>10298</v>
      </c>
      <c r="G108" s="73">
        <f t="shared" si="13"/>
        <v>1.2110000000000001</v>
      </c>
      <c r="H108" s="56">
        <f t="shared" si="14"/>
        <v>0.66500000000000004</v>
      </c>
      <c r="I108" s="57">
        <f t="shared" si="15"/>
        <v>3209</v>
      </c>
      <c r="J108" s="58">
        <f t="shared" si="16"/>
        <v>9.1</v>
      </c>
      <c r="L108" s="31">
        <f t="shared" si="17"/>
        <v>5.6000000000000001E-2</v>
      </c>
      <c r="M108" s="32">
        <f t="shared" si="22"/>
        <v>1.3960000000000001</v>
      </c>
      <c r="N108" s="32">
        <f t="shared" si="18"/>
        <v>0.46700000000000003</v>
      </c>
      <c r="O108" s="32">
        <f t="shared" si="19"/>
        <v>-5.0999999999999997E-2</v>
      </c>
      <c r="P108" s="32">
        <f t="shared" si="20"/>
        <v>10.263</v>
      </c>
      <c r="Q108" s="33">
        <f t="shared" si="20"/>
        <v>1.635</v>
      </c>
      <c r="AB108">
        <v>2</v>
      </c>
      <c r="AC108">
        <v>4</v>
      </c>
      <c r="AD108">
        <v>93</v>
      </c>
      <c r="AE108">
        <v>-1.343</v>
      </c>
      <c r="AF108">
        <v>-1.3939999999999999</v>
      </c>
      <c r="AG108">
        <v>5.0999999999999997E-2</v>
      </c>
      <c r="AH108">
        <v>-5.0999999999999997E-2</v>
      </c>
      <c r="AI108">
        <v>0.46700000000000003</v>
      </c>
      <c r="AJ108">
        <v>10.313000000000001</v>
      </c>
      <c r="AK108">
        <v>1.6639999999999999</v>
      </c>
      <c r="AL108">
        <v>9.1620000000000008</v>
      </c>
      <c r="AM108">
        <v>0.161</v>
      </c>
      <c r="AN108">
        <v>10.446</v>
      </c>
      <c r="AO108">
        <v>9.3719999999999999</v>
      </c>
      <c r="AP108">
        <v>3.0000000000000001E-3</v>
      </c>
      <c r="AQ108">
        <v>8.15</v>
      </c>
      <c r="AR108">
        <v>0.14299999999999999</v>
      </c>
      <c r="AS108">
        <v>1</v>
      </c>
      <c r="AT108">
        <v>0</v>
      </c>
      <c r="AU108">
        <v>64</v>
      </c>
    </row>
    <row r="109" spans="2:47" x14ac:dyDescent="0.25">
      <c r="B109" s="9">
        <v>96</v>
      </c>
      <c r="C109" s="35">
        <v>29000</v>
      </c>
      <c r="D109" s="3"/>
      <c r="E109" s="9">
        <f t="shared" si="12"/>
        <v>401</v>
      </c>
      <c r="F109" s="54">
        <f t="shared" si="21"/>
        <v>10400</v>
      </c>
      <c r="G109" s="73">
        <f t="shared" si="13"/>
        <v>1.214</v>
      </c>
      <c r="H109" s="56">
        <f t="shared" si="14"/>
        <v>0.66700000000000004</v>
      </c>
      <c r="I109" s="57">
        <f t="shared" si="15"/>
        <v>3203</v>
      </c>
      <c r="J109" s="58">
        <f t="shared" si="16"/>
        <v>9.1999999999999993</v>
      </c>
      <c r="L109" s="31">
        <f t="shared" si="17"/>
        <v>5.2999999999999999E-2</v>
      </c>
      <c r="M109" s="32">
        <f t="shared" si="22"/>
        <v>1.4095</v>
      </c>
      <c r="N109" s="32">
        <f t="shared" si="18"/>
        <v>0.46800000000000003</v>
      </c>
      <c r="O109" s="32">
        <f t="shared" si="19"/>
        <v>-5.0999999999999997E-2</v>
      </c>
      <c r="P109" s="32">
        <f t="shared" si="20"/>
        <v>10.242000000000001</v>
      </c>
      <c r="Q109" s="33">
        <f t="shared" si="20"/>
        <v>1.6519999999999999</v>
      </c>
      <c r="AB109">
        <v>2</v>
      </c>
      <c r="AC109">
        <v>4</v>
      </c>
      <c r="AD109">
        <v>94</v>
      </c>
      <c r="AE109">
        <v>-1.3560000000000001</v>
      </c>
      <c r="AF109">
        <v>-1.411</v>
      </c>
      <c r="AG109">
        <v>5.6000000000000001E-2</v>
      </c>
      <c r="AH109">
        <v>-0.05</v>
      </c>
      <c r="AI109">
        <v>0.47099999999999997</v>
      </c>
      <c r="AJ109">
        <v>10.34</v>
      </c>
      <c r="AK109">
        <v>1.6879999999999999</v>
      </c>
      <c r="AL109">
        <v>9.27</v>
      </c>
      <c r="AM109">
        <v>0.16300000000000001</v>
      </c>
      <c r="AN109">
        <v>10.477</v>
      </c>
      <c r="AO109">
        <v>8.9540000000000006</v>
      </c>
      <c r="AP109">
        <v>3.0000000000000001E-3</v>
      </c>
      <c r="AQ109">
        <v>7.7910000000000004</v>
      </c>
      <c r="AR109">
        <v>0.13700000000000001</v>
      </c>
      <c r="AS109">
        <v>1</v>
      </c>
      <c r="AT109">
        <v>0</v>
      </c>
      <c r="AU109">
        <v>64</v>
      </c>
    </row>
    <row r="110" spans="2:47" x14ac:dyDescent="0.25">
      <c r="B110" s="9">
        <v>97</v>
      </c>
      <c r="C110" s="35">
        <v>29500</v>
      </c>
      <c r="D110" s="3"/>
      <c r="E110" s="9">
        <f t="shared" si="12"/>
        <v>401</v>
      </c>
      <c r="F110" s="54">
        <f t="shared" si="21"/>
        <v>10484</v>
      </c>
      <c r="G110" s="73">
        <f t="shared" si="13"/>
        <v>1.214</v>
      </c>
      <c r="H110" s="56">
        <f t="shared" si="14"/>
        <v>0.66700000000000004</v>
      </c>
      <c r="I110" s="57">
        <f t="shared" si="15"/>
        <v>3229</v>
      </c>
      <c r="J110" s="58">
        <f t="shared" si="16"/>
        <v>9.6</v>
      </c>
      <c r="L110" s="31">
        <f t="shared" si="17"/>
        <v>5.2999999999999999E-2</v>
      </c>
      <c r="M110" s="32">
        <f t="shared" si="22"/>
        <v>1.4204999999999999</v>
      </c>
      <c r="N110" s="32">
        <f t="shared" si="18"/>
        <v>0.46800000000000003</v>
      </c>
      <c r="O110" s="32">
        <f t="shared" si="19"/>
        <v>-5.0999999999999997E-2</v>
      </c>
      <c r="P110" s="32">
        <f t="shared" ref="P110:Q141" si="23">IF(AJ112="","",AJ112)</f>
        <v>10.311</v>
      </c>
      <c r="Q110" s="33">
        <f t="shared" si="23"/>
        <v>1.748</v>
      </c>
      <c r="AB110">
        <v>2</v>
      </c>
      <c r="AC110">
        <v>4</v>
      </c>
      <c r="AD110">
        <v>95</v>
      </c>
      <c r="AE110">
        <v>-1.3680000000000001</v>
      </c>
      <c r="AF110">
        <v>-1.423</v>
      </c>
      <c r="AG110">
        <v>5.6000000000000001E-2</v>
      </c>
      <c r="AH110">
        <v>-5.0999999999999997E-2</v>
      </c>
      <c r="AI110">
        <v>0.46700000000000003</v>
      </c>
      <c r="AJ110">
        <v>10.263</v>
      </c>
      <c r="AK110">
        <v>1.635</v>
      </c>
      <c r="AL110">
        <v>9.0519999999999996</v>
      </c>
      <c r="AM110">
        <v>0.159</v>
      </c>
      <c r="AN110">
        <v>10.393000000000001</v>
      </c>
      <c r="AO110">
        <v>9.0060000000000002</v>
      </c>
      <c r="AP110">
        <v>3.0000000000000001E-3</v>
      </c>
      <c r="AQ110">
        <v>7.8170000000000002</v>
      </c>
      <c r="AR110">
        <v>0.13700000000000001</v>
      </c>
      <c r="AS110">
        <v>1</v>
      </c>
      <c r="AT110">
        <v>0</v>
      </c>
      <c r="AU110">
        <v>64</v>
      </c>
    </row>
    <row r="111" spans="2:47" x14ac:dyDescent="0.25">
      <c r="B111" s="9">
        <v>98</v>
      </c>
      <c r="C111" s="35">
        <v>30000</v>
      </c>
      <c r="D111" s="3"/>
      <c r="E111" s="9">
        <f t="shared" si="12"/>
        <v>401</v>
      </c>
      <c r="F111" s="54">
        <f t="shared" si="21"/>
        <v>10582</v>
      </c>
      <c r="G111" s="73">
        <f t="shared" si="13"/>
        <v>1.2110000000000001</v>
      </c>
      <c r="H111" s="56">
        <f t="shared" si="14"/>
        <v>0.66400000000000003</v>
      </c>
      <c r="I111" s="57">
        <f t="shared" si="15"/>
        <v>3193</v>
      </c>
      <c r="J111" s="58">
        <f t="shared" si="16"/>
        <v>9.6</v>
      </c>
      <c r="L111" s="31">
        <f t="shared" si="17"/>
        <v>5.2999999999999999E-2</v>
      </c>
      <c r="M111" s="32">
        <f t="shared" si="22"/>
        <v>1.4335</v>
      </c>
      <c r="N111" s="32">
        <f t="shared" si="18"/>
        <v>0.46800000000000003</v>
      </c>
      <c r="O111" s="32">
        <f t="shared" si="19"/>
        <v>-0.05</v>
      </c>
      <c r="P111" s="32">
        <f t="shared" si="23"/>
        <v>10.196999999999999</v>
      </c>
      <c r="Q111" s="33">
        <f t="shared" si="23"/>
        <v>1.728</v>
      </c>
      <c r="AB111">
        <v>2</v>
      </c>
      <c r="AC111">
        <v>4</v>
      </c>
      <c r="AD111">
        <v>96</v>
      </c>
      <c r="AE111">
        <v>-1.383</v>
      </c>
      <c r="AF111">
        <v>-1.4359999999999999</v>
      </c>
      <c r="AG111">
        <v>5.2999999999999999E-2</v>
      </c>
      <c r="AH111">
        <v>-5.0999999999999997E-2</v>
      </c>
      <c r="AI111">
        <v>0.46800000000000003</v>
      </c>
      <c r="AJ111">
        <v>10.242000000000001</v>
      </c>
      <c r="AK111">
        <v>1.6519999999999999</v>
      </c>
      <c r="AL111">
        <v>9.1579999999999995</v>
      </c>
      <c r="AM111">
        <v>0.161</v>
      </c>
      <c r="AN111">
        <v>10.375</v>
      </c>
      <c r="AO111">
        <v>9.173</v>
      </c>
      <c r="AP111">
        <v>3.0000000000000001E-3</v>
      </c>
      <c r="AQ111">
        <v>7.976</v>
      </c>
      <c r="AR111">
        <v>0.14000000000000001</v>
      </c>
      <c r="AS111">
        <v>1</v>
      </c>
      <c r="AT111">
        <v>0</v>
      </c>
      <c r="AU111">
        <v>64</v>
      </c>
    </row>
    <row r="112" spans="2:47" x14ac:dyDescent="0.25">
      <c r="B112" s="9">
        <v>99</v>
      </c>
      <c r="C112" s="35">
        <v>30500</v>
      </c>
      <c r="D112" s="3"/>
      <c r="E112" s="9">
        <f t="shared" si="12"/>
        <v>409</v>
      </c>
      <c r="F112" s="54">
        <f t="shared" si="21"/>
        <v>10677</v>
      </c>
      <c r="G112" s="73">
        <f t="shared" si="13"/>
        <v>1.214</v>
      </c>
      <c r="H112" s="56">
        <f t="shared" si="14"/>
        <v>0.66700000000000004</v>
      </c>
      <c r="I112" s="57">
        <f t="shared" si="15"/>
        <v>3186</v>
      </c>
      <c r="J112" s="58">
        <f t="shared" si="16"/>
        <v>8.5</v>
      </c>
      <c r="L112" s="31">
        <f t="shared" si="17"/>
        <v>5.3999999999999999E-2</v>
      </c>
      <c r="M112" s="32">
        <f t="shared" si="22"/>
        <v>1.446</v>
      </c>
      <c r="N112" s="32">
        <f t="shared" si="18"/>
        <v>0.46800000000000003</v>
      </c>
      <c r="O112" s="32">
        <f t="shared" si="19"/>
        <v>-5.0999999999999997E-2</v>
      </c>
      <c r="P112" s="32">
        <f t="shared" si="23"/>
        <v>10.206</v>
      </c>
      <c r="Q112" s="33">
        <f t="shared" si="23"/>
        <v>1.518</v>
      </c>
      <c r="AB112">
        <v>2</v>
      </c>
      <c r="AC112">
        <v>4</v>
      </c>
      <c r="AD112">
        <v>97</v>
      </c>
      <c r="AE112">
        <v>-1.3939999999999999</v>
      </c>
      <c r="AF112">
        <v>-1.4470000000000001</v>
      </c>
      <c r="AG112">
        <v>5.2999999999999999E-2</v>
      </c>
      <c r="AH112">
        <v>-5.0999999999999997E-2</v>
      </c>
      <c r="AI112">
        <v>0.46800000000000003</v>
      </c>
      <c r="AJ112">
        <v>10.311</v>
      </c>
      <c r="AK112">
        <v>1.748</v>
      </c>
      <c r="AL112">
        <v>9.6210000000000004</v>
      </c>
      <c r="AM112">
        <v>0.17</v>
      </c>
      <c r="AN112">
        <v>10.458</v>
      </c>
      <c r="AO112">
        <v>9.1880000000000006</v>
      </c>
      <c r="AP112">
        <v>3.0000000000000001E-3</v>
      </c>
      <c r="AQ112">
        <v>8.36</v>
      </c>
      <c r="AR112">
        <v>0.14699999999999999</v>
      </c>
      <c r="AS112">
        <v>1</v>
      </c>
      <c r="AT112">
        <v>0</v>
      </c>
      <c r="AU112">
        <v>64</v>
      </c>
    </row>
    <row r="113" spans="2:47" x14ac:dyDescent="0.25">
      <c r="B113" s="9">
        <v>100</v>
      </c>
      <c r="C113" s="35">
        <v>31000</v>
      </c>
      <c r="D113" s="3"/>
      <c r="E113" s="9">
        <f t="shared" si="12"/>
        <v>401</v>
      </c>
      <c r="F113" s="54">
        <f t="shared" si="21"/>
        <v>10772</v>
      </c>
      <c r="G113" s="73">
        <f t="shared" si="13"/>
        <v>1.216</v>
      </c>
      <c r="H113" s="56">
        <f t="shared" si="14"/>
        <v>0.66900000000000004</v>
      </c>
      <c r="I113" s="57">
        <f t="shared" si="15"/>
        <v>3233</v>
      </c>
      <c r="J113" s="58">
        <f t="shared" si="16"/>
        <v>8.5</v>
      </c>
      <c r="L113" s="31">
        <f t="shared" si="17"/>
        <v>5.2999999999999999E-2</v>
      </c>
      <c r="M113" s="32">
        <f t="shared" si="22"/>
        <v>1.4584999999999999</v>
      </c>
      <c r="N113" s="32">
        <f t="shared" si="18"/>
        <v>0.46800000000000003</v>
      </c>
      <c r="O113" s="32">
        <f t="shared" si="19"/>
        <v>-5.1999999999999998E-2</v>
      </c>
      <c r="P113" s="32">
        <f t="shared" si="23"/>
        <v>10.356999999999999</v>
      </c>
      <c r="Q113" s="33">
        <f t="shared" si="23"/>
        <v>1.5469999999999999</v>
      </c>
      <c r="AB113">
        <v>2</v>
      </c>
      <c r="AC113">
        <v>4</v>
      </c>
      <c r="AD113">
        <v>98</v>
      </c>
      <c r="AE113">
        <v>-1.407</v>
      </c>
      <c r="AF113">
        <v>-1.46</v>
      </c>
      <c r="AG113">
        <v>5.2999999999999999E-2</v>
      </c>
      <c r="AH113">
        <v>-0.05</v>
      </c>
      <c r="AI113">
        <v>0.46800000000000003</v>
      </c>
      <c r="AJ113">
        <v>10.196999999999999</v>
      </c>
      <c r="AK113">
        <v>1.728</v>
      </c>
      <c r="AL113">
        <v>9.6210000000000004</v>
      </c>
      <c r="AM113">
        <v>0.17</v>
      </c>
      <c r="AN113">
        <v>10.343</v>
      </c>
      <c r="AO113">
        <v>9.0540000000000003</v>
      </c>
      <c r="AP113">
        <v>3.0000000000000001E-3</v>
      </c>
      <c r="AQ113">
        <v>8.375</v>
      </c>
      <c r="AR113">
        <v>0.14699999999999999</v>
      </c>
      <c r="AS113">
        <v>1</v>
      </c>
      <c r="AT113">
        <v>0</v>
      </c>
      <c r="AU113">
        <v>64</v>
      </c>
    </row>
    <row r="114" spans="2:47" x14ac:dyDescent="0.25">
      <c r="B114" s="9">
        <v>101</v>
      </c>
      <c r="C114" s="35">
        <v>31500</v>
      </c>
      <c r="D114" s="3"/>
      <c r="E114" s="9">
        <f t="shared" si="12"/>
        <v>417</v>
      </c>
      <c r="F114" s="54">
        <f t="shared" si="21"/>
        <v>10878</v>
      </c>
      <c r="G114" s="73">
        <f t="shared" si="13"/>
        <v>1.214</v>
      </c>
      <c r="H114" s="56">
        <f t="shared" si="14"/>
        <v>0.66700000000000004</v>
      </c>
      <c r="I114" s="57">
        <f t="shared" si="15"/>
        <v>3210</v>
      </c>
      <c r="J114" s="58">
        <f t="shared" si="16"/>
        <v>9.1999999999999993</v>
      </c>
      <c r="L114" s="31">
        <f t="shared" si="17"/>
        <v>5.5E-2</v>
      </c>
      <c r="M114" s="32">
        <f t="shared" si="22"/>
        <v>1.4725000000000001</v>
      </c>
      <c r="N114" s="32">
        <f t="shared" si="18"/>
        <v>0.46800000000000003</v>
      </c>
      <c r="O114" s="32">
        <f t="shared" si="19"/>
        <v>-5.0999999999999997E-2</v>
      </c>
      <c r="P114" s="32">
        <f t="shared" si="23"/>
        <v>10.260999999999999</v>
      </c>
      <c r="Q114" s="33">
        <f t="shared" si="23"/>
        <v>1.67</v>
      </c>
      <c r="AB114">
        <v>2</v>
      </c>
      <c r="AC114">
        <v>4</v>
      </c>
      <c r="AD114">
        <v>99</v>
      </c>
      <c r="AE114">
        <v>-1.419</v>
      </c>
      <c r="AF114">
        <v>-1.4730000000000001</v>
      </c>
      <c r="AG114">
        <v>5.3999999999999999E-2</v>
      </c>
      <c r="AH114">
        <v>-5.0999999999999997E-2</v>
      </c>
      <c r="AI114">
        <v>0.46800000000000003</v>
      </c>
      <c r="AJ114">
        <v>10.206</v>
      </c>
      <c r="AK114">
        <v>1.518</v>
      </c>
      <c r="AL114">
        <v>8.4559999999999995</v>
      </c>
      <c r="AM114">
        <v>0.14899999999999999</v>
      </c>
      <c r="AN114">
        <v>10.319000000000001</v>
      </c>
      <c r="AO114">
        <v>8.9809999999999999</v>
      </c>
      <c r="AP114">
        <v>2E-3</v>
      </c>
      <c r="AQ114">
        <v>7.218</v>
      </c>
      <c r="AR114">
        <v>0.127</v>
      </c>
      <c r="AS114">
        <v>1</v>
      </c>
      <c r="AT114">
        <v>0</v>
      </c>
      <c r="AU114">
        <v>64</v>
      </c>
    </row>
    <row r="115" spans="2:47" x14ac:dyDescent="0.25">
      <c r="B115" s="9">
        <v>102</v>
      </c>
      <c r="C115" s="35">
        <v>32000</v>
      </c>
      <c r="D115" s="3"/>
      <c r="E115" s="9">
        <f t="shared" si="12"/>
        <v>386</v>
      </c>
      <c r="F115" s="54">
        <f t="shared" si="21"/>
        <v>10991</v>
      </c>
      <c r="G115" s="73">
        <f t="shared" si="13"/>
        <v>1.216</v>
      </c>
      <c r="H115" s="56">
        <f t="shared" si="14"/>
        <v>0.66800000000000004</v>
      </c>
      <c r="I115" s="57">
        <f t="shared" si="15"/>
        <v>3229</v>
      </c>
      <c r="J115" s="58">
        <f t="shared" si="16"/>
        <v>9.1</v>
      </c>
      <c r="L115" s="31">
        <f t="shared" si="17"/>
        <v>5.0999999999999997E-2</v>
      </c>
      <c r="M115" s="32">
        <f t="shared" si="22"/>
        <v>1.4875</v>
      </c>
      <c r="N115" s="32">
        <f t="shared" si="18"/>
        <v>0.46899999999999997</v>
      </c>
      <c r="O115" s="32">
        <f t="shared" si="19"/>
        <v>-5.0999999999999997E-2</v>
      </c>
      <c r="P115" s="32">
        <f t="shared" si="23"/>
        <v>10.326000000000001</v>
      </c>
      <c r="Q115" s="33">
        <f t="shared" si="23"/>
        <v>1.651</v>
      </c>
      <c r="AB115">
        <v>2</v>
      </c>
      <c r="AC115">
        <v>4</v>
      </c>
      <c r="AD115">
        <v>100</v>
      </c>
      <c r="AE115">
        <v>-1.4319999999999999</v>
      </c>
      <c r="AF115">
        <v>-1.4850000000000001</v>
      </c>
      <c r="AG115">
        <v>5.2999999999999999E-2</v>
      </c>
      <c r="AH115">
        <v>-5.1999999999999998E-2</v>
      </c>
      <c r="AI115">
        <v>0.46800000000000003</v>
      </c>
      <c r="AJ115">
        <v>10.356999999999999</v>
      </c>
      <c r="AK115">
        <v>1.5469999999999999</v>
      </c>
      <c r="AL115">
        <v>8.4939999999999998</v>
      </c>
      <c r="AM115">
        <v>0.14899999999999999</v>
      </c>
      <c r="AN115">
        <v>10.473000000000001</v>
      </c>
      <c r="AO115">
        <v>9.2449999999999992</v>
      </c>
      <c r="AP115">
        <v>2E-3</v>
      </c>
      <c r="AQ115">
        <v>7.44</v>
      </c>
      <c r="AR115">
        <v>0.13100000000000001</v>
      </c>
      <c r="AS115">
        <v>1</v>
      </c>
      <c r="AT115">
        <v>0</v>
      </c>
      <c r="AU115">
        <v>64</v>
      </c>
    </row>
    <row r="116" spans="2:47" x14ac:dyDescent="0.25">
      <c r="B116" s="9">
        <v>103</v>
      </c>
      <c r="C116" s="35">
        <v>32500</v>
      </c>
      <c r="D116" s="3"/>
      <c r="E116" s="9">
        <f t="shared" si="12"/>
        <v>401</v>
      </c>
      <c r="F116" s="54">
        <f t="shared" si="21"/>
        <v>11060</v>
      </c>
      <c r="G116" s="73">
        <f t="shared" si="13"/>
        <v>1.2110000000000001</v>
      </c>
      <c r="H116" s="56">
        <f t="shared" si="14"/>
        <v>0.66400000000000003</v>
      </c>
      <c r="I116" s="57">
        <f t="shared" si="15"/>
        <v>3203</v>
      </c>
      <c r="J116" s="58">
        <f t="shared" si="16"/>
        <v>9</v>
      </c>
      <c r="L116" s="31">
        <f t="shared" si="17"/>
        <v>5.2999999999999999E-2</v>
      </c>
      <c r="M116" s="32">
        <f t="shared" si="22"/>
        <v>1.4964999999999999</v>
      </c>
      <c r="N116" s="32">
        <f t="shared" si="18"/>
        <v>0.46800000000000003</v>
      </c>
      <c r="O116" s="32">
        <f t="shared" si="19"/>
        <v>-0.05</v>
      </c>
      <c r="P116" s="32">
        <f t="shared" si="23"/>
        <v>10.247</v>
      </c>
      <c r="Q116" s="33">
        <f t="shared" si="23"/>
        <v>1.63</v>
      </c>
      <c r="AB116">
        <v>2</v>
      </c>
      <c r="AC116">
        <v>4</v>
      </c>
      <c r="AD116">
        <v>101</v>
      </c>
      <c r="AE116">
        <v>-1.4450000000000001</v>
      </c>
      <c r="AF116">
        <v>-1.5</v>
      </c>
      <c r="AG116">
        <v>5.5E-2</v>
      </c>
      <c r="AH116">
        <v>-5.0999999999999997E-2</v>
      </c>
      <c r="AI116">
        <v>0.46800000000000003</v>
      </c>
      <c r="AJ116">
        <v>10.260999999999999</v>
      </c>
      <c r="AK116">
        <v>1.67</v>
      </c>
      <c r="AL116">
        <v>9.2409999999999997</v>
      </c>
      <c r="AM116">
        <v>0.16300000000000001</v>
      </c>
      <c r="AN116">
        <v>10.396000000000001</v>
      </c>
      <c r="AO116">
        <v>8.9190000000000005</v>
      </c>
      <c r="AP116">
        <v>3.0000000000000001E-3</v>
      </c>
      <c r="AQ116">
        <v>7.8710000000000004</v>
      </c>
      <c r="AR116">
        <v>0.13800000000000001</v>
      </c>
      <c r="AS116">
        <v>1</v>
      </c>
      <c r="AT116">
        <v>0</v>
      </c>
      <c r="AU116">
        <v>64</v>
      </c>
    </row>
    <row r="117" spans="2:47" x14ac:dyDescent="0.25">
      <c r="B117" s="9">
        <v>104</v>
      </c>
      <c r="C117" s="35">
        <v>33000</v>
      </c>
      <c r="D117" s="3"/>
      <c r="E117" s="9">
        <f t="shared" si="12"/>
        <v>401</v>
      </c>
      <c r="F117" s="54">
        <f t="shared" si="21"/>
        <v>11158</v>
      </c>
      <c r="G117" s="73">
        <f t="shared" si="13"/>
        <v>1.214</v>
      </c>
      <c r="H117" s="56">
        <f t="shared" si="14"/>
        <v>0.66700000000000004</v>
      </c>
      <c r="I117" s="57">
        <f t="shared" si="15"/>
        <v>3188</v>
      </c>
      <c r="J117" s="58">
        <f t="shared" si="16"/>
        <v>9.3000000000000007</v>
      </c>
      <c r="L117" s="31">
        <f t="shared" si="17"/>
        <v>5.2999999999999999E-2</v>
      </c>
      <c r="M117" s="32">
        <f t="shared" si="22"/>
        <v>1.5095000000000001</v>
      </c>
      <c r="N117" s="32">
        <f t="shared" si="18"/>
        <v>0.46800000000000003</v>
      </c>
      <c r="O117" s="32">
        <f t="shared" si="19"/>
        <v>-5.0999999999999997E-2</v>
      </c>
      <c r="P117" s="32">
        <f t="shared" si="23"/>
        <v>10.19</v>
      </c>
      <c r="Q117" s="33">
        <f t="shared" si="23"/>
        <v>1.6619999999999999</v>
      </c>
      <c r="AB117">
        <v>2</v>
      </c>
      <c r="AC117">
        <v>4</v>
      </c>
      <c r="AD117">
        <v>102</v>
      </c>
      <c r="AE117">
        <v>-1.462</v>
      </c>
      <c r="AF117">
        <v>-1.5129999999999999</v>
      </c>
      <c r="AG117">
        <v>5.0999999999999997E-2</v>
      </c>
      <c r="AH117">
        <v>-5.0999999999999997E-2</v>
      </c>
      <c r="AI117">
        <v>0.46899999999999997</v>
      </c>
      <c r="AJ117">
        <v>10.326000000000001</v>
      </c>
      <c r="AK117">
        <v>1.651</v>
      </c>
      <c r="AL117">
        <v>9.0860000000000003</v>
      </c>
      <c r="AM117">
        <v>0.16</v>
      </c>
      <c r="AN117">
        <v>10.458</v>
      </c>
      <c r="AO117">
        <v>9.3940000000000001</v>
      </c>
      <c r="AP117">
        <v>3.0000000000000001E-3</v>
      </c>
      <c r="AQ117">
        <v>8.0860000000000003</v>
      </c>
      <c r="AR117">
        <v>0.14199999999999999</v>
      </c>
      <c r="AS117">
        <v>1</v>
      </c>
      <c r="AT117">
        <v>0</v>
      </c>
      <c r="AU117">
        <v>64</v>
      </c>
    </row>
    <row r="118" spans="2:47" x14ac:dyDescent="0.25">
      <c r="B118" s="9">
        <v>105</v>
      </c>
      <c r="C118" s="35">
        <v>33500</v>
      </c>
      <c r="D118" s="3"/>
      <c r="E118" s="9">
        <f t="shared" si="12"/>
        <v>394</v>
      </c>
      <c r="F118" s="54">
        <f t="shared" si="21"/>
        <v>11268</v>
      </c>
      <c r="G118" s="73">
        <f t="shared" si="13"/>
        <v>1.216</v>
      </c>
      <c r="H118" s="56">
        <f t="shared" si="14"/>
        <v>0.66800000000000004</v>
      </c>
      <c r="I118" s="57">
        <f t="shared" si="15"/>
        <v>3202</v>
      </c>
      <c r="J118" s="58">
        <f t="shared" si="16"/>
        <v>9.3000000000000007</v>
      </c>
      <c r="L118" s="31">
        <f t="shared" si="17"/>
        <v>5.1999999999999998E-2</v>
      </c>
      <c r="M118" s="32">
        <f t="shared" si="22"/>
        <v>1.524</v>
      </c>
      <c r="N118" s="32">
        <f t="shared" si="18"/>
        <v>0.46899999999999997</v>
      </c>
      <c r="O118" s="32">
        <f t="shared" si="19"/>
        <v>-5.0999999999999997E-2</v>
      </c>
      <c r="P118" s="32">
        <f t="shared" si="23"/>
        <v>10.236000000000001</v>
      </c>
      <c r="Q118" s="33">
        <f t="shared" si="23"/>
        <v>1.679</v>
      </c>
      <c r="AB118">
        <v>2</v>
      </c>
      <c r="AC118">
        <v>4</v>
      </c>
      <c r="AD118">
        <v>103</v>
      </c>
      <c r="AE118">
        <v>-1.47</v>
      </c>
      <c r="AF118">
        <v>-1.5229999999999999</v>
      </c>
      <c r="AG118">
        <v>5.2999999999999999E-2</v>
      </c>
      <c r="AH118">
        <v>-0.05</v>
      </c>
      <c r="AI118">
        <v>0.46800000000000003</v>
      </c>
      <c r="AJ118">
        <v>10.247</v>
      </c>
      <c r="AK118">
        <v>1.63</v>
      </c>
      <c r="AL118">
        <v>9.0380000000000003</v>
      </c>
      <c r="AM118">
        <v>0.159</v>
      </c>
      <c r="AN118">
        <v>10.375999999999999</v>
      </c>
      <c r="AO118">
        <v>9.3040000000000003</v>
      </c>
      <c r="AP118">
        <v>3.0000000000000001E-3</v>
      </c>
      <c r="AQ118">
        <v>8.0399999999999991</v>
      </c>
      <c r="AR118">
        <v>0.14099999999999999</v>
      </c>
      <c r="AS118">
        <v>1</v>
      </c>
      <c r="AT118">
        <v>0</v>
      </c>
      <c r="AU118">
        <v>64</v>
      </c>
    </row>
    <row r="119" spans="2:47" x14ac:dyDescent="0.25">
      <c r="B119" s="9">
        <v>106</v>
      </c>
      <c r="C119" s="35">
        <v>34000</v>
      </c>
      <c r="D119" s="3"/>
      <c r="E119" s="9">
        <f t="shared" si="12"/>
        <v>401</v>
      </c>
      <c r="F119" s="54">
        <f t="shared" si="21"/>
        <v>11347</v>
      </c>
      <c r="G119" s="73">
        <f t="shared" si="13"/>
        <v>1.2110000000000001</v>
      </c>
      <c r="H119" s="56">
        <f t="shared" si="14"/>
        <v>0.66400000000000003</v>
      </c>
      <c r="I119" s="57">
        <f t="shared" si="15"/>
        <v>3207</v>
      </c>
      <c r="J119" s="58">
        <f t="shared" si="16"/>
        <v>9.5</v>
      </c>
      <c r="L119" s="31">
        <f t="shared" si="17"/>
        <v>5.2999999999999999E-2</v>
      </c>
      <c r="M119" s="32">
        <f t="shared" si="22"/>
        <v>1.5345</v>
      </c>
      <c r="N119" s="32">
        <f t="shared" si="18"/>
        <v>0.46800000000000003</v>
      </c>
      <c r="O119" s="32">
        <f t="shared" si="19"/>
        <v>-0.05</v>
      </c>
      <c r="P119" s="32">
        <f t="shared" si="23"/>
        <v>10.246</v>
      </c>
      <c r="Q119" s="33">
        <f t="shared" si="23"/>
        <v>1.7090000000000001</v>
      </c>
      <c r="AB119">
        <v>2</v>
      </c>
      <c r="AC119">
        <v>4</v>
      </c>
      <c r="AD119">
        <v>104</v>
      </c>
      <c r="AE119">
        <v>-1.4830000000000001</v>
      </c>
      <c r="AF119">
        <v>-1.536</v>
      </c>
      <c r="AG119">
        <v>5.2999999999999999E-2</v>
      </c>
      <c r="AH119">
        <v>-5.0999999999999997E-2</v>
      </c>
      <c r="AI119">
        <v>0.46800000000000003</v>
      </c>
      <c r="AJ119">
        <v>10.19</v>
      </c>
      <c r="AK119">
        <v>1.6619999999999999</v>
      </c>
      <c r="AL119">
        <v>9.2690000000000001</v>
      </c>
      <c r="AM119">
        <v>0.16300000000000001</v>
      </c>
      <c r="AN119">
        <v>10.324999999999999</v>
      </c>
      <c r="AO119">
        <v>9.2100000000000009</v>
      </c>
      <c r="AP119">
        <v>3.0000000000000001E-3</v>
      </c>
      <c r="AQ119">
        <v>8.18</v>
      </c>
      <c r="AR119">
        <v>0.14399999999999999</v>
      </c>
      <c r="AS119">
        <v>1</v>
      </c>
      <c r="AT119">
        <v>0</v>
      </c>
      <c r="AU119">
        <v>64</v>
      </c>
    </row>
    <row r="120" spans="2:47" x14ac:dyDescent="0.25">
      <c r="B120" s="9">
        <v>107</v>
      </c>
      <c r="C120" s="35">
        <v>34500</v>
      </c>
      <c r="D120" s="3"/>
      <c r="E120" s="9">
        <f t="shared" si="12"/>
        <v>409</v>
      </c>
      <c r="F120" s="54">
        <f t="shared" si="21"/>
        <v>11434</v>
      </c>
      <c r="G120" s="73">
        <f t="shared" si="13"/>
        <v>1.214</v>
      </c>
      <c r="H120" s="56">
        <f t="shared" si="14"/>
        <v>0.66700000000000004</v>
      </c>
      <c r="I120" s="57">
        <f t="shared" si="15"/>
        <v>3175</v>
      </c>
      <c r="J120" s="58">
        <f t="shared" si="16"/>
        <v>9.1999999999999993</v>
      </c>
      <c r="L120" s="31">
        <f t="shared" si="17"/>
        <v>5.3999999999999999E-2</v>
      </c>
      <c r="M120" s="32">
        <f t="shared" si="22"/>
        <v>1.5459999999999998</v>
      </c>
      <c r="N120" s="32">
        <f t="shared" si="18"/>
        <v>0.46800000000000003</v>
      </c>
      <c r="O120" s="32">
        <f t="shared" si="19"/>
        <v>-5.0999999999999997E-2</v>
      </c>
      <c r="P120" s="32">
        <f t="shared" si="23"/>
        <v>10.151999999999999</v>
      </c>
      <c r="Q120" s="33">
        <f t="shared" si="23"/>
        <v>1.651</v>
      </c>
      <c r="AB120">
        <v>2</v>
      </c>
      <c r="AC120">
        <v>4</v>
      </c>
      <c r="AD120">
        <v>105</v>
      </c>
      <c r="AE120">
        <v>-1.498</v>
      </c>
      <c r="AF120">
        <v>-1.55</v>
      </c>
      <c r="AG120">
        <v>5.1999999999999998E-2</v>
      </c>
      <c r="AH120">
        <v>-5.0999999999999997E-2</v>
      </c>
      <c r="AI120">
        <v>0.46899999999999997</v>
      </c>
      <c r="AJ120">
        <v>10.236000000000001</v>
      </c>
      <c r="AK120">
        <v>1.679</v>
      </c>
      <c r="AL120">
        <v>9.3160000000000007</v>
      </c>
      <c r="AM120">
        <v>0.16400000000000001</v>
      </c>
      <c r="AN120">
        <v>10.374000000000001</v>
      </c>
      <c r="AO120">
        <v>9.3610000000000007</v>
      </c>
      <c r="AP120">
        <v>3.0000000000000001E-3</v>
      </c>
      <c r="AQ120">
        <v>8.3190000000000008</v>
      </c>
      <c r="AR120">
        <v>0.14599999999999999</v>
      </c>
      <c r="AS120">
        <v>1</v>
      </c>
      <c r="AT120">
        <v>0</v>
      </c>
      <c r="AU120">
        <v>64</v>
      </c>
    </row>
    <row r="121" spans="2:47" x14ac:dyDescent="0.25">
      <c r="B121" s="9">
        <v>108</v>
      </c>
      <c r="C121" s="35">
        <v>35000</v>
      </c>
      <c r="D121" s="3"/>
      <c r="E121" s="9">
        <f t="shared" si="12"/>
        <v>417</v>
      </c>
      <c r="F121" s="54">
        <f t="shared" si="21"/>
        <v>11559</v>
      </c>
      <c r="G121" s="73">
        <f t="shared" si="13"/>
        <v>1.214</v>
      </c>
      <c r="H121" s="56">
        <f t="shared" si="14"/>
        <v>0.66700000000000004</v>
      </c>
      <c r="I121" s="57">
        <f t="shared" si="15"/>
        <v>3212</v>
      </c>
      <c r="J121" s="58">
        <f t="shared" si="16"/>
        <v>9.1</v>
      </c>
      <c r="L121" s="31">
        <f t="shared" si="17"/>
        <v>5.5E-2</v>
      </c>
      <c r="M121" s="32">
        <f t="shared" si="22"/>
        <v>1.5625</v>
      </c>
      <c r="N121" s="32">
        <f t="shared" si="18"/>
        <v>0.46800000000000003</v>
      </c>
      <c r="O121" s="32">
        <f t="shared" si="19"/>
        <v>-5.0999999999999997E-2</v>
      </c>
      <c r="P121" s="32">
        <f t="shared" si="23"/>
        <v>10.272</v>
      </c>
      <c r="Q121" s="33">
        <f t="shared" si="23"/>
        <v>1.647</v>
      </c>
      <c r="AB121">
        <v>2</v>
      </c>
      <c r="AC121">
        <v>4</v>
      </c>
      <c r="AD121">
        <v>106</v>
      </c>
      <c r="AE121">
        <v>-1.508</v>
      </c>
      <c r="AF121">
        <v>-1.5620000000000001</v>
      </c>
      <c r="AG121">
        <v>5.2999999999999999E-2</v>
      </c>
      <c r="AH121">
        <v>-0.05</v>
      </c>
      <c r="AI121">
        <v>0.46800000000000003</v>
      </c>
      <c r="AJ121">
        <v>10.246</v>
      </c>
      <c r="AK121">
        <v>1.7090000000000001</v>
      </c>
      <c r="AL121">
        <v>9.4730000000000008</v>
      </c>
      <c r="AM121">
        <v>0.16700000000000001</v>
      </c>
      <c r="AN121">
        <v>10.388</v>
      </c>
      <c r="AO121">
        <v>9.1920000000000002</v>
      </c>
      <c r="AP121">
        <v>3.0000000000000001E-3</v>
      </c>
      <c r="AQ121">
        <v>8.2829999999999995</v>
      </c>
      <c r="AR121">
        <v>0.14599999999999999</v>
      </c>
      <c r="AS121">
        <v>1</v>
      </c>
      <c r="AT121">
        <v>0</v>
      </c>
      <c r="AU121">
        <v>64</v>
      </c>
    </row>
    <row r="122" spans="2:47" x14ac:dyDescent="0.25">
      <c r="B122" s="9">
        <v>109</v>
      </c>
      <c r="C122" s="35">
        <v>35500</v>
      </c>
      <c r="D122" s="3"/>
      <c r="E122" s="9">
        <f t="shared" si="12"/>
        <v>409</v>
      </c>
      <c r="F122" s="54">
        <f t="shared" si="21"/>
        <v>11631</v>
      </c>
      <c r="G122" s="73">
        <f t="shared" si="13"/>
        <v>1.2110000000000001</v>
      </c>
      <c r="H122" s="56">
        <f t="shared" si="14"/>
        <v>0.66500000000000004</v>
      </c>
      <c r="I122" s="57">
        <f t="shared" si="15"/>
        <v>3167</v>
      </c>
      <c r="J122" s="58">
        <f t="shared" si="16"/>
        <v>9.1999999999999993</v>
      </c>
      <c r="L122" s="31">
        <f t="shared" si="17"/>
        <v>5.3999999999999999E-2</v>
      </c>
      <c r="M122" s="32">
        <f t="shared" si="22"/>
        <v>1.5719999999999998</v>
      </c>
      <c r="N122" s="32">
        <f t="shared" si="18"/>
        <v>0.46700000000000003</v>
      </c>
      <c r="O122" s="32">
        <f t="shared" si="19"/>
        <v>-5.0999999999999997E-2</v>
      </c>
      <c r="P122" s="32">
        <f t="shared" si="23"/>
        <v>10.125999999999999</v>
      </c>
      <c r="Q122" s="33">
        <f t="shared" si="23"/>
        <v>1.637</v>
      </c>
      <c r="AB122">
        <v>2</v>
      </c>
      <c r="AC122">
        <v>4</v>
      </c>
      <c r="AD122">
        <v>107</v>
      </c>
      <c r="AE122">
        <v>-1.5189999999999999</v>
      </c>
      <c r="AF122">
        <v>-1.573</v>
      </c>
      <c r="AG122">
        <v>5.3999999999999999E-2</v>
      </c>
      <c r="AH122">
        <v>-5.0999999999999997E-2</v>
      </c>
      <c r="AI122">
        <v>0.46800000000000003</v>
      </c>
      <c r="AJ122">
        <v>10.151999999999999</v>
      </c>
      <c r="AK122">
        <v>1.651</v>
      </c>
      <c r="AL122">
        <v>9.2360000000000007</v>
      </c>
      <c r="AM122">
        <v>0.16300000000000001</v>
      </c>
      <c r="AN122">
        <v>10.285</v>
      </c>
      <c r="AO122">
        <v>9.1489999999999991</v>
      </c>
      <c r="AP122">
        <v>3.0000000000000001E-3</v>
      </c>
      <c r="AQ122">
        <v>8.1050000000000004</v>
      </c>
      <c r="AR122">
        <v>0.14199999999999999</v>
      </c>
      <c r="AS122">
        <v>1</v>
      </c>
      <c r="AT122">
        <v>0</v>
      </c>
      <c r="AU122">
        <v>64</v>
      </c>
    </row>
    <row r="123" spans="2:47" x14ac:dyDescent="0.25">
      <c r="B123" s="9">
        <v>110</v>
      </c>
      <c r="C123" s="35">
        <v>36000</v>
      </c>
      <c r="D123" s="3"/>
      <c r="E123" s="9">
        <f t="shared" si="12"/>
        <v>394</v>
      </c>
      <c r="F123" s="54">
        <f t="shared" si="21"/>
        <v>11722</v>
      </c>
      <c r="G123" s="73">
        <f t="shared" si="13"/>
        <v>1.214</v>
      </c>
      <c r="H123" s="56">
        <f t="shared" si="14"/>
        <v>0.66500000000000004</v>
      </c>
      <c r="I123" s="57">
        <f t="shared" si="15"/>
        <v>3201</v>
      </c>
      <c r="J123" s="58">
        <f t="shared" si="16"/>
        <v>9</v>
      </c>
      <c r="L123" s="31">
        <f t="shared" si="17"/>
        <v>5.1999999999999998E-2</v>
      </c>
      <c r="M123" s="32">
        <f t="shared" si="22"/>
        <v>1.5840000000000001</v>
      </c>
      <c r="N123" s="32">
        <f t="shared" si="18"/>
        <v>0.46899999999999997</v>
      </c>
      <c r="O123" s="32">
        <f t="shared" si="19"/>
        <v>-0.05</v>
      </c>
      <c r="P123" s="32">
        <f t="shared" si="23"/>
        <v>10.241</v>
      </c>
      <c r="Q123" s="33">
        <f t="shared" si="23"/>
        <v>1.627</v>
      </c>
      <c r="AB123">
        <v>2</v>
      </c>
      <c r="AC123">
        <v>4</v>
      </c>
      <c r="AD123">
        <v>108</v>
      </c>
      <c r="AE123">
        <v>-1.5349999999999999</v>
      </c>
      <c r="AF123">
        <v>-1.59</v>
      </c>
      <c r="AG123">
        <v>5.5E-2</v>
      </c>
      <c r="AH123">
        <v>-5.0999999999999997E-2</v>
      </c>
      <c r="AI123">
        <v>0.46800000000000003</v>
      </c>
      <c r="AJ123">
        <v>10.272</v>
      </c>
      <c r="AK123">
        <v>1.647</v>
      </c>
      <c r="AL123">
        <v>9.0960000000000001</v>
      </c>
      <c r="AM123">
        <v>0.16</v>
      </c>
      <c r="AN123">
        <v>10.404999999999999</v>
      </c>
      <c r="AO123">
        <v>8.91</v>
      </c>
      <c r="AP123">
        <v>3.0000000000000001E-3</v>
      </c>
      <c r="AQ123">
        <v>7.7869999999999999</v>
      </c>
      <c r="AR123">
        <v>0.13700000000000001</v>
      </c>
      <c r="AS123">
        <v>1</v>
      </c>
      <c r="AT123">
        <v>0</v>
      </c>
      <c r="AU123">
        <v>64</v>
      </c>
    </row>
    <row r="124" spans="2:47" x14ac:dyDescent="0.25">
      <c r="B124" s="9">
        <v>111</v>
      </c>
      <c r="C124" s="35">
        <v>36500</v>
      </c>
      <c r="D124" s="3"/>
      <c r="E124" s="9">
        <f t="shared" si="12"/>
        <v>409</v>
      </c>
      <c r="F124" s="54">
        <f t="shared" si="21"/>
        <v>11813</v>
      </c>
      <c r="G124" s="73">
        <f t="shared" si="13"/>
        <v>1.216</v>
      </c>
      <c r="H124" s="56">
        <f t="shared" si="14"/>
        <v>0.66800000000000004</v>
      </c>
      <c r="I124" s="57">
        <f t="shared" si="15"/>
        <v>3131</v>
      </c>
      <c r="J124" s="58">
        <f t="shared" si="16"/>
        <v>8.9</v>
      </c>
      <c r="L124" s="31">
        <f t="shared" si="17"/>
        <v>5.3999999999999999E-2</v>
      </c>
      <c r="M124" s="32">
        <f t="shared" si="22"/>
        <v>1.5959999999999999</v>
      </c>
      <c r="N124" s="32">
        <f t="shared" si="18"/>
        <v>0.46899999999999997</v>
      </c>
      <c r="O124" s="32">
        <f t="shared" si="19"/>
        <v>-5.0999999999999997E-2</v>
      </c>
      <c r="P124" s="32">
        <f t="shared" si="23"/>
        <v>10.018000000000001</v>
      </c>
      <c r="Q124" s="33">
        <f t="shared" si="23"/>
        <v>1.5680000000000001</v>
      </c>
      <c r="AB124">
        <v>2</v>
      </c>
      <c r="AC124">
        <v>4</v>
      </c>
      <c r="AD124">
        <v>109</v>
      </c>
      <c r="AE124">
        <v>-1.5449999999999999</v>
      </c>
      <c r="AF124">
        <v>-1.599</v>
      </c>
      <c r="AG124">
        <v>5.3999999999999999E-2</v>
      </c>
      <c r="AH124">
        <v>-5.0999999999999997E-2</v>
      </c>
      <c r="AI124">
        <v>0.46700000000000003</v>
      </c>
      <c r="AJ124">
        <v>10.125999999999999</v>
      </c>
      <c r="AK124">
        <v>1.637</v>
      </c>
      <c r="AL124">
        <v>9.173</v>
      </c>
      <c r="AM124">
        <v>0.16200000000000001</v>
      </c>
      <c r="AN124">
        <v>10.259</v>
      </c>
      <c r="AO124">
        <v>9.1120000000000001</v>
      </c>
      <c r="AP124">
        <v>3.0000000000000001E-3</v>
      </c>
      <c r="AQ124">
        <v>8.0530000000000008</v>
      </c>
      <c r="AR124">
        <v>0.14199999999999999</v>
      </c>
      <c r="AS124">
        <v>1</v>
      </c>
      <c r="AT124">
        <v>0</v>
      </c>
      <c r="AU124">
        <v>64</v>
      </c>
    </row>
    <row r="125" spans="2:47" x14ac:dyDescent="0.25">
      <c r="B125" s="9">
        <v>112</v>
      </c>
      <c r="C125" s="35">
        <v>37000</v>
      </c>
      <c r="D125" s="3"/>
      <c r="E125" s="9">
        <f t="shared" si="12"/>
        <v>409</v>
      </c>
      <c r="F125" s="54">
        <f t="shared" si="21"/>
        <v>11912</v>
      </c>
      <c r="G125" s="73">
        <f t="shared" si="13"/>
        <v>1.2110000000000001</v>
      </c>
      <c r="H125" s="56">
        <f t="shared" si="14"/>
        <v>0.66400000000000003</v>
      </c>
      <c r="I125" s="57">
        <f t="shared" si="15"/>
        <v>3164</v>
      </c>
      <c r="J125" s="58">
        <f t="shared" si="16"/>
        <v>9.5</v>
      </c>
      <c r="L125" s="31">
        <f t="shared" si="17"/>
        <v>5.3999999999999999E-2</v>
      </c>
      <c r="M125" s="32">
        <f t="shared" si="22"/>
        <v>1.609</v>
      </c>
      <c r="N125" s="32">
        <f t="shared" si="18"/>
        <v>0.46800000000000003</v>
      </c>
      <c r="O125" s="32">
        <f t="shared" si="19"/>
        <v>-0.05</v>
      </c>
      <c r="P125" s="32">
        <f t="shared" si="23"/>
        <v>10.11</v>
      </c>
      <c r="Q125" s="33">
        <f t="shared" si="23"/>
        <v>1.6850000000000001</v>
      </c>
      <c r="AB125">
        <v>2</v>
      </c>
      <c r="AC125">
        <v>4</v>
      </c>
      <c r="AD125">
        <v>110</v>
      </c>
      <c r="AE125">
        <v>-1.5580000000000001</v>
      </c>
      <c r="AF125">
        <v>-1.61</v>
      </c>
      <c r="AG125">
        <v>5.1999999999999998E-2</v>
      </c>
      <c r="AH125">
        <v>-0.05</v>
      </c>
      <c r="AI125">
        <v>0.46899999999999997</v>
      </c>
      <c r="AJ125">
        <v>10.241</v>
      </c>
      <c r="AK125">
        <v>1.627</v>
      </c>
      <c r="AL125">
        <v>9.0329999999999995</v>
      </c>
      <c r="AM125">
        <v>0.159</v>
      </c>
      <c r="AN125">
        <v>10.37</v>
      </c>
      <c r="AO125">
        <v>9.2249999999999996</v>
      </c>
      <c r="AP125">
        <v>3.0000000000000001E-3</v>
      </c>
      <c r="AQ125">
        <v>7.9610000000000003</v>
      </c>
      <c r="AR125">
        <v>0.14000000000000001</v>
      </c>
      <c r="AS125">
        <v>1</v>
      </c>
      <c r="AT125">
        <v>0</v>
      </c>
      <c r="AU125">
        <v>64</v>
      </c>
    </row>
    <row r="126" spans="2:47" x14ac:dyDescent="0.25">
      <c r="B126" s="9">
        <v>113</v>
      </c>
      <c r="C126" s="35">
        <v>37500</v>
      </c>
      <c r="D126" s="3"/>
      <c r="E126" s="9">
        <f t="shared" si="12"/>
        <v>417</v>
      </c>
      <c r="F126" s="54">
        <f t="shared" si="21"/>
        <v>11991</v>
      </c>
      <c r="G126" s="73">
        <f t="shared" si="13"/>
        <v>1.2110000000000001</v>
      </c>
      <c r="H126" s="56">
        <f t="shared" si="14"/>
        <v>0.66500000000000004</v>
      </c>
      <c r="I126" s="57">
        <f t="shared" si="15"/>
        <v>3165</v>
      </c>
      <c r="J126" s="58">
        <f t="shared" si="16"/>
        <v>9.3000000000000007</v>
      </c>
      <c r="L126" s="31">
        <f t="shared" si="17"/>
        <v>5.5E-2</v>
      </c>
      <c r="M126" s="32">
        <f t="shared" si="22"/>
        <v>1.6195000000000002</v>
      </c>
      <c r="N126" s="32">
        <f t="shared" si="18"/>
        <v>0.46700000000000003</v>
      </c>
      <c r="O126" s="32">
        <f t="shared" si="19"/>
        <v>-5.0999999999999997E-2</v>
      </c>
      <c r="P126" s="32">
        <f t="shared" si="23"/>
        <v>10.117000000000001</v>
      </c>
      <c r="Q126" s="33">
        <f t="shared" si="23"/>
        <v>1.663</v>
      </c>
      <c r="AB126">
        <v>2</v>
      </c>
      <c r="AC126">
        <v>4</v>
      </c>
      <c r="AD126">
        <v>111</v>
      </c>
      <c r="AE126">
        <v>-1.569</v>
      </c>
      <c r="AF126">
        <v>-1.6240000000000001</v>
      </c>
      <c r="AG126">
        <v>5.3999999999999999E-2</v>
      </c>
      <c r="AH126">
        <v>-5.0999999999999997E-2</v>
      </c>
      <c r="AI126">
        <v>0.46899999999999997</v>
      </c>
      <c r="AJ126">
        <v>10.018000000000001</v>
      </c>
      <c r="AK126">
        <v>1.5680000000000001</v>
      </c>
      <c r="AL126">
        <v>8.8989999999999991</v>
      </c>
      <c r="AM126">
        <v>0.157</v>
      </c>
      <c r="AN126">
        <v>10.141</v>
      </c>
      <c r="AO126">
        <v>8.968</v>
      </c>
      <c r="AP126">
        <v>3.0000000000000001E-3</v>
      </c>
      <c r="AQ126">
        <v>7.8710000000000004</v>
      </c>
      <c r="AR126">
        <v>0.13800000000000001</v>
      </c>
      <c r="AS126">
        <v>1</v>
      </c>
      <c r="AT126">
        <v>0</v>
      </c>
      <c r="AU126">
        <v>64</v>
      </c>
    </row>
    <row r="127" spans="2:47" x14ac:dyDescent="0.25">
      <c r="B127" s="9">
        <v>114</v>
      </c>
      <c r="C127" s="35">
        <v>38000</v>
      </c>
      <c r="D127" s="3"/>
      <c r="E127" s="9">
        <f t="shared" si="12"/>
        <v>409</v>
      </c>
      <c r="F127" s="54">
        <f t="shared" si="21"/>
        <v>12093</v>
      </c>
      <c r="G127" s="73">
        <f t="shared" si="13"/>
        <v>1.216</v>
      </c>
      <c r="H127" s="56">
        <f t="shared" si="14"/>
        <v>0.66800000000000004</v>
      </c>
      <c r="I127" s="57">
        <f t="shared" si="15"/>
        <v>3159</v>
      </c>
      <c r="J127" s="58">
        <f t="shared" si="16"/>
        <v>9.3000000000000007</v>
      </c>
      <c r="L127" s="31">
        <f t="shared" si="17"/>
        <v>5.3999999999999999E-2</v>
      </c>
      <c r="M127" s="32">
        <f t="shared" si="22"/>
        <v>1.633</v>
      </c>
      <c r="N127" s="32">
        <f t="shared" si="18"/>
        <v>0.46899999999999997</v>
      </c>
      <c r="O127" s="32">
        <f t="shared" si="19"/>
        <v>-5.0999999999999997E-2</v>
      </c>
      <c r="P127" s="32">
        <f t="shared" si="23"/>
        <v>10.098000000000001</v>
      </c>
      <c r="Q127" s="33">
        <f t="shared" si="23"/>
        <v>1.657</v>
      </c>
      <c r="AB127">
        <v>2</v>
      </c>
      <c r="AC127">
        <v>4</v>
      </c>
      <c r="AD127">
        <v>112</v>
      </c>
      <c r="AE127">
        <v>-1.5820000000000001</v>
      </c>
      <c r="AF127">
        <v>-1.6359999999999999</v>
      </c>
      <c r="AG127">
        <v>5.3999999999999999E-2</v>
      </c>
      <c r="AH127">
        <v>-0.05</v>
      </c>
      <c r="AI127">
        <v>0.46800000000000003</v>
      </c>
      <c r="AJ127">
        <v>10.11</v>
      </c>
      <c r="AK127">
        <v>1.6850000000000001</v>
      </c>
      <c r="AL127">
        <v>9.4529999999999994</v>
      </c>
      <c r="AM127">
        <v>0.16700000000000001</v>
      </c>
      <c r="AN127">
        <v>10.25</v>
      </c>
      <c r="AO127">
        <v>9.048</v>
      </c>
      <c r="AP127">
        <v>3.0000000000000001E-3</v>
      </c>
      <c r="AQ127">
        <v>8.2769999999999992</v>
      </c>
      <c r="AR127">
        <v>0.14499999999999999</v>
      </c>
      <c r="AS127">
        <v>1</v>
      </c>
      <c r="AT127">
        <v>0</v>
      </c>
      <c r="AU127">
        <v>64</v>
      </c>
    </row>
    <row r="128" spans="2:47" x14ac:dyDescent="0.25">
      <c r="B128" s="9">
        <v>115</v>
      </c>
      <c r="C128" s="35">
        <v>38500</v>
      </c>
      <c r="D128" s="3"/>
      <c r="E128" s="9">
        <f t="shared" si="12"/>
        <v>424</v>
      </c>
      <c r="F128" s="54">
        <f t="shared" si="21"/>
        <v>12207</v>
      </c>
      <c r="G128" s="73">
        <f t="shared" si="13"/>
        <v>1.216</v>
      </c>
      <c r="H128" s="56">
        <f t="shared" si="14"/>
        <v>0.66800000000000004</v>
      </c>
      <c r="I128" s="57">
        <f t="shared" si="15"/>
        <v>3129</v>
      </c>
      <c r="J128" s="58">
        <f t="shared" si="16"/>
        <v>9.9</v>
      </c>
      <c r="L128" s="31">
        <f t="shared" si="17"/>
        <v>5.6000000000000001E-2</v>
      </c>
      <c r="M128" s="32">
        <f t="shared" si="22"/>
        <v>1.6480000000000001</v>
      </c>
      <c r="N128" s="32">
        <f t="shared" si="18"/>
        <v>0.46899999999999997</v>
      </c>
      <c r="O128" s="32">
        <f t="shared" si="19"/>
        <v>-5.0999999999999997E-2</v>
      </c>
      <c r="P128" s="32">
        <f t="shared" si="23"/>
        <v>9.984</v>
      </c>
      <c r="Q128" s="33">
        <f t="shared" si="23"/>
        <v>1.7430000000000001</v>
      </c>
      <c r="AB128">
        <v>2</v>
      </c>
      <c r="AC128">
        <v>4</v>
      </c>
      <c r="AD128">
        <v>113</v>
      </c>
      <c r="AE128">
        <v>-1.5920000000000001</v>
      </c>
      <c r="AF128">
        <v>-1.647</v>
      </c>
      <c r="AG128">
        <v>5.5E-2</v>
      </c>
      <c r="AH128">
        <v>-5.0999999999999997E-2</v>
      </c>
      <c r="AI128">
        <v>0.46700000000000003</v>
      </c>
      <c r="AJ128">
        <v>10.117000000000001</v>
      </c>
      <c r="AK128">
        <v>1.663</v>
      </c>
      <c r="AL128">
        <v>9.3279999999999994</v>
      </c>
      <c r="AM128">
        <v>0.16400000000000001</v>
      </c>
      <c r="AN128">
        <v>10.254</v>
      </c>
      <c r="AO128">
        <v>8.9120000000000008</v>
      </c>
      <c r="AP128">
        <v>3.0000000000000001E-3</v>
      </c>
      <c r="AQ128">
        <v>8.0679999999999996</v>
      </c>
      <c r="AR128">
        <v>0.14199999999999999</v>
      </c>
      <c r="AS128">
        <v>1</v>
      </c>
      <c r="AT128">
        <v>0</v>
      </c>
      <c r="AU128">
        <v>64</v>
      </c>
    </row>
    <row r="129" spans="2:47" x14ac:dyDescent="0.25">
      <c r="B129" s="9">
        <v>116</v>
      </c>
      <c r="C129" s="35">
        <v>39000</v>
      </c>
      <c r="D129" s="3"/>
      <c r="E129" s="9">
        <f t="shared" si="12"/>
        <v>394</v>
      </c>
      <c r="F129" s="54">
        <f t="shared" si="21"/>
        <v>12283</v>
      </c>
      <c r="G129" s="73">
        <f t="shared" si="13"/>
        <v>1.214</v>
      </c>
      <c r="H129" s="56">
        <f t="shared" si="14"/>
        <v>0.66700000000000004</v>
      </c>
      <c r="I129" s="57">
        <f t="shared" si="15"/>
        <v>3142</v>
      </c>
      <c r="J129" s="58">
        <f t="shared" si="16"/>
        <v>9</v>
      </c>
      <c r="L129" s="31">
        <f t="shared" si="17"/>
        <v>5.1999999999999998E-2</v>
      </c>
      <c r="M129" s="32">
        <f t="shared" si="22"/>
        <v>1.6579999999999999</v>
      </c>
      <c r="N129" s="32">
        <f t="shared" si="18"/>
        <v>0.46800000000000003</v>
      </c>
      <c r="O129" s="32">
        <f t="shared" si="19"/>
        <v>-5.0999999999999997E-2</v>
      </c>
      <c r="P129" s="32">
        <f t="shared" si="23"/>
        <v>10.050000000000001</v>
      </c>
      <c r="Q129" s="33">
        <f t="shared" si="23"/>
        <v>1.6</v>
      </c>
      <c r="AB129">
        <v>2</v>
      </c>
      <c r="AC129">
        <v>4</v>
      </c>
      <c r="AD129">
        <v>114</v>
      </c>
      <c r="AE129">
        <v>-1.6060000000000001</v>
      </c>
      <c r="AF129">
        <v>-1.66</v>
      </c>
      <c r="AG129">
        <v>5.3999999999999999E-2</v>
      </c>
      <c r="AH129">
        <v>-5.0999999999999997E-2</v>
      </c>
      <c r="AI129">
        <v>0.46899999999999997</v>
      </c>
      <c r="AJ129">
        <v>10.098000000000001</v>
      </c>
      <c r="AK129">
        <v>1.657</v>
      </c>
      <c r="AL129">
        <v>9.3190000000000008</v>
      </c>
      <c r="AM129">
        <v>0.16400000000000001</v>
      </c>
      <c r="AN129">
        <v>10.233000000000001</v>
      </c>
      <c r="AO129">
        <v>9.1690000000000005</v>
      </c>
      <c r="AP129">
        <v>3.0000000000000001E-3</v>
      </c>
      <c r="AQ129">
        <v>8.282</v>
      </c>
      <c r="AR129">
        <v>0.14599999999999999</v>
      </c>
      <c r="AS129">
        <v>1</v>
      </c>
      <c r="AT129">
        <v>0</v>
      </c>
      <c r="AU129">
        <v>64</v>
      </c>
    </row>
    <row r="130" spans="2:47" x14ac:dyDescent="0.25">
      <c r="B130" s="9">
        <v>117</v>
      </c>
      <c r="C130" s="35">
        <v>39500</v>
      </c>
      <c r="D130" s="3"/>
      <c r="E130" s="9">
        <f t="shared" si="12"/>
        <v>409</v>
      </c>
      <c r="F130" s="54">
        <f t="shared" si="21"/>
        <v>12374</v>
      </c>
      <c r="G130" s="73">
        <f t="shared" si="13"/>
        <v>1.2110000000000001</v>
      </c>
      <c r="H130" s="56">
        <f t="shared" si="14"/>
        <v>0.66500000000000004</v>
      </c>
      <c r="I130" s="57">
        <f t="shared" si="15"/>
        <v>3124</v>
      </c>
      <c r="J130" s="58">
        <f t="shared" si="16"/>
        <v>9.6999999999999993</v>
      </c>
      <c r="L130" s="31">
        <f t="shared" si="17"/>
        <v>5.3999999999999999E-2</v>
      </c>
      <c r="M130" s="32">
        <f t="shared" si="22"/>
        <v>1.67</v>
      </c>
      <c r="N130" s="32">
        <f t="shared" si="18"/>
        <v>0.46700000000000003</v>
      </c>
      <c r="O130" s="32">
        <f t="shared" si="19"/>
        <v>-5.0999999999999997E-2</v>
      </c>
      <c r="P130" s="32">
        <f t="shared" si="23"/>
        <v>9.9719999999999995</v>
      </c>
      <c r="Q130" s="33">
        <f t="shared" si="23"/>
        <v>1.71</v>
      </c>
      <c r="AB130">
        <v>2</v>
      </c>
      <c r="AC130">
        <v>4</v>
      </c>
      <c r="AD130">
        <v>115</v>
      </c>
      <c r="AE130">
        <v>-1.62</v>
      </c>
      <c r="AF130">
        <v>-1.6759999999999999</v>
      </c>
      <c r="AG130">
        <v>5.6000000000000001E-2</v>
      </c>
      <c r="AH130">
        <v>-5.0999999999999997E-2</v>
      </c>
      <c r="AI130">
        <v>0.46899999999999997</v>
      </c>
      <c r="AJ130">
        <v>9.984</v>
      </c>
      <c r="AK130">
        <v>1.7430000000000001</v>
      </c>
      <c r="AL130">
        <v>9.8979999999999997</v>
      </c>
      <c r="AM130">
        <v>0.17499999999999999</v>
      </c>
      <c r="AN130">
        <v>10.135999999999999</v>
      </c>
      <c r="AO130">
        <v>8.9250000000000007</v>
      </c>
      <c r="AP130">
        <v>3.0000000000000001E-3</v>
      </c>
      <c r="AQ130">
        <v>8.6340000000000003</v>
      </c>
      <c r="AR130">
        <v>0.152</v>
      </c>
      <c r="AS130">
        <v>1</v>
      </c>
      <c r="AT130">
        <v>0</v>
      </c>
      <c r="AU130">
        <v>64</v>
      </c>
    </row>
    <row r="131" spans="2:47" x14ac:dyDescent="0.25">
      <c r="B131" s="9">
        <v>118</v>
      </c>
      <c r="C131" s="35">
        <v>40000</v>
      </c>
      <c r="D131" s="3"/>
      <c r="E131" s="9">
        <f t="shared" si="12"/>
        <v>401</v>
      </c>
      <c r="F131" s="54">
        <f t="shared" si="21"/>
        <v>12491</v>
      </c>
      <c r="G131" s="73">
        <f t="shared" si="13"/>
        <v>1.2110000000000001</v>
      </c>
      <c r="H131" s="56">
        <f t="shared" si="14"/>
        <v>0.66400000000000003</v>
      </c>
      <c r="I131" s="57">
        <f t="shared" si="15"/>
        <v>3150</v>
      </c>
      <c r="J131" s="58">
        <f t="shared" si="16"/>
        <v>9.6</v>
      </c>
      <c r="L131" s="31">
        <f t="shared" si="17"/>
        <v>5.2999999999999999E-2</v>
      </c>
      <c r="M131" s="32">
        <f t="shared" si="22"/>
        <v>1.6855</v>
      </c>
      <c r="N131" s="32">
        <f t="shared" si="18"/>
        <v>0.46800000000000003</v>
      </c>
      <c r="O131" s="32">
        <f t="shared" si="19"/>
        <v>-0.05</v>
      </c>
      <c r="P131" s="32">
        <f t="shared" si="23"/>
        <v>10.061</v>
      </c>
      <c r="Q131" s="33">
        <f t="shared" si="23"/>
        <v>1.7030000000000001</v>
      </c>
      <c r="AB131">
        <v>2</v>
      </c>
      <c r="AC131">
        <v>4</v>
      </c>
      <c r="AD131">
        <v>116</v>
      </c>
      <c r="AE131">
        <v>-1.6319999999999999</v>
      </c>
      <c r="AF131">
        <v>-1.6839999999999999</v>
      </c>
      <c r="AG131">
        <v>5.1999999999999998E-2</v>
      </c>
      <c r="AH131">
        <v>-5.0999999999999997E-2</v>
      </c>
      <c r="AI131">
        <v>0.46800000000000003</v>
      </c>
      <c r="AJ131">
        <v>10.050000000000001</v>
      </c>
      <c r="AK131">
        <v>1.6</v>
      </c>
      <c r="AL131">
        <v>9.0470000000000006</v>
      </c>
      <c r="AM131">
        <v>0.159</v>
      </c>
      <c r="AN131">
        <v>10.177</v>
      </c>
      <c r="AO131">
        <v>9.1820000000000004</v>
      </c>
      <c r="AP131">
        <v>3.0000000000000001E-3</v>
      </c>
      <c r="AQ131">
        <v>8.0850000000000009</v>
      </c>
      <c r="AR131">
        <v>0.14199999999999999</v>
      </c>
      <c r="AS131">
        <v>1</v>
      </c>
      <c r="AT131">
        <v>0</v>
      </c>
      <c r="AU131">
        <v>64</v>
      </c>
    </row>
    <row r="132" spans="2:47" x14ac:dyDescent="0.25">
      <c r="B132" s="9">
        <v>119</v>
      </c>
      <c r="C132" s="35">
        <v>40500</v>
      </c>
      <c r="D132" s="3"/>
      <c r="E132" s="9">
        <f t="shared" si="12"/>
        <v>424</v>
      </c>
      <c r="F132" s="54">
        <f t="shared" si="21"/>
        <v>12571</v>
      </c>
      <c r="G132" s="73">
        <f t="shared" si="13"/>
        <v>1.214</v>
      </c>
      <c r="H132" s="56">
        <f t="shared" si="14"/>
        <v>0.66500000000000004</v>
      </c>
      <c r="I132" s="57">
        <f t="shared" si="15"/>
        <v>3124</v>
      </c>
      <c r="J132" s="58">
        <f t="shared" si="16"/>
        <v>9.1999999999999993</v>
      </c>
      <c r="L132" s="31">
        <f t="shared" si="17"/>
        <v>5.6000000000000001E-2</v>
      </c>
      <c r="M132" s="32">
        <f t="shared" si="22"/>
        <v>1.696</v>
      </c>
      <c r="N132" s="32">
        <f t="shared" si="18"/>
        <v>0.46899999999999997</v>
      </c>
      <c r="O132" s="32">
        <f t="shared" si="19"/>
        <v>-0.05</v>
      </c>
      <c r="P132" s="32">
        <f t="shared" si="23"/>
        <v>9.9860000000000007</v>
      </c>
      <c r="Q132" s="33">
        <f t="shared" si="23"/>
        <v>1.623</v>
      </c>
      <c r="AB132">
        <v>2</v>
      </c>
      <c r="AC132">
        <v>4</v>
      </c>
      <c r="AD132">
        <v>117</v>
      </c>
      <c r="AE132">
        <v>-1.643</v>
      </c>
      <c r="AF132">
        <v>-1.6970000000000001</v>
      </c>
      <c r="AG132">
        <v>5.3999999999999999E-2</v>
      </c>
      <c r="AH132">
        <v>-5.0999999999999997E-2</v>
      </c>
      <c r="AI132">
        <v>0.46700000000000003</v>
      </c>
      <c r="AJ132">
        <v>9.9719999999999995</v>
      </c>
      <c r="AK132">
        <v>1.71</v>
      </c>
      <c r="AL132">
        <v>9.73</v>
      </c>
      <c r="AM132">
        <v>0.17100000000000001</v>
      </c>
      <c r="AN132">
        <v>10.118</v>
      </c>
      <c r="AO132">
        <v>9.0519999999999996</v>
      </c>
      <c r="AP132">
        <v>3.0000000000000001E-3</v>
      </c>
      <c r="AQ132">
        <v>8.6969999999999992</v>
      </c>
      <c r="AR132">
        <v>0.153</v>
      </c>
      <c r="AS132">
        <v>1</v>
      </c>
      <c r="AT132">
        <v>0</v>
      </c>
      <c r="AU132">
        <v>64</v>
      </c>
    </row>
    <row r="133" spans="2:47" x14ac:dyDescent="0.25">
      <c r="B133" s="9">
        <v>120</v>
      </c>
      <c r="C133" s="35">
        <v>41000</v>
      </c>
      <c r="D133" s="3"/>
      <c r="E133" s="9">
        <f t="shared" si="12"/>
        <v>401</v>
      </c>
      <c r="F133" s="54">
        <f t="shared" si="21"/>
        <v>12688</v>
      </c>
      <c r="G133" s="73">
        <f t="shared" si="13"/>
        <v>1.214</v>
      </c>
      <c r="H133" s="56">
        <f t="shared" si="14"/>
        <v>0.66500000000000004</v>
      </c>
      <c r="I133" s="57">
        <f t="shared" si="15"/>
        <v>3097</v>
      </c>
      <c r="J133" s="58">
        <f t="shared" si="16"/>
        <v>9.5</v>
      </c>
      <c r="L133" s="31">
        <f t="shared" si="17"/>
        <v>5.2999999999999999E-2</v>
      </c>
      <c r="M133" s="32">
        <f t="shared" si="22"/>
        <v>1.7115</v>
      </c>
      <c r="N133" s="32">
        <f t="shared" si="18"/>
        <v>0.46899999999999997</v>
      </c>
      <c r="O133" s="32">
        <f t="shared" si="19"/>
        <v>-0.05</v>
      </c>
      <c r="P133" s="32">
        <f t="shared" si="23"/>
        <v>9.8930000000000007</v>
      </c>
      <c r="Q133" s="33">
        <f t="shared" si="23"/>
        <v>1.6559999999999999</v>
      </c>
      <c r="AB133">
        <v>2</v>
      </c>
      <c r="AC133">
        <v>4</v>
      </c>
      <c r="AD133">
        <v>118</v>
      </c>
      <c r="AE133">
        <v>-1.659</v>
      </c>
      <c r="AF133">
        <v>-1.712</v>
      </c>
      <c r="AG133">
        <v>5.2999999999999999E-2</v>
      </c>
      <c r="AH133">
        <v>-0.05</v>
      </c>
      <c r="AI133">
        <v>0.46800000000000003</v>
      </c>
      <c r="AJ133">
        <v>10.061</v>
      </c>
      <c r="AK133">
        <v>1.7030000000000001</v>
      </c>
      <c r="AL133">
        <v>9.6050000000000004</v>
      </c>
      <c r="AM133">
        <v>0.16900000000000001</v>
      </c>
      <c r="AN133">
        <v>10.204000000000001</v>
      </c>
      <c r="AO133">
        <v>9.1609999999999996</v>
      </c>
      <c r="AP133">
        <v>3.0000000000000001E-3</v>
      </c>
      <c r="AQ133">
        <v>8.5609999999999999</v>
      </c>
      <c r="AR133">
        <v>0.151</v>
      </c>
      <c r="AS133">
        <v>1</v>
      </c>
      <c r="AT133">
        <v>0</v>
      </c>
      <c r="AU133">
        <v>64</v>
      </c>
    </row>
    <row r="134" spans="2:47" x14ac:dyDescent="0.25">
      <c r="B134" s="9">
        <v>121</v>
      </c>
      <c r="C134" s="35">
        <v>41500</v>
      </c>
      <c r="D134" s="3"/>
      <c r="E134" s="9">
        <f t="shared" si="12"/>
        <v>417</v>
      </c>
      <c r="F134" s="54">
        <f t="shared" si="21"/>
        <v>12756</v>
      </c>
      <c r="G134" s="73">
        <f t="shared" si="13"/>
        <v>1.2110000000000001</v>
      </c>
      <c r="H134" s="56">
        <f t="shared" si="14"/>
        <v>0.66500000000000004</v>
      </c>
      <c r="I134" s="57">
        <f t="shared" si="15"/>
        <v>3138</v>
      </c>
      <c r="J134" s="58">
        <f t="shared" si="16"/>
        <v>9.9</v>
      </c>
      <c r="L134" s="31">
        <f t="shared" si="17"/>
        <v>5.5E-2</v>
      </c>
      <c r="M134" s="32">
        <f t="shared" si="22"/>
        <v>1.7205000000000001</v>
      </c>
      <c r="N134" s="32">
        <f t="shared" si="18"/>
        <v>0.46700000000000003</v>
      </c>
      <c r="O134" s="32">
        <f t="shared" si="19"/>
        <v>-5.0999999999999997E-2</v>
      </c>
      <c r="P134" s="32">
        <f t="shared" si="23"/>
        <v>10.013</v>
      </c>
      <c r="Q134" s="33">
        <f t="shared" si="23"/>
        <v>1.7509999999999999</v>
      </c>
      <c r="AB134">
        <v>2</v>
      </c>
      <c r="AC134">
        <v>4</v>
      </c>
      <c r="AD134">
        <v>119</v>
      </c>
      <c r="AE134">
        <v>-1.6679999999999999</v>
      </c>
      <c r="AF134">
        <v>-1.724</v>
      </c>
      <c r="AG134">
        <v>5.6000000000000001E-2</v>
      </c>
      <c r="AH134">
        <v>-0.05</v>
      </c>
      <c r="AI134">
        <v>0.46899999999999997</v>
      </c>
      <c r="AJ134">
        <v>9.9860000000000007</v>
      </c>
      <c r="AK134">
        <v>1.623</v>
      </c>
      <c r="AL134">
        <v>9.2370000000000001</v>
      </c>
      <c r="AM134">
        <v>0.16300000000000001</v>
      </c>
      <c r="AN134">
        <v>10.117000000000001</v>
      </c>
      <c r="AO134">
        <v>9.0370000000000008</v>
      </c>
      <c r="AP134">
        <v>3.0000000000000001E-3</v>
      </c>
      <c r="AQ134">
        <v>8.1679999999999993</v>
      </c>
      <c r="AR134">
        <v>0.14399999999999999</v>
      </c>
      <c r="AS134">
        <v>1</v>
      </c>
      <c r="AT134">
        <v>0</v>
      </c>
      <c r="AU134">
        <v>64</v>
      </c>
    </row>
    <row r="135" spans="2:47" x14ac:dyDescent="0.25">
      <c r="B135" s="9">
        <v>122</v>
      </c>
      <c r="C135" s="35">
        <v>42000</v>
      </c>
      <c r="D135" s="3"/>
      <c r="E135" s="9">
        <f t="shared" si="12"/>
        <v>401</v>
      </c>
      <c r="F135" s="54">
        <f t="shared" si="21"/>
        <v>12840</v>
      </c>
      <c r="G135" s="73">
        <f t="shared" si="13"/>
        <v>1.2110000000000001</v>
      </c>
      <c r="H135" s="56">
        <f t="shared" si="14"/>
        <v>0.66500000000000004</v>
      </c>
      <c r="I135" s="57">
        <f t="shared" si="15"/>
        <v>3070</v>
      </c>
      <c r="J135" s="58">
        <f t="shared" si="16"/>
        <v>9.9</v>
      </c>
      <c r="L135" s="31">
        <f t="shared" si="17"/>
        <v>5.2999999999999999E-2</v>
      </c>
      <c r="M135" s="32">
        <f t="shared" si="22"/>
        <v>1.7315</v>
      </c>
      <c r="N135" s="32">
        <f t="shared" si="18"/>
        <v>0.46700000000000003</v>
      </c>
      <c r="O135" s="32">
        <f t="shared" si="19"/>
        <v>-5.0999999999999997E-2</v>
      </c>
      <c r="P135" s="32">
        <f t="shared" si="23"/>
        <v>9.7970000000000006</v>
      </c>
      <c r="Q135" s="33">
        <f t="shared" si="23"/>
        <v>1.706</v>
      </c>
      <c r="AB135">
        <v>2</v>
      </c>
      <c r="AC135">
        <v>4</v>
      </c>
      <c r="AD135">
        <v>120</v>
      </c>
      <c r="AE135">
        <v>-1.6850000000000001</v>
      </c>
      <c r="AF135">
        <v>-1.738</v>
      </c>
      <c r="AG135">
        <v>5.2999999999999999E-2</v>
      </c>
      <c r="AH135">
        <v>-0.05</v>
      </c>
      <c r="AI135">
        <v>0.46899999999999997</v>
      </c>
      <c r="AJ135">
        <v>9.8930000000000007</v>
      </c>
      <c r="AK135">
        <v>1.6559999999999999</v>
      </c>
      <c r="AL135">
        <v>9.5</v>
      </c>
      <c r="AM135">
        <v>0.16700000000000001</v>
      </c>
      <c r="AN135">
        <v>10.031000000000001</v>
      </c>
      <c r="AO135">
        <v>9.1660000000000004</v>
      </c>
      <c r="AP135">
        <v>3.0000000000000001E-3</v>
      </c>
      <c r="AQ135">
        <v>8.6129999999999995</v>
      </c>
      <c r="AR135">
        <v>0.151</v>
      </c>
      <c r="AS135">
        <v>1</v>
      </c>
      <c r="AT135">
        <v>0</v>
      </c>
      <c r="AU135">
        <v>64</v>
      </c>
    </row>
    <row r="136" spans="2:47" x14ac:dyDescent="0.25">
      <c r="B136" s="9">
        <v>123</v>
      </c>
      <c r="C136" s="35">
        <v>42500</v>
      </c>
      <c r="D136" s="3"/>
      <c r="E136" s="9">
        <f t="shared" si="12"/>
        <v>409</v>
      </c>
      <c r="F136" s="54">
        <f t="shared" si="21"/>
        <v>12965</v>
      </c>
      <c r="G136" s="73">
        <f t="shared" si="13"/>
        <v>1.216</v>
      </c>
      <c r="H136" s="56">
        <f t="shared" si="14"/>
        <v>0.66900000000000004</v>
      </c>
      <c r="I136" s="57">
        <f t="shared" si="15"/>
        <v>3111</v>
      </c>
      <c r="J136" s="58">
        <f t="shared" si="16"/>
        <v>9.4</v>
      </c>
      <c r="L136" s="31">
        <f t="shared" si="17"/>
        <v>5.3999999999999999E-2</v>
      </c>
      <c r="M136" s="32">
        <f t="shared" si="22"/>
        <v>1.748</v>
      </c>
      <c r="N136" s="32">
        <f t="shared" si="18"/>
        <v>0.46800000000000003</v>
      </c>
      <c r="O136" s="32">
        <f t="shared" si="19"/>
        <v>-5.1999999999999998E-2</v>
      </c>
      <c r="P136" s="32">
        <f t="shared" si="23"/>
        <v>9.9410000000000007</v>
      </c>
      <c r="Q136" s="33">
        <f t="shared" si="23"/>
        <v>1.6439999999999999</v>
      </c>
      <c r="AB136">
        <v>2</v>
      </c>
      <c r="AC136">
        <v>4</v>
      </c>
      <c r="AD136">
        <v>121</v>
      </c>
      <c r="AE136">
        <v>-1.6930000000000001</v>
      </c>
      <c r="AF136">
        <v>-1.7490000000000001</v>
      </c>
      <c r="AG136">
        <v>5.5E-2</v>
      </c>
      <c r="AH136">
        <v>-5.0999999999999997E-2</v>
      </c>
      <c r="AI136">
        <v>0.46700000000000003</v>
      </c>
      <c r="AJ136">
        <v>10.013</v>
      </c>
      <c r="AK136">
        <v>1.7509999999999999</v>
      </c>
      <c r="AL136">
        <v>9.92</v>
      </c>
      <c r="AM136">
        <v>0.17499999999999999</v>
      </c>
      <c r="AN136">
        <v>10.164999999999999</v>
      </c>
      <c r="AO136">
        <v>8.7420000000000009</v>
      </c>
      <c r="AP136">
        <v>3.0000000000000001E-3</v>
      </c>
      <c r="AQ136">
        <v>8.5239999999999991</v>
      </c>
      <c r="AR136">
        <v>0.15</v>
      </c>
      <c r="AS136">
        <v>1</v>
      </c>
      <c r="AT136">
        <v>0</v>
      </c>
      <c r="AU136">
        <v>64</v>
      </c>
    </row>
    <row r="137" spans="2:47" x14ac:dyDescent="0.25">
      <c r="B137" s="9">
        <v>124</v>
      </c>
      <c r="C137" s="35">
        <v>43000</v>
      </c>
      <c r="D137" s="3"/>
      <c r="E137" s="9">
        <f t="shared" si="12"/>
        <v>409</v>
      </c>
      <c r="F137" s="54">
        <f t="shared" si="21"/>
        <v>13056</v>
      </c>
      <c r="G137" s="73">
        <f t="shared" si="13"/>
        <v>1.214</v>
      </c>
      <c r="H137" s="56">
        <f t="shared" si="14"/>
        <v>0.66700000000000004</v>
      </c>
      <c r="I137" s="57">
        <f t="shared" si="15"/>
        <v>3084</v>
      </c>
      <c r="J137" s="58">
        <f t="shared" si="16"/>
        <v>9.8000000000000007</v>
      </c>
      <c r="L137" s="31">
        <f t="shared" si="17"/>
        <v>5.3999999999999999E-2</v>
      </c>
      <c r="M137" s="32">
        <f t="shared" si="22"/>
        <v>1.76</v>
      </c>
      <c r="N137" s="32">
        <f t="shared" si="18"/>
        <v>0.46800000000000003</v>
      </c>
      <c r="O137" s="32">
        <f t="shared" si="19"/>
        <v>-5.0999999999999997E-2</v>
      </c>
      <c r="P137" s="32">
        <f t="shared" si="23"/>
        <v>9.8420000000000005</v>
      </c>
      <c r="Q137" s="33">
        <f t="shared" si="23"/>
        <v>1.7</v>
      </c>
      <c r="AB137">
        <v>2</v>
      </c>
      <c r="AC137">
        <v>4</v>
      </c>
      <c r="AD137">
        <v>122</v>
      </c>
      <c r="AE137">
        <v>-1.7050000000000001</v>
      </c>
      <c r="AF137">
        <v>-1.7589999999999999</v>
      </c>
      <c r="AG137">
        <v>5.2999999999999999E-2</v>
      </c>
      <c r="AH137">
        <v>-5.0999999999999997E-2</v>
      </c>
      <c r="AI137">
        <v>0.46700000000000003</v>
      </c>
      <c r="AJ137">
        <v>9.7970000000000006</v>
      </c>
      <c r="AK137">
        <v>1.706</v>
      </c>
      <c r="AL137">
        <v>9.8789999999999996</v>
      </c>
      <c r="AM137">
        <v>0.17399999999999999</v>
      </c>
      <c r="AN137">
        <v>9.9450000000000003</v>
      </c>
      <c r="AO137">
        <v>8.93</v>
      </c>
      <c r="AP137">
        <v>3.0000000000000001E-3</v>
      </c>
      <c r="AQ137">
        <v>8.85</v>
      </c>
      <c r="AR137">
        <v>0.156</v>
      </c>
      <c r="AS137">
        <v>1</v>
      </c>
      <c r="AT137">
        <v>0</v>
      </c>
      <c r="AU137">
        <v>64</v>
      </c>
    </row>
    <row r="138" spans="2:47" x14ac:dyDescent="0.25">
      <c r="B138" s="9">
        <v>125</v>
      </c>
      <c r="C138" s="35">
        <v>43500</v>
      </c>
      <c r="D138" s="3"/>
      <c r="E138" s="9">
        <f t="shared" si="12"/>
        <v>432</v>
      </c>
      <c r="F138" s="54">
        <f t="shared" si="21"/>
        <v>13158</v>
      </c>
      <c r="G138" s="73">
        <f t="shared" si="13"/>
        <v>1.216</v>
      </c>
      <c r="H138" s="56">
        <f t="shared" si="14"/>
        <v>0.66800000000000004</v>
      </c>
      <c r="I138" s="57">
        <f t="shared" si="15"/>
        <v>3105</v>
      </c>
      <c r="J138" s="58">
        <f t="shared" si="16"/>
        <v>9.6999999999999993</v>
      </c>
      <c r="L138" s="31">
        <f t="shared" si="17"/>
        <v>5.7000000000000002E-2</v>
      </c>
      <c r="M138" s="32">
        <f t="shared" si="22"/>
        <v>1.7735000000000001</v>
      </c>
      <c r="N138" s="32">
        <f t="shared" si="18"/>
        <v>0.46899999999999997</v>
      </c>
      <c r="O138" s="32">
        <f t="shared" si="19"/>
        <v>-5.0999999999999997E-2</v>
      </c>
      <c r="P138" s="32">
        <f t="shared" si="23"/>
        <v>9.9120000000000008</v>
      </c>
      <c r="Q138" s="33">
        <f t="shared" si="23"/>
        <v>1.6950000000000001</v>
      </c>
      <c r="AB138">
        <v>2</v>
      </c>
      <c r="AC138">
        <v>4</v>
      </c>
      <c r="AD138">
        <v>123</v>
      </c>
      <c r="AE138">
        <v>-1.7210000000000001</v>
      </c>
      <c r="AF138">
        <v>-1.774</v>
      </c>
      <c r="AG138">
        <v>5.3999999999999999E-2</v>
      </c>
      <c r="AH138">
        <v>-5.1999999999999998E-2</v>
      </c>
      <c r="AI138">
        <v>0.46800000000000003</v>
      </c>
      <c r="AJ138">
        <v>9.9410000000000007</v>
      </c>
      <c r="AK138">
        <v>1.6439999999999999</v>
      </c>
      <c r="AL138">
        <v>9.4</v>
      </c>
      <c r="AM138">
        <v>0.16600000000000001</v>
      </c>
      <c r="AN138">
        <v>10.077</v>
      </c>
      <c r="AO138">
        <v>9.0030000000000001</v>
      </c>
      <c r="AP138">
        <v>3.0000000000000001E-3</v>
      </c>
      <c r="AQ138">
        <v>8.4</v>
      </c>
      <c r="AR138">
        <v>0.14799999999999999</v>
      </c>
      <c r="AS138">
        <v>1</v>
      </c>
      <c r="AT138">
        <v>0</v>
      </c>
      <c r="AU138">
        <v>64</v>
      </c>
    </row>
    <row r="139" spans="2:47" x14ac:dyDescent="0.25">
      <c r="B139" s="9">
        <v>126</v>
      </c>
      <c r="C139" s="35">
        <v>44000</v>
      </c>
      <c r="D139" s="3"/>
      <c r="E139" s="9">
        <f t="shared" si="12"/>
        <v>409</v>
      </c>
      <c r="F139" s="54">
        <f t="shared" si="21"/>
        <v>13237</v>
      </c>
      <c r="G139" s="73">
        <f t="shared" si="13"/>
        <v>1.214</v>
      </c>
      <c r="H139" s="56">
        <f t="shared" si="14"/>
        <v>0.66500000000000004</v>
      </c>
      <c r="I139" s="57">
        <f t="shared" si="15"/>
        <v>3109</v>
      </c>
      <c r="J139" s="58">
        <f t="shared" si="16"/>
        <v>9.8000000000000007</v>
      </c>
      <c r="L139" s="31">
        <f t="shared" si="17"/>
        <v>5.3999999999999999E-2</v>
      </c>
      <c r="M139" s="32">
        <f t="shared" si="22"/>
        <v>1.7839999999999998</v>
      </c>
      <c r="N139" s="32">
        <f t="shared" si="18"/>
        <v>0.46899999999999997</v>
      </c>
      <c r="O139" s="32">
        <f t="shared" si="19"/>
        <v>-0.05</v>
      </c>
      <c r="P139" s="32">
        <f t="shared" si="23"/>
        <v>9.923</v>
      </c>
      <c r="Q139" s="33">
        <f t="shared" si="23"/>
        <v>1.7090000000000001</v>
      </c>
      <c r="AB139">
        <v>2</v>
      </c>
      <c r="AC139">
        <v>4</v>
      </c>
      <c r="AD139">
        <v>124</v>
      </c>
      <c r="AE139">
        <v>-1.7330000000000001</v>
      </c>
      <c r="AF139">
        <v>-1.7869999999999999</v>
      </c>
      <c r="AG139">
        <v>5.3999999999999999E-2</v>
      </c>
      <c r="AH139">
        <v>-5.0999999999999997E-2</v>
      </c>
      <c r="AI139">
        <v>0.46800000000000003</v>
      </c>
      <c r="AJ139">
        <v>9.8420000000000005</v>
      </c>
      <c r="AK139">
        <v>1.7</v>
      </c>
      <c r="AL139">
        <v>9.8059999999999992</v>
      </c>
      <c r="AM139">
        <v>0.17299999999999999</v>
      </c>
      <c r="AN139">
        <v>9.9890000000000008</v>
      </c>
      <c r="AO139">
        <v>8.8819999999999997</v>
      </c>
      <c r="AP139">
        <v>3.0000000000000001E-3</v>
      </c>
      <c r="AQ139">
        <v>8.657</v>
      </c>
      <c r="AR139">
        <v>0.152</v>
      </c>
      <c r="AS139">
        <v>1</v>
      </c>
      <c r="AT139">
        <v>0</v>
      </c>
      <c r="AU139">
        <v>64</v>
      </c>
    </row>
    <row r="140" spans="2:47" x14ac:dyDescent="0.25">
      <c r="B140" s="9">
        <v>127</v>
      </c>
      <c r="C140" s="35">
        <v>44500</v>
      </c>
      <c r="D140" s="3"/>
      <c r="E140" s="9">
        <f t="shared" si="12"/>
        <v>409</v>
      </c>
      <c r="F140" s="54">
        <f t="shared" si="21"/>
        <v>13336</v>
      </c>
      <c r="G140" s="73">
        <f t="shared" si="13"/>
        <v>1.2110000000000001</v>
      </c>
      <c r="H140" s="56">
        <f t="shared" si="14"/>
        <v>0.66500000000000004</v>
      </c>
      <c r="I140" s="57">
        <f t="shared" si="15"/>
        <v>3084</v>
      </c>
      <c r="J140" s="58">
        <f t="shared" si="16"/>
        <v>9.6</v>
      </c>
      <c r="L140" s="31">
        <f t="shared" si="17"/>
        <v>5.3999999999999999E-2</v>
      </c>
      <c r="M140" s="32">
        <f t="shared" si="22"/>
        <v>1.7969999999999999</v>
      </c>
      <c r="N140" s="32">
        <f t="shared" si="18"/>
        <v>0.46700000000000003</v>
      </c>
      <c r="O140" s="32">
        <f t="shared" si="19"/>
        <v>-5.0999999999999997E-2</v>
      </c>
      <c r="P140" s="32">
        <f t="shared" si="23"/>
        <v>9.85</v>
      </c>
      <c r="Q140" s="33">
        <f t="shared" si="23"/>
        <v>1.66</v>
      </c>
      <c r="AB140">
        <v>2</v>
      </c>
      <c r="AC140">
        <v>4</v>
      </c>
      <c r="AD140">
        <v>125</v>
      </c>
      <c r="AE140">
        <v>-1.7450000000000001</v>
      </c>
      <c r="AF140">
        <v>-1.802</v>
      </c>
      <c r="AG140">
        <v>5.7000000000000002E-2</v>
      </c>
      <c r="AH140">
        <v>-5.0999999999999997E-2</v>
      </c>
      <c r="AI140">
        <v>0.46899999999999997</v>
      </c>
      <c r="AJ140">
        <v>9.9120000000000008</v>
      </c>
      <c r="AK140">
        <v>1.6950000000000001</v>
      </c>
      <c r="AL140">
        <v>9.7040000000000006</v>
      </c>
      <c r="AM140">
        <v>0.17100000000000001</v>
      </c>
      <c r="AN140">
        <v>10.055999999999999</v>
      </c>
      <c r="AO140">
        <v>8.9</v>
      </c>
      <c r="AP140">
        <v>3.0000000000000001E-3</v>
      </c>
      <c r="AQ140">
        <v>8.4749999999999996</v>
      </c>
      <c r="AR140">
        <v>0.14899999999999999</v>
      </c>
      <c r="AS140">
        <v>1</v>
      </c>
      <c r="AT140">
        <v>0</v>
      </c>
      <c r="AU140">
        <v>64</v>
      </c>
    </row>
    <row r="141" spans="2:47" x14ac:dyDescent="0.25">
      <c r="B141" s="9">
        <v>128</v>
      </c>
      <c r="C141" s="35">
        <v>45000</v>
      </c>
      <c r="D141" s="3"/>
      <c r="E141" s="9">
        <f t="shared" si="12"/>
        <v>424</v>
      </c>
      <c r="F141" s="54">
        <f t="shared" si="21"/>
        <v>13412</v>
      </c>
      <c r="G141" s="73">
        <f t="shared" si="13"/>
        <v>1.218</v>
      </c>
      <c r="H141" s="56">
        <f t="shared" si="14"/>
        <v>0.66800000000000004</v>
      </c>
      <c r="I141" s="57">
        <f t="shared" si="15"/>
        <v>3086</v>
      </c>
      <c r="J141" s="58">
        <f t="shared" si="16"/>
        <v>9.9</v>
      </c>
      <c r="L141" s="31">
        <f t="shared" si="17"/>
        <v>5.6000000000000001E-2</v>
      </c>
      <c r="M141" s="32">
        <f t="shared" si="22"/>
        <v>1.8069999999999999</v>
      </c>
      <c r="N141" s="32">
        <f t="shared" si="18"/>
        <v>0.47099999999999997</v>
      </c>
      <c r="O141" s="32">
        <f t="shared" si="19"/>
        <v>-0.05</v>
      </c>
      <c r="P141" s="32">
        <f t="shared" si="23"/>
        <v>9.8480000000000008</v>
      </c>
      <c r="Q141" s="33">
        <f t="shared" si="23"/>
        <v>1.7190000000000001</v>
      </c>
      <c r="AB141">
        <v>2</v>
      </c>
      <c r="AC141">
        <v>4</v>
      </c>
      <c r="AD141">
        <v>126</v>
      </c>
      <c r="AE141">
        <v>-1.7569999999999999</v>
      </c>
      <c r="AF141">
        <v>-1.8109999999999999</v>
      </c>
      <c r="AG141">
        <v>5.3999999999999999E-2</v>
      </c>
      <c r="AH141">
        <v>-0.05</v>
      </c>
      <c r="AI141">
        <v>0.46899999999999997</v>
      </c>
      <c r="AJ141">
        <v>9.923</v>
      </c>
      <c r="AK141">
        <v>1.7090000000000001</v>
      </c>
      <c r="AL141">
        <v>9.7789999999999999</v>
      </c>
      <c r="AM141">
        <v>0.17199999999999999</v>
      </c>
      <c r="AN141">
        <v>10.07</v>
      </c>
      <c r="AO141">
        <v>8.8889999999999993</v>
      </c>
      <c r="AP141">
        <v>3.0000000000000001E-3</v>
      </c>
      <c r="AQ141">
        <v>8.5839999999999996</v>
      </c>
      <c r="AR141">
        <v>0.151</v>
      </c>
      <c r="AS141">
        <v>1</v>
      </c>
      <c r="AT141">
        <v>0</v>
      </c>
      <c r="AU141">
        <v>64</v>
      </c>
    </row>
    <row r="142" spans="2:47" x14ac:dyDescent="0.25">
      <c r="B142" s="9">
        <v>129</v>
      </c>
      <c r="C142" s="35">
        <v>45500</v>
      </c>
      <c r="D142" s="3"/>
      <c r="E142" s="9">
        <f t="shared" ref="E142:E203" si="24">IF(L142="","",ROUND(12*C$7/(2*H$7^2+2*H$6*H$7-H$6^2)*L142*1000000,0))</f>
        <v>409</v>
      </c>
      <c r="F142" s="54">
        <f t="shared" si="21"/>
        <v>13510</v>
      </c>
      <c r="G142" s="73">
        <f t="shared" ref="G142:G203" si="25">IF(L142="","",ROUND(1.5*((N142-O142)*1000*H$7)/(C$6*C$7^2),3))</f>
        <v>1.2110000000000001</v>
      </c>
      <c r="H142" s="56">
        <f t="shared" ref="H142:H203" si="26">IF(L142="","",ROUND(1.5*((N142/2-O142)*1000*H$7)/(C$6*C$7^2),3))</f>
        <v>0.66400000000000003</v>
      </c>
      <c r="I142" s="57">
        <f t="shared" ref="I142:I203" si="27">IF(L142="","",IF(P142&lt;=0,"foute meting",ROUND(0.000001*V$4*SQRT((1000000*Q142)^2+(1000000*P142+V$5*(2*PI()*H$5)^2)^2),0)))</f>
        <v>3089</v>
      </c>
      <c r="J142" s="58">
        <f t="shared" ref="J142:J203" si="28">IF(L142="","",ROUND(ATAN(Q142/P142)/PI()*180,1))</f>
        <v>9.8000000000000007</v>
      </c>
      <c r="L142" s="31">
        <f t="shared" ref="L142:L203" si="29">IF(AG144&lt;=0,"",AG144)</f>
        <v>5.3999999999999999E-2</v>
      </c>
      <c r="M142" s="32">
        <f t="shared" si="22"/>
        <v>1.8199999999999998</v>
      </c>
      <c r="N142" s="32">
        <f t="shared" ref="N142:N203" si="30">IF(AI144="","",AI144)</f>
        <v>0.46800000000000003</v>
      </c>
      <c r="O142" s="32">
        <f t="shared" ref="O142:O203" si="31">IF(AH144="","",AH144)</f>
        <v>-0.05</v>
      </c>
      <c r="P142" s="32">
        <f t="shared" ref="P142:Q173" si="32">IF(AJ144="","",AJ144)</f>
        <v>9.86</v>
      </c>
      <c r="Q142" s="33">
        <f t="shared" si="32"/>
        <v>1.7</v>
      </c>
      <c r="AB142">
        <v>2</v>
      </c>
      <c r="AC142">
        <v>4</v>
      </c>
      <c r="AD142">
        <v>127</v>
      </c>
      <c r="AE142">
        <v>-1.77</v>
      </c>
      <c r="AF142">
        <v>-1.8240000000000001</v>
      </c>
      <c r="AG142">
        <v>5.3999999999999999E-2</v>
      </c>
      <c r="AH142">
        <v>-5.0999999999999997E-2</v>
      </c>
      <c r="AI142">
        <v>0.46700000000000003</v>
      </c>
      <c r="AJ142">
        <v>9.85</v>
      </c>
      <c r="AK142">
        <v>1.66</v>
      </c>
      <c r="AL142">
        <v>9.5559999999999992</v>
      </c>
      <c r="AM142">
        <v>0.16800000000000001</v>
      </c>
      <c r="AN142">
        <v>9.99</v>
      </c>
      <c r="AO142">
        <v>9.0069999999999997</v>
      </c>
      <c r="AP142">
        <v>3.0000000000000001E-3</v>
      </c>
      <c r="AQ142">
        <v>8.5589999999999993</v>
      </c>
      <c r="AR142">
        <v>0.151</v>
      </c>
      <c r="AS142">
        <v>1</v>
      </c>
      <c r="AT142">
        <v>0</v>
      </c>
      <c r="AU142">
        <v>64</v>
      </c>
    </row>
    <row r="143" spans="2:47" x14ac:dyDescent="0.25">
      <c r="B143" s="9">
        <v>130</v>
      </c>
      <c r="C143" s="35">
        <v>46000</v>
      </c>
      <c r="D143" s="3"/>
      <c r="E143" s="9">
        <f t="shared" si="24"/>
        <v>417</v>
      </c>
      <c r="F143" s="54">
        <f t="shared" ref="F143:F203" si="33">IF(L143="","",ABS(ROUND(12*C$7/(2*(H$7/1000)^2+2*(H$6/1000)*(H$7/1000)-(H$6/1000)^2)*(M143-M$14)*1,0)))</f>
        <v>13620</v>
      </c>
      <c r="G143" s="73">
        <f t="shared" si="25"/>
        <v>1.2110000000000001</v>
      </c>
      <c r="H143" s="56">
        <f t="shared" si="26"/>
        <v>0.66400000000000003</v>
      </c>
      <c r="I143" s="57">
        <f t="shared" si="27"/>
        <v>3076</v>
      </c>
      <c r="J143" s="58">
        <f t="shared" si="28"/>
        <v>9.9</v>
      </c>
      <c r="L143" s="31">
        <f t="shared" si="29"/>
        <v>5.5E-2</v>
      </c>
      <c r="M143" s="32">
        <f t="shared" ref="M143:M203" si="34">IF(AG145="","",AG145/2-AE145)</f>
        <v>1.8345</v>
      </c>
      <c r="N143" s="32">
        <f t="shared" si="30"/>
        <v>0.46800000000000003</v>
      </c>
      <c r="O143" s="32">
        <f t="shared" si="31"/>
        <v>-0.05</v>
      </c>
      <c r="P143" s="32">
        <f t="shared" si="32"/>
        <v>9.8160000000000007</v>
      </c>
      <c r="Q143" s="33">
        <f t="shared" si="32"/>
        <v>1.708</v>
      </c>
      <c r="AB143">
        <v>2</v>
      </c>
      <c r="AC143">
        <v>4</v>
      </c>
      <c r="AD143">
        <v>128</v>
      </c>
      <c r="AE143">
        <v>-1.7789999999999999</v>
      </c>
      <c r="AF143">
        <v>-1.835</v>
      </c>
      <c r="AG143">
        <v>5.6000000000000001E-2</v>
      </c>
      <c r="AH143">
        <v>-0.05</v>
      </c>
      <c r="AI143">
        <v>0.47099999999999997</v>
      </c>
      <c r="AJ143">
        <v>9.8480000000000008</v>
      </c>
      <c r="AK143">
        <v>1.7190000000000001</v>
      </c>
      <c r="AL143">
        <v>9.9060000000000006</v>
      </c>
      <c r="AM143">
        <v>0.17499999999999999</v>
      </c>
      <c r="AN143">
        <v>9.9969999999999999</v>
      </c>
      <c r="AO143">
        <v>9.0129999999999999</v>
      </c>
      <c r="AP143">
        <v>3.0000000000000001E-3</v>
      </c>
      <c r="AQ143">
        <v>8.77</v>
      </c>
      <c r="AR143">
        <v>0.154</v>
      </c>
      <c r="AS143">
        <v>1</v>
      </c>
      <c r="AT143">
        <v>0</v>
      </c>
      <c r="AU143">
        <v>64</v>
      </c>
    </row>
    <row r="144" spans="2:47" x14ac:dyDescent="0.25">
      <c r="B144" s="9">
        <v>131</v>
      </c>
      <c r="C144" s="35">
        <v>46500</v>
      </c>
      <c r="D144" s="3"/>
      <c r="E144" s="9">
        <f t="shared" si="24"/>
        <v>439</v>
      </c>
      <c r="F144" s="54">
        <f t="shared" si="33"/>
        <v>13722</v>
      </c>
      <c r="G144" s="73">
        <f t="shared" si="25"/>
        <v>1.216</v>
      </c>
      <c r="H144" s="56">
        <f t="shared" si="26"/>
        <v>0.66800000000000004</v>
      </c>
      <c r="I144" s="57">
        <f t="shared" si="27"/>
        <v>3027</v>
      </c>
      <c r="J144" s="58">
        <f t="shared" si="28"/>
        <v>9.9</v>
      </c>
      <c r="L144" s="31">
        <f t="shared" si="29"/>
        <v>5.8000000000000003E-2</v>
      </c>
      <c r="M144" s="32">
        <f t="shared" si="34"/>
        <v>1.8479999999999999</v>
      </c>
      <c r="N144" s="32">
        <f t="shared" si="30"/>
        <v>0.46899999999999997</v>
      </c>
      <c r="O144" s="32">
        <f t="shared" si="31"/>
        <v>-5.0999999999999997E-2</v>
      </c>
      <c r="P144" s="32">
        <f t="shared" si="32"/>
        <v>9.6609999999999996</v>
      </c>
      <c r="Q144" s="33">
        <f t="shared" si="32"/>
        <v>1.6779999999999999</v>
      </c>
      <c r="AB144">
        <v>2</v>
      </c>
      <c r="AC144">
        <v>4</v>
      </c>
      <c r="AD144">
        <v>129</v>
      </c>
      <c r="AE144">
        <v>-1.7929999999999999</v>
      </c>
      <c r="AF144">
        <v>-1.847</v>
      </c>
      <c r="AG144">
        <v>5.3999999999999999E-2</v>
      </c>
      <c r="AH144">
        <v>-0.05</v>
      </c>
      <c r="AI144">
        <v>0.46800000000000003</v>
      </c>
      <c r="AJ144">
        <v>9.86</v>
      </c>
      <c r="AK144">
        <v>1.7</v>
      </c>
      <c r="AL144">
        <v>9.7859999999999996</v>
      </c>
      <c r="AM144">
        <v>0.17299999999999999</v>
      </c>
      <c r="AN144">
        <v>10.007</v>
      </c>
      <c r="AO144">
        <v>8.99</v>
      </c>
      <c r="AP144">
        <v>3.0000000000000001E-3</v>
      </c>
      <c r="AQ144">
        <v>8.6959999999999997</v>
      </c>
      <c r="AR144">
        <v>0.153</v>
      </c>
      <c r="AS144">
        <v>1</v>
      </c>
      <c r="AT144">
        <v>0</v>
      </c>
      <c r="AU144">
        <v>64</v>
      </c>
    </row>
    <row r="145" spans="2:47" x14ac:dyDescent="0.25">
      <c r="B145" s="9">
        <v>132</v>
      </c>
      <c r="C145" s="35">
        <v>47000</v>
      </c>
      <c r="D145" s="3"/>
      <c r="E145" s="9">
        <f t="shared" si="24"/>
        <v>417</v>
      </c>
      <c r="F145" s="54">
        <f t="shared" si="33"/>
        <v>13840</v>
      </c>
      <c r="G145" s="73">
        <f t="shared" si="25"/>
        <v>1.214</v>
      </c>
      <c r="H145" s="56">
        <f t="shared" si="26"/>
        <v>0.66500000000000004</v>
      </c>
      <c r="I145" s="57">
        <f t="shared" si="27"/>
        <v>3019</v>
      </c>
      <c r="J145" s="58">
        <f t="shared" si="28"/>
        <v>10.199999999999999</v>
      </c>
      <c r="L145" s="31">
        <f t="shared" si="29"/>
        <v>5.5E-2</v>
      </c>
      <c r="M145" s="32">
        <f t="shared" si="34"/>
        <v>1.8635000000000002</v>
      </c>
      <c r="N145" s="32">
        <f t="shared" si="30"/>
        <v>0.46899999999999997</v>
      </c>
      <c r="O145" s="32">
        <f t="shared" si="31"/>
        <v>-0.05</v>
      </c>
      <c r="P145" s="32">
        <f t="shared" si="32"/>
        <v>9.6259999999999994</v>
      </c>
      <c r="Q145" s="33">
        <f t="shared" si="32"/>
        <v>1.7290000000000001</v>
      </c>
      <c r="AB145">
        <v>2</v>
      </c>
      <c r="AC145">
        <v>4</v>
      </c>
      <c r="AD145">
        <v>130</v>
      </c>
      <c r="AE145">
        <v>-1.8069999999999999</v>
      </c>
      <c r="AF145">
        <v>-1.8620000000000001</v>
      </c>
      <c r="AG145">
        <v>5.5E-2</v>
      </c>
      <c r="AH145">
        <v>-0.05</v>
      </c>
      <c r="AI145">
        <v>0.46800000000000003</v>
      </c>
      <c r="AJ145">
        <v>9.8160000000000007</v>
      </c>
      <c r="AK145">
        <v>1.708</v>
      </c>
      <c r="AL145">
        <v>9.8680000000000003</v>
      </c>
      <c r="AM145">
        <v>0.17399999999999999</v>
      </c>
      <c r="AN145">
        <v>9.9640000000000004</v>
      </c>
      <c r="AO145">
        <v>9.0519999999999996</v>
      </c>
      <c r="AP145">
        <v>3.0000000000000001E-3</v>
      </c>
      <c r="AQ145">
        <v>8.9659999999999993</v>
      </c>
      <c r="AR145">
        <v>0.158</v>
      </c>
      <c r="AS145">
        <v>1</v>
      </c>
      <c r="AT145">
        <v>0</v>
      </c>
      <c r="AU145">
        <v>64</v>
      </c>
    </row>
    <row r="146" spans="2:47" x14ac:dyDescent="0.25">
      <c r="B146" s="9">
        <v>133</v>
      </c>
      <c r="C146" s="35">
        <v>47500</v>
      </c>
      <c r="D146" s="3"/>
      <c r="E146" s="9">
        <f t="shared" si="24"/>
        <v>432</v>
      </c>
      <c r="F146" s="54">
        <f t="shared" si="33"/>
        <v>13938</v>
      </c>
      <c r="G146" s="73">
        <f t="shared" si="25"/>
        <v>1.214</v>
      </c>
      <c r="H146" s="56">
        <f t="shared" si="26"/>
        <v>0.66700000000000004</v>
      </c>
      <c r="I146" s="57">
        <f t="shared" si="27"/>
        <v>3057</v>
      </c>
      <c r="J146" s="58">
        <f t="shared" si="28"/>
        <v>10.199999999999999</v>
      </c>
      <c r="L146" s="31">
        <f t="shared" si="29"/>
        <v>5.7000000000000002E-2</v>
      </c>
      <c r="M146" s="32">
        <f t="shared" si="34"/>
        <v>1.8765000000000001</v>
      </c>
      <c r="N146" s="32">
        <f t="shared" si="30"/>
        <v>0.46800000000000003</v>
      </c>
      <c r="O146" s="32">
        <f t="shared" si="31"/>
        <v>-5.0999999999999997E-2</v>
      </c>
      <c r="P146" s="32">
        <f t="shared" si="32"/>
        <v>9.7449999999999992</v>
      </c>
      <c r="Q146" s="33">
        <f t="shared" si="32"/>
        <v>1.75</v>
      </c>
      <c r="AB146">
        <v>2</v>
      </c>
      <c r="AC146">
        <v>4</v>
      </c>
      <c r="AD146">
        <v>131</v>
      </c>
      <c r="AE146">
        <v>-1.819</v>
      </c>
      <c r="AF146">
        <v>-1.877</v>
      </c>
      <c r="AG146">
        <v>5.8000000000000003E-2</v>
      </c>
      <c r="AH146">
        <v>-5.0999999999999997E-2</v>
      </c>
      <c r="AI146">
        <v>0.46899999999999997</v>
      </c>
      <c r="AJ146">
        <v>9.6609999999999996</v>
      </c>
      <c r="AK146">
        <v>1.6779999999999999</v>
      </c>
      <c r="AL146">
        <v>9.8539999999999992</v>
      </c>
      <c r="AM146">
        <v>0.17399999999999999</v>
      </c>
      <c r="AN146">
        <v>9.8059999999999992</v>
      </c>
      <c r="AO146">
        <v>8.84</v>
      </c>
      <c r="AP146">
        <v>3.0000000000000001E-3</v>
      </c>
      <c r="AQ146">
        <v>8.7780000000000005</v>
      </c>
      <c r="AR146">
        <v>0.154</v>
      </c>
      <c r="AS146">
        <v>1</v>
      </c>
      <c r="AT146">
        <v>0</v>
      </c>
      <c r="AU146">
        <v>64</v>
      </c>
    </row>
    <row r="147" spans="2:47" x14ac:dyDescent="0.25">
      <c r="B147" s="9">
        <v>134</v>
      </c>
      <c r="C147" s="35">
        <v>48000</v>
      </c>
      <c r="D147" s="3"/>
      <c r="E147" s="9">
        <f t="shared" si="24"/>
        <v>417</v>
      </c>
      <c r="F147" s="54">
        <f t="shared" si="33"/>
        <v>14052</v>
      </c>
      <c r="G147" s="73">
        <f t="shared" si="25"/>
        <v>1.214</v>
      </c>
      <c r="H147" s="56">
        <f t="shared" si="26"/>
        <v>0.66700000000000004</v>
      </c>
      <c r="I147" s="57">
        <f t="shared" si="27"/>
        <v>3055</v>
      </c>
      <c r="J147" s="58">
        <f t="shared" si="28"/>
        <v>10.199999999999999</v>
      </c>
      <c r="L147" s="31">
        <f t="shared" si="29"/>
        <v>5.5E-2</v>
      </c>
      <c r="M147" s="32">
        <f t="shared" si="34"/>
        <v>1.8915000000000002</v>
      </c>
      <c r="N147" s="32">
        <f t="shared" si="30"/>
        <v>0.46800000000000003</v>
      </c>
      <c r="O147" s="32">
        <f t="shared" si="31"/>
        <v>-5.0999999999999997E-2</v>
      </c>
      <c r="P147" s="32">
        <f t="shared" si="32"/>
        <v>9.7390000000000008</v>
      </c>
      <c r="Q147" s="33">
        <f t="shared" si="32"/>
        <v>1.7509999999999999</v>
      </c>
      <c r="AB147">
        <v>2</v>
      </c>
      <c r="AC147">
        <v>4</v>
      </c>
      <c r="AD147">
        <v>132</v>
      </c>
      <c r="AE147">
        <v>-1.8360000000000001</v>
      </c>
      <c r="AF147">
        <v>-1.89</v>
      </c>
      <c r="AG147">
        <v>5.5E-2</v>
      </c>
      <c r="AH147">
        <v>-0.05</v>
      </c>
      <c r="AI147">
        <v>0.46899999999999997</v>
      </c>
      <c r="AJ147">
        <v>9.6259999999999994</v>
      </c>
      <c r="AK147">
        <v>1.7290000000000001</v>
      </c>
      <c r="AL147">
        <v>10.183999999999999</v>
      </c>
      <c r="AM147">
        <v>0.18</v>
      </c>
      <c r="AN147">
        <v>9.782</v>
      </c>
      <c r="AO147">
        <v>8.8130000000000006</v>
      </c>
      <c r="AP147">
        <v>3.0000000000000001E-3</v>
      </c>
      <c r="AQ147">
        <v>9.1010000000000009</v>
      </c>
      <c r="AR147">
        <v>0.16</v>
      </c>
      <c r="AS147">
        <v>1</v>
      </c>
      <c r="AT147">
        <v>0</v>
      </c>
      <c r="AU147">
        <v>64</v>
      </c>
    </row>
    <row r="148" spans="2:47" x14ac:dyDescent="0.25">
      <c r="B148" s="9">
        <v>135</v>
      </c>
      <c r="C148" s="35">
        <v>48500</v>
      </c>
      <c r="D148" s="3"/>
      <c r="E148" s="9">
        <f t="shared" si="24"/>
        <v>424</v>
      </c>
      <c r="F148" s="54">
        <f t="shared" si="33"/>
        <v>14146</v>
      </c>
      <c r="G148" s="73">
        <f t="shared" si="25"/>
        <v>1.214</v>
      </c>
      <c r="H148" s="56">
        <f t="shared" si="26"/>
        <v>0.66700000000000004</v>
      </c>
      <c r="I148" s="57">
        <f t="shared" si="27"/>
        <v>3005</v>
      </c>
      <c r="J148" s="58">
        <f t="shared" si="28"/>
        <v>9.6999999999999993</v>
      </c>
      <c r="L148" s="31">
        <f t="shared" si="29"/>
        <v>5.6000000000000001E-2</v>
      </c>
      <c r="M148" s="32">
        <f t="shared" si="34"/>
        <v>1.9039999999999999</v>
      </c>
      <c r="N148" s="32">
        <f t="shared" si="30"/>
        <v>0.46800000000000003</v>
      </c>
      <c r="O148" s="32">
        <f t="shared" si="31"/>
        <v>-5.0999999999999997E-2</v>
      </c>
      <c r="P148" s="32">
        <f t="shared" si="32"/>
        <v>9.593</v>
      </c>
      <c r="Q148" s="33">
        <f t="shared" si="32"/>
        <v>1.641</v>
      </c>
      <c r="AB148">
        <v>2</v>
      </c>
      <c r="AC148">
        <v>4</v>
      </c>
      <c r="AD148">
        <v>133</v>
      </c>
      <c r="AE148">
        <v>-1.8480000000000001</v>
      </c>
      <c r="AF148">
        <v>-1.905</v>
      </c>
      <c r="AG148">
        <v>5.7000000000000002E-2</v>
      </c>
      <c r="AH148">
        <v>-5.0999999999999997E-2</v>
      </c>
      <c r="AI148">
        <v>0.46800000000000003</v>
      </c>
      <c r="AJ148">
        <v>9.7449999999999992</v>
      </c>
      <c r="AK148">
        <v>1.75</v>
      </c>
      <c r="AL148">
        <v>10.179</v>
      </c>
      <c r="AM148">
        <v>0.18</v>
      </c>
      <c r="AN148">
        <v>9.9009999999999998</v>
      </c>
      <c r="AO148">
        <v>8.7799999999999994</v>
      </c>
      <c r="AP148">
        <v>3.0000000000000001E-3</v>
      </c>
      <c r="AQ148">
        <v>8.9410000000000007</v>
      </c>
      <c r="AR148">
        <v>0.157</v>
      </c>
      <c r="AS148">
        <v>1</v>
      </c>
      <c r="AT148">
        <v>0</v>
      </c>
      <c r="AU148">
        <v>64</v>
      </c>
    </row>
    <row r="149" spans="2:47" x14ac:dyDescent="0.25">
      <c r="B149" s="9">
        <v>136</v>
      </c>
      <c r="C149" s="35">
        <v>49000</v>
      </c>
      <c r="D149" s="3"/>
      <c r="E149" s="9">
        <f t="shared" si="24"/>
        <v>417</v>
      </c>
      <c r="F149" s="54">
        <f t="shared" si="33"/>
        <v>14233</v>
      </c>
      <c r="G149" s="73">
        <f t="shared" si="25"/>
        <v>1.2110000000000001</v>
      </c>
      <c r="H149" s="56">
        <f t="shared" si="26"/>
        <v>0.66500000000000004</v>
      </c>
      <c r="I149" s="57">
        <f t="shared" si="27"/>
        <v>3030</v>
      </c>
      <c r="J149" s="58">
        <f t="shared" si="28"/>
        <v>9.8000000000000007</v>
      </c>
      <c r="L149" s="31">
        <f t="shared" si="29"/>
        <v>5.5E-2</v>
      </c>
      <c r="M149" s="32">
        <f t="shared" si="34"/>
        <v>1.9155</v>
      </c>
      <c r="N149" s="32">
        <f t="shared" si="30"/>
        <v>0.46700000000000003</v>
      </c>
      <c r="O149" s="32">
        <f t="shared" si="31"/>
        <v>-5.0999999999999997E-2</v>
      </c>
      <c r="P149" s="32">
        <f t="shared" si="32"/>
        <v>9.67</v>
      </c>
      <c r="Q149" s="33">
        <f t="shared" si="32"/>
        <v>1.6679999999999999</v>
      </c>
      <c r="AB149">
        <v>2</v>
      </c>
      <c r="AC149">
        <v>4</v>
      </c>
      <c r="AD149">
        <v>134</v>
      </c>
      <c r="AE149">
        <v>-1.8640000000000001</v>
      </c>
      <c r="AF149">
        <v>-1.9179999999999999</v>
      </c>
      <c r="AG149">
        <v>5.5E-2</v>
      </c>
      <c r="AH149">
        <v>-5.0999999999999997E-2</v>
      </c>
      <c r="AI149">
        <v>0.46800000000000003</v>
      </c>
      <c r="AJ149">
        <v>9.7390000000000008</v>
      </c>
      <c r="AK149">
        <v>1.7509999999999999</v>
      </c>
      <c r="AL149">
        <v>10.19</v>
      </c>
      <c r="AM149">
        <v>0.18</v>
      </c>
      <c r="AN149">
        <v>9.8960000000000008</v>
      </c>
      <c r="AO149">
        <v>8.7100000000000009</v>
      </c>
      <c r="AP149">
        <v>3.0000000000000001E-3</v>
      </c>
      <c r="AQ149">
        <v>8.9090000000000007</v>
      </c>
      <c r="AR149">
        <v>0.157</v>
      </c>
      <c r="AS149">
        <v>1</v>
      </c>
      <c r="AT149">
        <v>0</v>
      </c>
      <c r="AU149">
        <v>64</v>
      </c>
    </row>
    <row r="150" spans="2:47" x14ac:dyDescent="0.25">
      <c r="B150" s="9">
        <v>137</v>
      </c>
      <c r="C150" s="35">
        <v>49500</v>
      </c>
      <c r="D150" s="3"/>
      <c r="E150" s="9">
        <f t="shared" si="24"/>
        <v>439</v>
      </c>
      <c r="F150" s="54">
        <f t="shared" si="33"/>
        <v>14366</v>
      </c>
      <c r="G150" s="73">
        <f t="shared" si="25"/>
        <v>1.216</v>
      </c>
      <c r="H150" s="56">
        <f t="shared" si="26"/>
        <v>0.66800000000000004</v>
      </c>
      <c r="I150" s="57">
        <f t="shared" si="27"/>
        <v>2994</v>
      </c>
      <c r="J150" s="58">
        <f t="shared" si="28"/>
        <v>10.7</v>
      </c>
      <c r="L150" s="31">
        <f t="shared" si="29"/>
        <v>5.8000000000000003E-2</v>
      </c>
      <c r="M150" s="32">
        <f t="shared" si="34"/>
        <v>1.9329999999999998</v>
      </c>
      <c r="N150" s="32">
        <f t="shared" si="30"/>
        <v>0.46899999999999997</v>
      </c>
      <c r="O150" s="32">
        <f t="shared" si="31"/>
        <v>-5.0999999999999997E-2</v>
      </c>
      <c r="P150" s="32">
        <f t="shared" si="32"/>
        <v>9.5280000000000005</v>
      </c>
      <c r="Q150" s="33">
        <f t="shared" si="32"/>
        <v>1.7989999999999999</v>
      </c>
      <c r="AB150">
        <v>2</v>
      </c>
      <c r="AC150">
        <v>4</v>
      </c>
      <c r="AD150">
        <v>135</v>
      </c>
      <c r="AE150">
        <v>-1.8759999999999999</v>
      </c>
      <c r="AF150">
        <v>-1.9319999999999999</v>
      </c>
      <c r="AG150">
        <v>5.6000000000000001E-2</v>
      </c>
      <c r="AH150">
        <v>-5.0999999999999997E-2</v>
      </c>
      <c r="AI150">
        <v>0.46800000000000003</v>
      </c>
      <c r="AJ150">
        <v>9.593</v>
      </c>
      <c r="AK150">
        <v>1.641</v>
      </c>
      <c r="AL150">
        <v>9.7100000000000009</v>
      </c>
      <c r="AM150">
        <v>0.17100000000000001</v>
      </c>
      <c r="AN150">
        <v>9.7319999999999993</v>
      </c>
      <c r="AO150">
        <v>8.57</v>
      </c>
      <c r="AP150">
        <v>3.0000000000000001E-3</v>
      </c>
      <c r="AQ150">
        <v>8.4760000000000009</v>
      </c>
      <c r="AR150">
        <v>0.14899999999999999</v>
      </c>
      <c r="AS150">
        <v>1</v>
      </c>
      <c r="AT150">
        <v>0</v>
      </c>
      <c r="AU150">
        <v>64</v>
      </c>
    </row>
    <row r="151" spans="2:47" x14ac:dyDescent="0.25">
      <c r="B151" s="9">
        <v>138</v>
      </c>
      <c r="C151" s="35">
        <v>50000</v>
      </c>
      <c r="D151" s="3"/>
      <c r="E151" s="9">
        <f t="shared" si="24"/>
        <v>424</v>
      </c>
      <c r="F151" s="54">
        <f t="shared" si="33"/>
        <v>14464</v>
      </c>
      <c r="G151" s="73">
        <f t="shared" si="25"/>
        <v>1.2110000000000001</v>
      </c>
      <c r="H151" s="56">
        <f t="shared" si="26"/>
        <v>0.66500000000000004</v>
      </c>
      <c r="I151" s="57">
        <f t="shared" si="27"/>
        <v>2999</v>
      </c>
      <c r="J151" s="58">
        <f t="shared" si="28"/>
        <v>10</v>
      </c>
      <c r="L151" s="31">
        <f t="shared" si="29"/>
        <v>5.6000000000000001E-2</v>
      </c>
      <c r="M151" s="32">
        <f t="shared" si="34"/>
        <v>1.946</v>
      </c>
      <c r="N151" s="32">
        <f t="shared" si="30"/>
        <v>0.46700000000000003</v>
      </c>
      <c r="O151" s="32">
        <f t="shared" si="31"/>
        <v>-5.0999999999999997E-2</v>
      </c>
      <c r="P151" s="32">
        <f t="shared" si="32"/>
        <v>9.5670000000000002</v>
      </c>
      <c r="Q151" s="33">
        <f t="shared" si="32"/>
        <v>1.6910000000000001</v>
      </c>
      <c r="AB151">
        <v>2</v>
      </c>
      <c r="AC151">
        <v>4</v>
      </c>
      <c r="AD151">
        <v>136</v>
      </c>
      <c r="AE151">
        <v>-1.8879999999999999</v>
      </c>
      <c r="AF151">
        <v>-1.9430000000000001</v>
      </c>
      <c r="AG151">
        <v>5.5E-2</v>
      </c>
      <c r="AH151">
        <v>-5.0999999999999997E-2</v>
      </c>
      <c r="AI151">
        <v>0.46700000000000003</v>
      </c>
      <c r="AJ151">
        <v>9.67</v>
      </c>
      <c r="AK151">
        <v>1.6679999999999999</v>
      </c>
      <c r="AL151">
        <v>9.7870000000000008</v>
      </c>
      <c r="AM151">
        <v>0.17299999999999999</v>
      </c>
      <c r="AN151">
        <v>9.8130000000000006</v>
      </c>
      <c r="AO151">
        <v>8.6859999999999999</v>
      </c>
      <c r="AP151">
        <v>3.0000000000000001E-3</v>
      </c>
      <c r="AQ151">
        <v>8.6059999999999999</v>
      </c>
      <c r="AR151">
        <v>0.151</v>
      </c>
      <c r="AS151">
        <v>1</v>
      </c>
      <c r="AT151">
        <v>0</v>
      </c>
      <c r="AU151">
        <v>64</v>
      </c>
    </row>
    <row r="152" spans="2:47" x14ac:dyDescent="0.25">
      <c r="B152" s="9">
        <v>139</v>
      </c>
      <c r="C152" s="35">
        <v>51000</v>
      </c>
      <c r="D152" s="3"/>
      <c r="E152" s="9">
        <f t="shared" si="24"/>
        <v>447</v>
      </c>
      <c r="F152" s="54">
        <f t="shared" si="33"/>
        <v>14658</v>
      </c>
      <c r="G152" s="73">
        <f t="shared" si="25"/>
        <v>1.216</v>
      </c>
      <c r="H152" s="56">
        <f t="shared" si="26"/>
        <v>0.66900000000000004</v>
      </c>
      <c r="I152" s="57">
        <f t="shared" si="27"/>
        <v>2991</v>
      </c>
      <c r="J152" s="58">
        <f t="shared" si="28"/>
        <v>9.9</v>
      </c>
      <c r="L152" s="31">
        <f t="shared" si="29"/>
        <v>5.8999999999999997E-2</v>
      </c>
      <c r="M152" s="32">
        <f t="shared" si="34"/>
        <v>1.9715</v>
      </c>
      <c r="N152" s="32">
        <f t="shared" si="30"/>
        <v>0.46800000000000003</v>
      </c>
      <c r="O152" s="32">
        <f t="shared" si="31"/>
        <v>-5.1999999999999998E-2</v>
      </c>
      <c r="P152" s="32">
        <f t="shared" si="32"/>
        <v>9.5419999999999998</v>
      </c>
      <c r="Q152" s="33">
        <f t="shared" si="32"/>
        <v>1.671</v>
      </c>
      <c r="AB152">
        <v>2</v>
      </c>
      <c r="AC152">
        <v>4</v>
      </c>
      <c r="AD152">
        <v>137</v>
      </c>
      <c r="AE152">
        <v>-1.9039999999999999</v>
      </c>
      <c r="AF152">
        <v>-1.9610000000000001</v>
      </c>
      <c r="AG152">
        <v>5.8000000000000003E-2</v>
      </c>
      <c r="AH152">
        <v>-5.0999999999999997E-2</v>
      </c>
      <c r="AI152">
        <v>0.46899999999999997</v>
      </c>
      <c r="AJ152">
        <v>9.5280000000000005</v>
      </c>
      <c r="AK152">
        <v>1.7989999999999999</v>
      </c>
      <c r="AL152">
        <v>10.695</v>
      </c>
      <c r="AM152">
        <v>0.189</v>
      </c>
      <c r="AN152">
        <v>9.6969999999999992</v>
      </c>
      <c r="AO152">
        <v>8.4529999999999994</v>
      </c>
      <c r="AP152">
        <v>3.0000000000000001E-3</v>
      </c>
      <c r="AQ152">
        <v>9.2840000000000007</v>
      </c>
      <c r="AR152">
        <v>0.16300000000000001</v>
      </c>
      <c r="AS152">
        <v>1</v>
      </c>
      <c r="AT152">
        <v>0</v>
      </c>
      <c r="AU152">
        <v>64</v>
      </c>
    </row>
    <row r="153" spans="2:47" x14ac:dyDescent="0.25">
      <c r="B153" s="9">
        <v>140</v>
      </c>
      <c r="C153" s="35">
        <v>52000</v>
      </c>
      <c r="D153" s="3"/>
      <c r="E153" s="9">
        <f t="shared" si="24"/>
        <v>432</v>
      </c>
      <c r="F153" s="54">
        <f t="shared" si="33"/>
        <v>14915</v>
      </c>
      <c r="G153" s="73">
        <f t="shared" si="25"/>
        <v>1.214</v>
      </c>
      <c r="H153" s="56">
        <f t="shared" si="26"/>
        <v>0.66500000000000004</v>
      </c>
      <c r="I153" s="57">
        <f t="shared" si="27"/>
        <v>2961</v>
      </c>
      <c r="J153" s="58">
        <f t="shared" si="28"/>
        <v>10.7</v>
      </c>
      <c r="L153" s="31">
        <f t="shared" si="29"/>
        <v>5.7000000000000002E-2</v>
      </c>
      <c r="M153" s="32">
        <f t="shared" si="34"/>
        <v>2.0055000000000001</v>
      </c>
      <c r="N153" s="32">
        <f t="shared" si="30"/>
        <v>0.46899999999999997</v>
      </c>
      <c r="O153" s="32">
        <f t="shared" si="31"/>
        <v>-0.05</v>
      </c>
      <c r="P153" s="32">
        <f t="shared" si="32"/>
        <v>9.4250000000000007</v>
      </c>
      <c r="Q153" s="33">
        <f t="shared" si="32"/>
        <v>1.78</v>
      </c>
      <c r="AB153">
        <v>2</v>
      </c>
      <c r="AC153">
        <v>4</v>
      </c>
      <c r="AD153">
        <v>138</v>
      </c>
      <c r="AE153">
        <v>-1.9179999999999999</v>
      </c>
      <c r="AF153">
        <v>-1.974</v>
      </c>
      <c r="AG153">
        <v>5.6000000000000001E-2</v>
      </c>
      <c r="AH153">
        <v>-5.0999999999999997E-2</v>
      </c>
      <c r="AI153">
        <v>0.46700000000000003</v>
      </c>
      <c r="AJ153">
        <v>9.5670000000000002</v>
      </c>
      <c r="AK153">
        <v>1.6910000000000001</v>
      </c>
      <c r="AL153">
        <v>10.022</v>
      </c>
      <c r="AM153">
        <v>0.17699999999999999</v>
      </c>
      <c r="AN153">
        <v>9.7159999999999993</v>
      </c>
      <c r="AO153">
        <v>8.4559999999999995</v>
      </c>
      <c r="AP153">
        <v>3.0000000000000001E-3</v>
      </c>
      <c r="AQ153">
        <v>8.6890000000000001</v>
      </c>
      <c r="AR153">
        <v>0.153</v>
      </c>
      <c r="AS153">
        <v>1</v>
      </c>
      <c r="AT153">
        <v>0</v>
      </c>
      <c r="AU153">
        <v>64</v>
      </c>
    </row>
    <row r="154" spans="2:47" x14ac:dyDescent="0.25">
      <c r="B154" s="9">
        <v>141</v>
      </c>
      <c r="C154" s="35">
        <v>53000</v>
      </c>
      <c r="D154" s="3"/>
      <c r="E154" s="9">
        <f t="shared" si="24"/>
        <v>439</v>
      </c>
      <c r="F154" s="54">
        <f t="shared" si="33"/>
        <v>15123</v>
      </c>
      <c r="G154" s="73">
        <f t="shared" si="25"/>
        <v>1.216</v>
      </c>
      <c r="H154" s="56">
        <f t="shared" si="26"/>
        <v>0.66800000000000004</v>
      </c>
      <c r="I154" s="57">
        <f t="shared" si="27"/>
        <v>2943</v>
      </c>
      <c r="J154" s="58">
        <f t="shared" si="28"/>
        <v>10.7</v>
      </c>
      <c r="L154" s="31">
        <f t="shared" si="29"/>
        <v>5.8000000000000003E-2</v>
      </c>
      <c r="M154" s="32">
        <f t="shared" si="34"/>
        <v>2.0329999999999999</v>
      </c>
      <c r="N154" s="32">
        <f t="shared" si="30"/>
        <v>0.46899999999999997</v>
      </c>
      <c r="O154" s="32">
        <f t="shared" si="31"/>
        <v>-5.0999999999999997E-2</v>
      </c>
      <c r="P154" s="32">
        <f t="shared" si="32"/>
        <v>9.3670000000000009</v>
      </c>
      <c r="Q154" s="33">
        <f t="shared" si="32"/>
        <v>1.762</v>
      </c>
      <c r="AB154">
        <v>2</v>
      </c>
      <c r="AC154">
        <v>4</v>
      </c>
      <c r="AD154">
        <v>139</v>
      </c>
      <c r="AE154">
        <v>-1.9419999999999999</v>
      </c>
      <c r="AF154">
        <v>-2</v>
      </c>
      <c r="AG154">
        <v>5.8999999999999997E-2</v>
      </c>
      <c r="AH154">
        <v>-5.1999999999999998E-2</v>
      </c>
      <c r="AI154">
        <v>0.46800000000000003</v>
      </c>
      <c r="AJ154">
        <v>9.5419999999999998</v>
      </c>
      <c r="AK154">
        <v>1.671</v>
      </c>
      <c r="AL154">
        <v>9.9329999999999998</v>
      </c>
      <c r="AM154">
        <v>0.17499999999999999</v>
      </c>
      <c r="AN154">
        <v>9.6869999999999994</v>
      </c>
      <c r="AO154">
        <v>8.6159999999999997</v>
      </c>
      <c r="AP154">
        <v>3.0000000000000001E-3</v>
      </c>
      <c r="AQ154">
        <v>8.7710000000000008</v>
      </c>
      <c r="AR154">
        <v>0.154</v>
      </c>
      <c r="AS154">
        <v>1</v>
      </c>
      <c r="AT154">
        <v>0</v>
      </c>
      <c r="AU154">
        <v>64</v>
      </c>
    </row>
    <row r="155" spans="2:47" x14ac:dyDescent="0.25">
      <c r="B155" s="9">
        <v>142</v>
      </c>
      <c r="C155" s="35">
        <v>54000</v>
      </c>
      <c r="D155" s="3"/>
      <c r="E155" s="9">
        <f t="shared" si="24"/>
        <v>432</v>
      </c>
      <c r="F155" s="54">
        <f t="shared" si="33"/>
        <v>15362</v>
      </c>
      <c r="G155" s="73">
        <f t="shared" si="25"/>
        <v>1.2110000000000001</v>
      </c>
      <c r="H155" s="56">
        <f t="shared" si="26"/>
        <v>0.66500000000000004</v>
      </c>
      <c r="I155" s="57">
        <f t="shared" si="27"/>
        <v>2901</v>
      </c>
      <c r="J155" s="58">
        <f t="shared" si="28"/>
        <v>10.4</v>
      </c>
      <c r="L155" s="31">
        <f t="shared" si="29"/>
        <v>5.7000000000000002E-2</v>
      </c>
      <c r="M155" s="32">
        <f t="shared" si="34"/>
        <v>2.0645000000000002</v>
      </c>
      <c r="N155" s="32">
        <f t="shared" si="30"/>
        <v>0.46700000000000003</v>
      </c>
      <c r="O155" s="32">
        <f t="shared" si="31"/>
        <v>-5.0999999999999997E-2</v>
      </c>
      <c r="P155" s="32">
        <f t="shared" si="32"/>
        <v>9.2420000000000009</v>
      </c>
      <c r="Q155" s="33">
        <f t="shared" si="32"/>
        <v>1.6930000000000001</v>
      </c>
      <c r="AB155">
        <v>2</v>
      </c>
      <c r="AC155">
        <v>4</v>
      </c>
      <c r="AD155">
        <v>140</v>
      </c>
      <c r="AE155">
        <v>-1.9770000000000001</v>
      </c>
      <c r="AF155">
        <v>-2.0339999999999998</v>
      </c>
      <c r="AG155">
        <v>5.7000000000000002E-2</v>
      </c>
      <c r="AH155">
        <v>-0.05</v>
      </c>
      <c r="AI155">
        <v>0.46899999999999997</v>
      </c>
      <c r="AJ155">
        <v>9.4250000000000007</v>
      </c>
      <c r="AK155">
        <v>1.78</v>
      </c>
      <c r="AL155">
        <v>10.695</v>
      </c>
      <c r="AM155">
        <v>0.189</v>
      </c>
      <c r="AN155">
        <v>9.5920000000000005</v>
      </c>
      <c r="AO155">
        <v>8.6010000000000009</v>
      </c>
      <c r="AP155">
        <v>3.0000000000000001E-3</v>
      </c>
      <c r="AQ155">
        <v>9.5220000000000002</v>
      </c>
      <c r="AR155">
        <v>0.16800000000000001</v>
      </c>
      <c r="AS155">
        <v>1</v>
      </c>
      <c r="AT155">
        <v>0</v>
      </c>
      <c r="AU155">
        <v>64</v>
      </c>
    </row>
    <row r="156" spans="2:47" x14ac:dyDescent="0.25">
      <c r="B156" s="9">
        <v>143</v>
      </c>
      <c r="C156" s="35">
        <v>55000</v>
      </c>
      <c r="D156" s="3"/>
      <c r="E156" s="9">
        <f t="shared" si="24"/>
        <v>447</v>
      </c>
      <c r="F156" s="54">
        <f t="shared" si="33"/>
        <v>15589</v>
      </c>
      <c r="G156" s="73">
        <f t="shared" si="25"/>
        <v>1.214</v>
      </c>
      <c r="H156" s="56">
        <f t="shared" si="26"/>
        <v>0.66700000000000004</v>
      </c>
      <c r="I156" s="57">
        <f t="shared" si="27"/>
        <v>2911</v>
      </c>
      <c r="J156" s="58">
        <f t="shared" si="28"/>
        <v>10.5</v>
      </c>
      <c r="L156" s="31">
        <f t="shared" si="29"/>
        <v>5.8999999999999997E-2</v>
      </c>
      <c r="M156" s="32">
        <f t="shared" si="34"/>
        <v>2.0945</v>
      </c>
      <c r="N156" s="32">
        <f t="shared" si="30"/>
        <v>0.46800000000000003</v>
      </c>
      <c r="O156" s="32">
        <f t="shared" si="31"/>
        <v>-5.0999999999999997E-2</v>
      </c>
      <c r="P156" s="32">
        <f t="shared" si="32"/>
        <v>9.2710000000000008</v>
      </c>
      <c r="Q156" s="33">
        <f t="shared" si="32"/>
        <v>1.7190000000000001</v>
      </c>
      <c r="AB156">
        <v>2</v>
      </c>
      <c r="AC156">
        <v>4</v>
      </c>
      <c r="AD156">
        <v>141</v>
      </c>
      <c r="AE156">
        <v>-2.004</v>
      </c>
      <c r="AF156">
        <v>-2.0630000000000002</v>
      </c>
      <c r="AG156">
        <v>5.8000000000000003E-2</v>
      </c>
      <c r="AH156">
        <v>-5.0999999999999997E-2</v>
      </c>
      <c r="AI156">
        <v>0.46899999999999997</v>
      </c>
      <c r="AJ156">
        <v>9.3670000000000009</v>
      </c>
      <c r="AK156">
        <v>1.762</v>
      </c>
      <c r="AL156">
        <v>10.659000000000001</v>
      </c>
      <c r="AM156">
        <v>0.188</v>
      </c>
      <c r="AN156">
        <v>9.532</v>
      </c>
      <c r="AO156">
        <v>8.3369999999999997</v>
      </c>
      <c r="AP156">
        <v>3.0000000000000001E-3</v>
      </c>
      <c r="AQ156">
        <v>9.3109999999999999</v>
      </c>
      <c r="AR156">
        <v>0.16400000000000001</v>
      </c>
      <c r="AS156">
        <v>1</v>
      </c>
      <c r="AT156">
        <v>0</v>
      </c>
      <c r="AU156">
        <v>64</v>
      </c>
    </row>
    <row r="157" spans="2:47" x14ac:dyDescent="0.25">
      <c r="B157" s="9">
        <v>144</v>
      </c>
      <c r="C157" s="35">
        <v>56000</v>
      </c>
      <c r="D157" s="3"/>
      <c r="E157" s="9">
        <f t="shared" si="24"/>
        <v>447</v>
      </c>
      <c r="F157" s="54">
        <f t="shared" si="33"/>
        <v>15847</v>
      </c>
      <c r="G157" s="73">
        <f t="shared" si="25"/>
        <v>1.214</v>
      </c>
      <c r="H157" s="56">
        <f t="shared" si="26"/>
        <v>0.66700000000000004</v>
      </c>
      <c r="I157" s="57">
        <f t="shared" si="27"/>
        <v>2854</v>
      </c>
      <c r="J157" s="58">
        <f t="shared" si="28"/>
        <v>10.6</v>
      </c>
      <c r="L157" s="31">
        <f t="shared" si="29"/>
        <v>5.8999999999999997E-2</v>
      </c>
      <c r="M157" s="32">
        <f t="shared" si="34"/>
        <v>2.1285000000000003</v>
      </c>
      <c r="N157" s="32">
        <f t="shared" si="30"/>
        <v>0.46800000000000003</v>
      </c>
      <c r="O157" s="32">
        <f t="shared" si="31"/>
        <v>-5.0999999999999997E-2</v>
      </c>
      <c r="P157" s="32">
        <f t="shared" si="32"/>
        <v>9.0869999999999997</v>
      </c>
      <c r="Q157" s="33">
        <f t="shared" si="32"/>
        <v>1.6970000000000001</v>
      </c>
      <c r="AB157">
        <v>2</v>
      </c>
      <c r="AC157">
        <v>4</v>
      </c>
      <c r="AD157">
        <v>142</v>
      </c>
      <c r="AE157">
        <v>-2.036</v>
      </c>
      <c r="AF157">
        <v>-2.093</v>
      </c>
      <c r="AG157">
        <v>5.7000000000000002E-2</v>
      </c>
      <c r="AH157">
        <v>-5.0999999999999997E-2</v>
      </c>
      <c r="AI157">
        <v>0.46700000000000003</v>
      </c>
      <c r="AJ157">
        <v>9.2420000000000009</v>
      </c>
      <c r="AK157">
        <v>1.6930000000000001</v>
      </c>
      <c r="AL157">
        <v>10.384</v>
      </c>
      <c r="AM157">
        <v>0.183</v>
      </c>
      <c r="AN157">
        <v>9.3960000000000008</v>
      </c>
      <c r="AO157">
        <v>8.4879999999999995</v>
      </c>
      <c r="AP157">
        <v>3.0000000000000001E-3</v>
      </c>
      <c r="AQ157">
        <v>9.34</v>
      </c>
      <c r="AR157">
        <v>0.16400000000000001</v>
      </c>
      <c r="AS157">
        <v>1</v>
      </c>
      <c r="AT157">
        <v>0</v>
      </c>
      <c r="AU157">
        <v>64</v>
      </c>
    </row>
    <row r="158" spans="2:47" x14ac:dyDescent="0.25">
      <c r="B158" s="9">
        <v>145</v>
      </c>
      <c r="C158" s="35">
        <v>57000</v>
      </c>
      <c r="D158" s="3"/>
      <c r="E158" s="9">
        <f t="shared" si="24"/>
        <v>455</v>
      </c>
      <c r="F158" s="54">
        <f t="shared" si="33"/>
        <v>16116</v>
      </c>
      <c r="G158" s="73">
        <f t="shared" si="25"/>
        <v>1.214</v>
      </c>
      <c r="H158" s="56">
        <f t="shared" si="26"/>
        <v>0.66500000000000004</v>
      </c>
      <c r="I158" s="57">
        <f t="shared" si="27"/>
        <v>2806</v>
      </c>
      <c r="J158" s="58">
        <f t="shared" si="28"/>
        <v>10.7</v>
      </c>
      <c r="L158" s="31">
        <f t="shared" si="29"/>
        <v>0.06</v>
      </c>
      <c r="M158" s="32">
        <f t="shared" si="34"/>
        <v>2.1639999999999997</v>
      </c>
      <c r="N158" s="32">
        <f t="shared" si="30"/>
        <v>0.46899999999999997</v>
      </c>
      <c r="O158" s="32">
        <f t="shared" si="31"/>
        <v>-0.05</v>
      </c>
      <c r="P158" s="32">
        <f t="shared" si="32"/>
        <v>8.93</v>
      </c>
      <c r="Q158" s="33">
        <f t="shared" si="32"/>
        <v>1.6839999999999999</v>
      </c>
      <c r="AB158">
        <v>2</v>
      </c>
      <c r="AC158">
        <v>4</v>
      </c>
      <c r="AD158">
        <v>143</v>
      </c>
      <c r="AE158">
        <v>-2.0649999999999999</v>
      </c>
      <c r="AF158">
        <v>-2.1240000000000001</v>
      </c>
      <c r="AG158">
        <v>5.8999999999999997E-2</v>
      </c>
      <c r="AH158">
        <v>-5.0999999999999997E-2</v>
      </c>
      <c r="AI158">
        <v>0.46800000000000003</v>
      </c>
      <c r="AJ158">
        <v>9.2710000000000008</v>
      </c>
      <c r="AK158">
        <v>1.7190000000000001</v>
      </c>
      <c r="AL158">
        <v>10.507999999999999</v>
      </c>
      <c r="AM158">
        <v>0.185</v>
      </c>
      <c r="AN158">
        <v>9.4290000000000003</v>
      </c>
      <c r="AO158">
        <v>8.2829999999999995</v>
      </c>
      <c r="AP158">
        <v>3.0000000000000001E-3</v>
      </c>
      <c r="AQ158">
        <v>9.1750000000000007</v>
      </c>
      <c r="AR158">
        <v>0.16200000000000001</v>
      </c>
      <c r="AS158">
        <v>1</v>
      </c>
      <c r="AT158">
        <v>0</v>
      </c>
      <c r="AU158">
        <v>64</v>
      </c>
    </row>
    <row r="159" spans="2:47" x14ac:dyDescent="0.25">
      <c r="B159" s="9">
        <v>146</v>
      </c>
      <c r="C159" s="35">
        <v>58000</v>
      </c>
      <c r="D159" s="3"/>
      <c r="E159" s="9">
        <f t="shared" si="24"/>
        <v>470</v>
      </c>
      <c r="F159" s="54">
        <f t="shared" si="33"/>
        <v>16373</v>
      </c>
      <c r="G159" s="73">
        <f t="shared" si="25"/>
        <v>1.214</v>
      </c>
      <c r="H159" s="56">
        <f t="shared" si="26"/>
        <v>0.66700000000000004</v>
      </c>
      <c r="I159" s="57">
        <f t="shared" si="27"/>
        <v>2773</v>
      </c>
      <c r="J159" s="58">
        <f t="shared" si="28"/>
        <v>11.2</v>
      </c>
      <c r="L159" s="31">
        <f t="shared" si="29"/>
        <v>6.2E-2</v>
      </c>
      <c r="M159" s="32">
        <f t="shared" si="34"/>
        <v>2.198</v>
      </c>
      <c r="N159" s="32">
        <f t="shared" si="30"/>
        <v>0.46800000000000003</v>
      </c>
      <c r="O159" s="32">
        <f t="shared" si="31"/>
        <v>-5.0999999999999997E-2</v>
      </c>
      <c r="P159" s="32">
        <f t="shared" si="32"/>
        <v>8.8109999999999999</v>
      </c>
      <c r="Q159" s="33">
        <f t="shared" si="32"/>
        <v>1.738</v>
      </c>
      <c r="AB159">
        <v>2</v>
      </c>
      <c r="AC159">
        <v>4</v>
      </c>
      <c r="AD159">
        <v>144</v>
      </c>
      <c r="AE159">
        <v>-2.0990000000000002</v>
      </c>
      <c r="AF159">
        <v>-2.1589999999999998</v>
      </c>
      <c r="AG159">
        <v>5.8999999999999997E-2</v>
      </c>
      <c r="AH159">
        <v>-5.0999999999999997E-2</v>
      </c>
      <c r="AI159">
        <v>0.46800000000000003</v>
      </c>
      <c r="AJ159">
        <v>9.0869999999999997</v>
      </c>
      <c r="AK159">
        <v>1.6970000000000001</v>
      </c>
      <c r="AL159">
        <v>10.577999999999999</v>
      </c>
      <c r="AM159">
        <v>0.187</v>
      </c>
      <c r="AN159">
        <v>9.2449999999999992</v>
      </c>
      <c r="AO159">
        <v>8.3379999999999992</v>
      </c>
      <c r="AP159">
        <v>3.0000000000000001E-3</v>
      </c>
      <c r="AQ159">
        <v>9.4629999999999992</v>
      </c>
      <c r="AR159">
        <v>0.16700000000000001</v>
      </c>
      <c r="AS159">
        <v>1</v>
      </c>
      <c r="AT159">
        <v>0</v>
      </c>
      <c r="AU159">
        <v>64</v>
      </c>
    </row>
    <row r="160" spans="2:47" x14ac:dyDescent="0.25">
      <c r="B160" s="9">
        <v>147</v>
      </c>
      <c r="C160" s="35">
        <v>59000</v>
      </c>
      <c r="D160" s="3"/>
      <c r="E160" s="9">
        <f t="shared" si="24"/>
        <v>470</v>
      </c>
      <c r="F160" s="54">
        <f t="shared" si="33"/>
        <v>16669</v>
      </c>
      <c r="G160" s="73">
        <f t="shared" si="25"/>
        <v>1.2110000000000001</v>
      </c>
      <c r="H160" s="56">
        <f t="shared" si="26"/>
        <v>0.66500000000000004</v>
      </c>
      <c r="I160" s="57">
        <f t="shared" si="27"/>
        <v>2768</v>
      </c>
      <c r="J160" s="58">
        <f t="shared" si="28"/>
        <v>11.1</v>
      </c>
      <c r="L160" s="31">
        <f t="shared" si="29"/>
        <v>6.2E-2</v>
      </c>
      <c r="M160" s="32">
        <f t="shared" si="34"/>
        <v>2.2370000000000001</v>
      </c>
      <c r="N160" s="32">
        <f t="shared" si="30"/>
        <v>0.46700000000000003</v>
      </c>
      <c r="O160" s="32">
        <f t="shared" si="31"/>
        <v>-5.0999999999999997E-2</v>
      </c>
      <c r="P160" s="32">
        <f t="shared" si="32"/>
        <v>8.7949999999999999</v>
      </c>
      <c r="Q160" s="33">
        <f t="shared" si="32"/>
        <v>1.7330000000000001</v>
      </c>
      <c r="AB160">
        <v>2</v>
      </c>
      <c r="AC160">
        <v>4</v>
      </c>
      <c r="AD160">
        <v>145</v>
      </c>
      <c r="AE160">
        <v>-2.1339999999999999</v>
      </c>
      <c r="AF160">
        <v>-2.194</v>
      </c>
      <c r="AG160">
        <v>0.06</v>
      </c>
      <c r="AH160">
        <v>-0.05</v>
      </c>
      <c r="AI160">
        <v>0.46899999999999997</v>
      </c>
      <c r="AJ160">
        <v>8.93</v>
      </c>
      <c r="AK160">
        <v>1.6839999999999999</v>
      </c>
      <c r="AL160">
        <v>10.678000000000001</v>
      </c>
      <c r="AM160">
        <v>0.189</v>
      </c>
      <c r="AN160">
        <v>9.0879999999999992</v>
      </c>
      <c r="AO160">
        <v>8.0299999999999994</v>
      </c>
      <c r="AP160">
        <v>3.0000000000000001E-3</v>
      </c>
      <c r="AQ160">
        <v>9.3770000000000007</v>
      </c>
      <c r="AR160">
        <v>0.16500000000000001</v>
      </c>
      <c r="AS160">
        <v>1</v>
      </c>
      <c r="AT160">
        <v>0</v>
      </c>
      <c r="AU160">
        <v>64</v>
      </c>
    </row>
    <row r="161" spans="2:47" x14ac:dyDescent="0.25">
      <c r="B161" s="9">
        <v>148</v>
      </c>
      <c r="C161" s="35">
        <v>60000</v>
      </c>
      <c r="D161" s="3"/>
      <c r="E161" s="9">
        <f t="shared" si="24"/>
        <v>470</v>
      </c>
      <c r="F161" s="54">
        <f t="shared" si="33"/>
        <v>16964</v>
      </c>
      <c r="G161" s="73">
        <f t="shared" si="25"/>
        <v>1.214</v>
      </c>
      <c r="H161" s="56">
        <f t="shared" si="26"/>
        <v>0.66700000000000004</v>
      </c>
      <c r="I161" s="57">
        <f t="shared" si="27"/>
        <v>2708</v>
      </c>
      <c r="J161" s="58">
        <f t="shared" si="28"/>
        <v>10.8</v>
      </c>
      <c r="L161" s="31">
        <f t="shared" si="29"/>
        <v>6.2E-2</v>
      </c>
      <c r="M161" s="32">
        <f t="shared" si="34"/>
        <v>2.2760000000000002</v>
      </c>
      <c r="N161" s="32">
        <f t="shared" si="30"/>
        <v>0.46800000000000003</v>
      </c>
      <c r="O161" s="32">
        <f t="shared" si="31"/>
        <v>-5.0999999999999997E-2</v>
      </c>
      <c r="P161" s="32">
        <f t="shared" si="32"/>
        <v>8.6150000000000002</v>
      </c>
      <c r="Q161" s="33">
        <f t="shared" si="32"/>
        <v>1.65</v>
      </c>
      <c r="AB161">
        <v>2</v>
      </c>
      <c r="AC161">
        <v>4</v>
      </c>
      <c r="AD161">
        <v>146</v>
      </c>
      <c r="AE161">
        <v>-2.1669999999999998</v>
      </c>
      <c r="AF161">
        <v>-2.2280000000000002</v>
      </c>
      <c r="AG161">
        <v>6.2E-2</v>
      </c>
      <c r="AH161">
        <v>-5.0999999999999997E-2</v>
      </c>
      <c r="AI161">
        <v>0.46800000000000003</v>
      </c>
      <c r="AJ161">
        <v>8.8109999999999999</v>
      </c>
      <c r="AK161">
        <v>1.738</v>
      </c>
      <c r="AL161">
        <v>11.16</v>
      </c>
      <c r="AM161">
        <v>0.19700000000000001</v>
      </c>
      <c r="AN161">
        <v>8.9809999999999999</v>
      </c>
      <c r="AO161">
        <v>7.8819999999999997</v>
      </c>
      <c r="AP161">
        <v>4.0000000000000001E-3</v>
      </c>
      <c r="AQ161">
        <v>9.6959999999999997</v>
      </c>
      <c r="AR161">
        <v>0.17100000000000001</v>
      </c>
      <c r="AS161">
        <v>1</v>
      </c>
      <c r="AT161">
        <v>0</v>
      </c>
      <c r="AU161">
        <v>64</v>
      </c>
    </row>
    <row r="162" spans="2:47" x14ac:dyDescent="0.25">
      <c r="B162" s="9">
        <v>149</v>
      </c>
      <c r="C162" s="35">
        <v>62000</v>
      </c>
      <c r="D162" s="3"/>
      <c r="E162" s="9">
        <f t="shared" si="24"/>
        <v>477</v>
      </c>
      <c r="F162" s="54">
        <f t="shared" si="33"/>
        <v>17627</v>
      </c>
      <c r="G162" s="73">
        <f t="shared" si="25"/>
        <v>1.214</v>
      </c>
      <c r="H162" s="56">
        <f t="shared" si="26"/>
        <v>0.66500000000000004</v>
      </c>
      <c r="I162" s="57">
        <f t="shared" si="27"/>
        <v>2616</v>
      </c>
      <c r="J162" s="58">
        <f t="shared" si="28"/>
        <v>11.5</v>
      </c>
      <c r="L162" s="31">
        <f t="shared" si="29"/>
        <v>6.3E-2</v>
      </c>
      <c r="M162" s="32">
        <f t="shared" si="34"/>
        <v>2.3634999999999997</v>
      </c>
      <c r="N162" s="32">
        <f t="shared" si="30"/>
        <v>0.46899999999999997</v>
      </c>
      <c r="O162" s="32">
        <f t="shared" si="31"/>
        <v>-0.05</v>
      </c>
      <c r="P162" s="32">
        <f t="shared" si="32"/>
        <v>8.3019999999999996</v>
      </c>
      <c r="Q162" s="33">
        <f t="shared" si="32"/>
        <v>1.6879999999999999</v>
      </c>
      <c r="AB162">
        <v>2</v>
      </c>
      <c r="AC162">
        <v>4</v>
      </c>
      <c r="AD162">
        <v>147</v>
      </c>
      <c r="AE162">
        <v>-2.206</v>
      </c>
      <c r="AF162">
        <v>-2.2679999999999998</v>
      </c>
      <c r="AG162">
        <v>6.2E-2</v>
      </c>
      <c r="AH162">
        <v>-5.0999999999999997E-2</v>
      </c>
      <c r="AI162">
        <v>0.46700000000000003</v>
      </c>
      <c r="AJ162">
        <v>8.7949999999999999</v>
      </c>
      <c r="AK162">
        <v>1.7330000000000001</v>
      </c>
      <c r="AL162">
        <v>11.148999999999999</v>
      </c>
      <c r="AM162">
        <v>0.19700000000000001</v>
      </c>
      <c r="AN162">
        <v>8.9649999999999999</v>
      </c>
      <c r="AO162">
        <v>7.9930000000000003</v>
      </c>
      <c r="AP162">
        <v>4.0000000000000001E-3</v>
      </c>
      <c r="AQ162">
        <v>9.8680000000000003</v>
      </c>
      <c r="AR162">
        <v>0.17399999999999999</v>
      </c>
      <c r="AS162">
        <v>1</v>
      </c>
      <c r="AT162">
        <v>0</v>
      </c>
      <c r="AU162">
        <v>64</v>
      </c>
    </row>
    <row r="163" spans="2:47" x14ac:dyDescent="0.25">
      <c r="B163" s="9">
        <v>150</v>
      </c>
      <c r="C163" s="35">
        <v>64000</v>
      </c>
      <c r="D163" s="2"/>
      <c r="E163" s="9">
        <f t="shared" si="24"/>
        <v>508</v>
      </c>
      <c r="F163" s="54">
        <f t="shared" si="33"/>
        <v>18475</v>
      </c>
      <c r="G163" s="73">
        <f t="shared" si="25"/>
        <v>1.216</v>
      </c>
      <c r="H163" s="56">
        <f t="shared" si="26"/>
        <v>0.66800000000000004</v>
      </c>
      <c r="I163" s="57">
        <f t="shared" si="27"/>
        <v>2454</v>
      </c>
      <c r="J163" s="58">
        <f t="shared" si="28"/>
        <v>12.1</v>
      </c>
      <c r="L163" s="31">
        <f t="shared" si="29"/>
        <v>6.7000000000000004E-2</v>
      </c>
      <c r="M163" s="32">
        <f t="shared" si="34"/>
        <v>2.4755000000000003</v>
      </c>
      <c r="N163" s="32">
        <f t="shared" si="30"/>
        <v>0.46899999999999997</v>
      </c>
      <c r="O163" s="32">
        <f t="shared" si="31"/>
        <v>-5.0999999999999997E-2</v>
      </c>
      <c r="P163" s="32">
        <f t="shared" si="32"/>
        <v>7.7720000000000002</v>
      </c>
      <c r="Q163" s="33">
        <f t="shared" si="32"/>
        <v>1.669</v>
      </c>
      <c r="AB163">
        <v>2</v>
      </c>
      <c r="AC163">
        <v>4</v>
      </c>
      <c r="AD163">
        <v>148</v>
      </c>
      <c r="AE163">
        <v>-2.2450000000000001</v>
      </c>
      <c r="AF163">
        <v>-2.3079999999999998</v>
      </c>
      <c r="AG163">
        <v>6.2E-2</v>
      </c>
      <c r="AH163">
        <v>-5.0999999999999997E-2</v>
      </c>
      <c r="AI163">
        <v>0.46800000000000003</v>
      </c>
      <c r="AJ163">
        <v>8.6150000000000002</v>
      </c>
      <c r="AK163">
        <v>1.65</v>
      </c>
      <c r="AL163">
        <v>10.843</v>
      </c>
      <c r="AM163">
        <v>0.192</v>
      </c>
      <c r="AN163">
        <v>8.7720000000000002</v>
      </c>
      <c r="AO163">
        <v>7.7320000000000002</v>
      </c>
      <c r="AP163">
        <v>4.0000000000000001E-3</v>
      </c>
      <c r="AQ163">
        <v>9.4740000000000002</v>
      </c>
      <c r="AR163">
        <v>0.16700000000000001</v>
      </c>
      <c r="AS163">
        <v>1</v>
      </c>
      <c r="AT163">
        <v>0</v>
      </c>
      <c r="AU163">
        <v>64</v>
      </c>
    </row>
    <row r="164" spans="2:47" x14ac:dyDescent="0.25">
      <c r="B164" s="9">
        <v>151</v>
      </c>
      <c r="C164" s="35">
        <v>68000</v>
      </c>
      <c r="D164" s="2"/>
      <c r="E164" s="9">
        <f t="shared" si="24"/>
        <v>545</v>
      </c>
      <c r="F164" s="54">
        <f t="shared" si="33"/>
        <v>19517</v>
      </c>
      <c r="G164" s="73">
        <f t="shared" si="25"/>
        <v>1.214</v>
      </c>
      <c r="H164" s="56">
        <f t="shared" si="26"/>
        <v>0.66500000000000004</v>
      </c>
      <c r="I164" s="57">
        <f t="shared" si="27"/>
        <v>2280</v>
      </c>
      <c r="J164" s="58">
        <f t="shared" si="28"/>
        <v>12.8</v>
      </c>
      <c r="L164" s="31">
        <f t="shared" si="29"/>
        <v>7.1999999999999995E-2</v>
      </c>
      <c r="M164" s="32">
        <f t="shared" si="34"/>
        <v>2.613</v>
      </c>
      <c r="N164" s="32">
        <f t="shared" si="30"/>
        <v>0.46899999999999997</v>
      </c>
      <c r="O164" s="32">
        <f t="shared" si="31"/>
        <v>-0.05</v>
      </c>
      <c r="P164" s="32">
        <f t="shared" si="32"/>
        <v>7.1989999999999998</v>
      </c>
      <c r="Q164" s="33">
        <f t="shared" si="32"/>
        <v>1.641</v>
      </c>
      <c r="AB164">
        <v>2</v>
      </c>
      <c r="AC164">
        <v>4</v>
      </c>
      <c r="AD164">
        <v>149</v>
      </c>
      <c r="AE164">
        <v>-2.3319999999999999</v>
      </c>
      <c r="AF164">
        <v>-2.395</v>
      </c>
      <c r="AG164">
        <v>6.3E-2</v>
      </c>
      <c r="AH164">
        <v>-0.05</v>
      </c>
      <c r="AI164">
        <v>0.46899999999999997</v>
      </c>
      <c r="AJ164">
        <v>8.3019999999999996</v>
      </c>
      <c r="AK164">
        <v>1.6879999999999999</v>
      </c>
      <c r="AL164">
        <v>11.49</v>
      </c>
      <c r="AM164">
        <v>0.20300000000000001</v>
      </c>
      <c r="AN164">
        <v>8.4719999999999995</v>
      </c>
      <c r="AO164">
        <v>7.7089999999999996</v>
      </c>
      <c r="AP164">
        <v>4.0000000000000001E-3</v>
      </c>
      <c r="AQ164">
        <v>10.291</v>
      </c>
      <c r="AR164">
        <v>0.182</v>
      </c>
      <c r="AS164">
        <v>1</v>
      </c>
      <c r="AT164">
        <v>0</v>
      </c>
      <c r="AU164">
        <v>64</v>
      </c>
    </row>
    <row r="165" spans="2:47" x14ac:dyDescent="0.25">
      <c r="B165" s="9">
        <v>152</v>
      </c>
      <c r="C165" s="35">
        <v>68000</v>
      </c>
      <c r="D165" s="2"/>
      <c r="E165" s="9">
        <f t="shared" si="24"/>
        <v>614</v>
      </c>
      <c r="F165" s="54">
        <f t="shared" si="33"/>
        <v>21149</v>
      </c>
      <c r="G165" s="73">
        <f t="shared" si="25"/>
        <v>1.2110000000000001</v>
      </c>
      <c r="H165" s="56">
        <f t="shared" si="26"/>
        <v>0.66500000000000004</v>
      </c>
      <c r="I165" s="57">
        <f t="shared" si="27"/>
        <v>1996</v>
      </c>
      <c r="J165" s="58">
        <f t="shared" si="28"/>
        <v>13.9</v>
      </c>
      <c r="L165" s="31">
        <f t="shared" si="29"/>
        <v>8.1000000000000003E-2</v>
      </c>
      <c r="M165" s="32">
        <f t="shared" si="34"/>
        <v>2.8285</v>
      </c>
      <c r="N165" s="32">
        <f t="shared" si="30"/>
        <v>0.46700000000000003</v>
      </c>
      <c r="O165" s="32">
        <f t="shared" si="31"/>
        <v>-5.0999999999999997E-2</v>
      </c>
      <c r="P165" s="32">
        <f t="shared" si="32"/>
        <v>6.2770000000000001</v>
      </c>
      <c r="Q165" s="33">
        <f t="shared" si="32"/>
        <v>1.5509999999999999</v>
      </c>
      <c r="AB165">
        <v>2</v>
      </c>
      <c r="AC165">
        <v>4</v>
      </c>
      <c r="AD165">
        <v>150</v>
      </c>
      <c r="AE165">
        <v>-2.4420000000000002</v>
      </c>
      <c r="AF165">
        <v>-2.5089999999999999</v>
      </c>
      <c r="AG165">
        <v>6.7000000000000004E-2</v>
      </c>
      <c r="AH165">
        <v>-5.0999999999999997E-2</v>
      </c>
      <c r="AI165">
        <v>0.46899999999999997</v>
      </c>
      <c r="AJ165">
        <v>7.7720000000000002</v>
      </c>
      <c r="AK165">
        <v>1.669</v>
      </c>
      <c r="AL165">
        <v>12.127000000000001</v>
      </c>
      <c r="AM165">
        <v>0.215</v>
      </c>
      <c r="AN165">
        <v>7.95</v>
      </c>
      <c r="AO165">
        <v>7.2069999999999999</v>
      </c>
      <c r="AP165">
        <v>4.0000000000000001E-3</v>
      </c>
      <c r="AQ165">
        <v>10.904</v>
      </c>
      <c r="AR165">
        <v>0.193</v>
      </c>
      <c r="AS165">
        <v>1</v>
      </c>
      <c r="AT165">
        <v>0</v>
      </c>
      <c r="AU165">
        <v>64</v>
      </c>
    </row>
    <row r="166" spans="2:47" x14ac:dyDescent="0.25">
      <c r="B166" s="9">
        <v>153</v>
      </c>
      <c r="C166" s="35">
        <v>70000</v>
      </c>
      <c r="D166" s="2"/>
      <c r="E166" s="9">
        <f t="shared" si="24"/>
        <v>1053</v>
      </c>
      <c r="F166" s="54">
        <f t="shared" si="33"/>
        <v>26240</v>
      </c>
      <c r="G166" s="73">
        <f t="shared" si="25"/>
        <v>1.218</v>
      </c>
      <c r="H166" s="56">
        <f t="shared" si="26"/>
        <v>0.66900000000000004</v>
      </c>
      <c r="I166" s="57">
        <f t="shared" si="27"/>
        <v>1111</v>
      </c>
      <c r="J166" s="58">
        <f t="shared" si="28"/>
        <v>18.3</v>
      </c>
      <c r="L166" s="31">
        <f t="shared" si="29"/>
        <v>0.13900000000000001</v>
      </c>
      <c r="M166" s="32">
        <f t="shared" si="34"/>
        <v>3.5005000000000002</v>
      </c>
      <c r="N166" s="32">
        <f t="shared" si="30"/>
        <v>0.47</v>
      </c>
      <c r="O166" s="32">
        <f t="shared" si="31"/>
        <v>-5.0999999999999997E-2</v>
      </c>
      <c r="P166" s="32">
        <f t="shared" si="32"/>
        <v>3.4169999999999998</v>
      </c>
      <c r="Q166" s="33">
        <f t="shared" si="32"/>
        <v>1.129</v>
      </c>
      <c r="AB166">
        <v>2</v>
      </c>
      <c r="AC166">
        <v>4</v>
      </c>
      <c r="AD166">
        <v>151</v>
      </c>
      <c r="AE166">
        <v>-2.577</v>
      </c>
      <c r="AF166">
        <v>-2.65</v>
      </c>
      <c r="AG166">
        <v>7.1999999999999995E-2</v>
      </c>
      <c r="AH166">
        <v>-0.05</v>
      </c>
      <c r="AI166">
        <v>0.46899999999999997</v>
      </c>
      <c r="AJ166">
        <v>7.1989999999999998</v>
      </c>
      <c r="AK166">
        <v>1.641</v>
      </c>
      <c r="AL166">
        <v>12.837</v>
      </c>
      <c r="AM166">
        <v>0.22800000000000001</v>
      </c>
      <c r="AN166">
        <v>7.3840000000000003</v>
      </c>
      <c r="AO166">
        <v>6.6920000000000002</v>
      </c>
      <c r="AP166">
        <v>5.0000000000000001E-3</v>
      </c>
      <c r="AQ166">
        <v>11.510999999999999</v>
      </c>
      <c r="AR166">
        <v>0.20399999999999999</v>
      </c>
      <c r="AS166">
        <v>1</v>
      </c>
      <c r="AT166">
        <v>0</v>
      </c>
      <c r="AU166">
        <v>64</v>
      </c>
    </row>
    <row r="167" spans="2:47" x14ac:dyDescent="0.25">
      <c r="B167" s="9">
        <v>154</v>
      </c>
      <c r="C167" s="35">
        <v>72000</v>
      </c>
      <c r="D167" s="2"/>
      <c r="E167" s="9">
        <f t="shared" si="24"/>
        <v>18604</v>
      </c>
      <c r="F167" s="54">
        <f t="shared" si="33"/>
        <v>45749</v>
      </c>
      <c r="G167" s="73">
        <f t="shared" si="25"/>
        <v>1.214</v>
      </c>
      <c r="H167" s="56">
        <f t="shared" si="26"/>
        <v>0.66700000000000004</v>
      </c>
      <c r="I167" s="57">
        <f t="shared" si="27"/>
        <v>54</v>
      </c>
      <c r="J167" s="58">
        <f t="shared" si="28"/>
        <v>15.5</v>
      </c>
      <c r="L167" s="31">
        <f t="shared" si="29"/>
        <v>2.456</v>
      </c>
      <c r="M167" s="32">
        <f t="shared" si="34"/>
        <v>6.0759999999999996</v>
      </c>
      <c r="N167" s="32">
        <f t="shared" si="30"/>
        <v>0.46800000000000003</v>
      </c>
      <c r="O167" s="32">
        <f t="shared" si="31"/>
        <v>-5.0999999999999997E-2</v>
      </c>
      <c r="P167" s="32">
        <f t="shared" si="32"/>
        <v>0.17</v>
      </c>
      <c r="Q167" s="33">
        <f t="shared" si="32"/>
        <v>4.7E-2</v>
      </c>
      <c r="AB167">
        <v>2</v>
      </c>
      <c r="AC167">
        <v>4</v>
      </c>
      <c r="AD167">
        <v>152</v>
      </c>
      <c r="AE167">
        <v>-2.7879999999999998</v>
      </c>
      <c r="AF167">
        <v>-2.8690000000000002</v>
      </c>
      <c r="AG167">
        <v>8.1000000000000003E-2</v>
      </c>
      <c r="AH167">
        <v>-5.0999999999999997E-2</v>
      </c>
      <c r="AI167">
        <v>0.46700000000000003</v>
      </c>
      <c r="AJ167">
        <v>6.2770000000000001</v>
      </c>
      <c r="AK167">
        <v>1.5509999999999999</v>
      </c>
      <c r="AL167">
        <v>13.88</v>
      </c>
      <c r="AM167">
        <v>0.247</v>
      </c>
      <c r="AN167">
        <v>6.4660000000000002</v>
      </c>
      <c r="AO167">
        <v>5.9729999999999999</v>
      </c>
      <c r="AP167">
        <v>6.0000000000000001E-3</v>
      </c>
      <c r="AQ167">
        <v>12.775</v>
      </c>
      <c r="AR167">
        <v>0.22700000000000001</v>
      </c>
      <c r="AS167">
        <v>1</v>
      </c>
      <c r="AT167">
        <v>0</v>
      </c>
      <c r="AU167">
        <v>64</v>
      </c>
    </row>
    <row r="168" spans="2:47" x14ac:dyDescent="0.25">
      <c r="B168" s="9">
        <v>155</v>
      </c>
      <c r="C168" s="35">
        <v>74000</v>
      </c>
      <c r="D168" s="2"/>
      <c r="E168" s="9" t="str">
        <f t="shared" si="24"/>
        <v/>
      </c>
      <c r="F168" s="54" t="str">
        <f t="shared" si="33"/>
        <v/>
      </c>
      <c r="G168" s="73" t="str">
        <f t="shared" si="25"/>
        <v/>
      </c>
      <c r="H168" s="56" t="str">
        <f t="shared" si="26"/>
        <v/>
      </c>
      <c r="I168" s="57" t="str">
        <f t="shared" si="27"/>
        <v/>
      </c>
      <c r="J168" s="58" t="str">
        <f t="shared" si="28"/>
        <v/>
      </c>
      <c r="L168" s="31" t="str">
        <f t="shared" si="29"/>
        <v/>
      </c>
      <c r="M168" s="32" t="str">
        <f t="shared" si="34"/>
        <v/>
      </c>
      <c r="N168" s="32" t="str">
        <f t="shared" si="30"/>
        <v/>
      </c>
      <c r="O168" s="32" t="str">
        <f t="shared" si="31"/>
        <v/>
      </c>
      <c r="P168" s="32" t="str">
        <f t="shared" si="32"/>
        <v/>
      </c>
      <c r="Q168" s="33" t="str">
        <f t="shared" si="32"/>
        <v/>
      </c>
      <c r="AB168">
        <v>2</v>
      </c>
      <c r="AC168">
        <v>4</v>
      </c>
      <c r="AD168">
        <v>153</v>
      </c>
      <c r="AE168">
        <v>-3.431</v>
      </c>
      <c r="AF168">
        <v>-3.5710000000000002</v>
      </c>
      <c r="AG168">
        <v>0.13900000000000001</v>
      </c>
      <c r="AH168">
        <v>-5.0999999999999997E-2</v>
      </c>
      <c r="AI168">
        <v>0.47</v>
      </c>
      <c r="AJ168">
        <v>3.4169999999999998</v>
      </c>
      <c r="AK168">
        <v>1.129</v>
      </c>
      <c r="AL168">
        <v>18.29</v>
      </c>
      <c r="AM168">
        <v>0.33100000000000002</v>
      </c>
      <c r="AN168">
        <v>3.5979999999999999</v>
      </c>
      <c r="AO168">
        <v>3.5009999999999999</v>
      </c>
      <c r="AP168">
        <v>1.4999999999999999E-2</v>
      </c>
      <c r="AQ168">
        <v>17.491</v>
      </c>
      <c r="AR168">
        <v>0.315</v>
      </c>
      <c r="AS168">
        <v>1</v>
      </c>
      <c r="AT168">
        <v>0</v>
      </c>
      <c r="AU168">
        <v>64</v>
      </c>
    </row>
    <row r="169" spans="2:47" x14ac:dyDescent="0.25">
      <c r="B169" s="9">
        <v>156</v>
      </c>
      <c r="C169" s="35">
        <v>76000</v>
      </c>
      <c r="D169" s="2"/>
      <c r="E169" s="9" t="str">
        <f t="shared" si="24"/>
        <v/>
      </c>
      <c r="F169" s="54" t="str">
        <f t="shared" si="33"/>
        <v/>
      </c>
      <c r="G169" s="73" t="str">
        <f t="shared" si="25"/>
        <v/>
      </c>
      <c r="H169" s="56" t="str">
        <f t="shared" si="26"/>
        <v/>
      </c>
      <c r="I169" s="57" t="str">
        <f t="shared" si="27"/>
        <v/>
      </c>
      <c r="J169" s="58" t="str">
        <f t="shared" si="28"/>
        <v/>
      </c>
      <c r="L169" s="31" t="str">
        <f t="shared" si="29"/>
        <v/>
      </c>
      <c r="M169" s="32" t="str">
        <f t="shared" si="34"/>
        <v/>
      </c>
      <c r="N169" s="32" t="str">
        <f t="shared" si="30"/>
        <v/>
      </c>
      <c r="O169" s="32" t="str">
        <f t="shared" si="31"/>
        <v/>
      </c>
      <c r="P169" s="32" t="str">
        <f t="shared" si="32"/>
        <v/>
      </c>
      <c r="Q169" s="33" t="str">
        <f t="shared" si="32"/>
        <v/>
      </c>
      <c r="AB169">
        <v>2</v>
      </c>
      <c r="AC169">
        <v>4</v>
      </c>
      <c r="AD169">
        <v>154</v>
      </c>
      <c r="AE169">
        <v>-4.8479999999999999</v>
      </c>
      <c r="AF169">
        <v>-7.3040000000000003</v>
      </c>
      <c r="AG169">
        <v>2.456</v>
      </c>
      <c r="AH169">
        <v>-5.0999999999999997E-2</v>
      </c>
      <c r="AI169">
        <v>0.46800000000000003</v>
      </c>
      <c r="AJ169">
        <v>0.17</v>
      </c>
      <c r="AK169">
        <v>4.7E-2</v>
      </c>
      <c r="AL169">
        <v>15.423</v>
      </c>
      <c r="AM169">
        <v>0.27600000000000002</v>
      </c>
      <c r="AN169">
        <v>0.17599999999999999</v>
      </c>
      <c r="AO169">
        <v>0.19</v>
      </c>
      <c r="AP169">
        <v>0.122</v>
      </c>
      <c r="AQ169">
        <v>7.8</v>
      </c>
      <c r="AR169">
        <v>0.13700000000000001</v>
      </c>
      <c r="AS169">
        <v>1</v>
      </c>
      <c r="AT169">
        <v>0</v>
      </c>
      <c r="AU169">
        <v>64</v>
      </c>
    </row>
    <row r="170" spans="2:47" x14ac:dyDescent="0.25">
      <c r="B170" s="9">
        <v>157</v>
      </c>
      <c r="C170" s="35">
        <v>78000</v>
      </c>
      <c r="D170" s="2"/>
      <c r="E170" s="9" t="str">
        <f t="shared" si="24"/>
        <v/>
      </c>
      <c r="F170" s="54" t="str">
        <f t="shared" si="33"/>
        <v/>
      </c>
      <c r="G170" s="73" t="str">
        <f t="shared" si="25"/>
        <v/>
      </c>
      <c r="H170" s="56" t="str">
        <f t="shared" si="26"/>
        <v/>
      </c>
      <c r="I170" s="57" t="str">
        <f t="shared" si="27"/>
        <v/>
      </c>
      <c r="J170" s="58" t="str">
        <f t="shared" si="28"/>
        <v/>
      </c>
      <c r="L170" s="31" t="str">
        <f t="shared" si="29"/>
        <v/>
      </c>
      <c r="M170" s="32" t="str">
        <f t="shared" si="34"/>
        <v/>
      </c>
      <c r="N170" s="32" t="str">
        <f t="shared" si="30"/>
        <v/>
      </c>
      <c r="O170" s="32" t="str">
        <f t="shared" si="31"/>
        <v/>
      </c>
      <c r="P170" s="32" t="str">
        <f t="shared" si="32"/>
        <v/>
      </c>
      <c r="Q170" s="33" t="str">
        <f t="shared" si="32"/>
        <v/>
      </c>
    </row>
    <row r="171" spans="2:47" x14ac:dyDescent="0.25">
      <c r="B171" s="9">
        <v>158</v>
      </c>
      <c r="C171" s="35">
        <v>80000</v>
      </c>
      <c r="D171" s="2"/>
      <c r="E171" s="9" t="str">
        <f t="shared" si="24"/>
        <v/>
      </c>
      <c r="F171" s="54" t="str">
        <f t="shared" si="33"/>
        <v/>
      </c>
      <c r="G171" s="73" t="str">
        <f t="shared" si="25"/>
        <v/>
      </c>
      <c r="H171" s="56" t="str">
        <f t="shared" si="26"/>
        <v/>
      </c>
      <c r="I171" s="57" t="str">
        <f t="shared" si="27"/>
        <v/>
      </c>
      <c r="J171" s="58" t="str">
        <f t="shared" si="28"/>
        <v/>
      </c>
      <c r="L171" s="31" t="str">
        <f t="shared" si="29"/>
        <v/>
      </c>
      <c r="M171" s="32" t="str">
        <f t="shared" si="34"/>
        <v/>
      </c>
      <c r="N171" s="32" t="str">
        <f t="shared" si="30"/>
        <v/>
      </c>
      <c r="O171" s="32" t="str">
        <f t="shared" si="31"/>
        <v/>
      </c>
      <c r="P171" s="32" t="str">
        <f t="shared" si="32"/>
        <v/>
      </c>
      <c r="Q171" s="33" t="str">
        <f t="shared" si="32"/>
        <v/>
      </c>
    </row>
    <row r="172" spans="2:47" x14ac:dyDescent="0.25">
      <c r="B172" s="9">
        <v>159</v>
      </c>
      <c r="C172" s="35">
        <v>82000</v>
      </c>
      <c r="D172" s="2"/>
      <c r="E172" s="9" t="str">
        <f t="shared" si="24"/>
        <v/>
      </c>
      <c r="F172" s="54" t="str">
        <f t="shared" si="33"/>
        <v/>
      </c>
      <c r="G172" s="73" t="str">
        <f t="shared" si="25"/>
        <v/>
      </c>
      <c r="H172" s="56" t="str">
        <f t="shared" si="26"/>
        <v/>
      </c>
      <c r="I172" s="57" t="str">
        <f t="shared" si="27"/>
        <v/>
      </c>
      <c r="J172" s="58" t="str">
        <f t="shared" si="28"/>
        <v/>
      </c>
      <c r="L172" s="31" t="str">
        <f t="shared" si="29"/>
        <v/>
      </c>
      <c r="M172" s="32" t="str">
        <f t="shared" si="34"/>
        <v/>
      </c>
      <c r="N172" s="32" t="str">
        <f t="shared" si="30"/>
        <v/>
      </c>
      <c r="O172" s="32" t="str">
        <f t="shared" si="31"/>
        <v/>
      </c>
      <c r="P172" s="32" t="str">
        <f t="shared" si="32"/>
        <v/>
      </c>
      <c r="Q172" s="33" t="str">
        <f t="shared" si="32"/>
        <v/>
      </c>
    </row>
    <row r="173" spans="2:47" x14ac:dyDescent="0.25">
      <c r="B173" s="9">
        <v>160</v>
      </c>
      <c r="C173" s="35">
        <v>84000</v>
      </c>
      <c r="D173" s="2"/>
      <c r="E173" s="9" t="str">
        <f t="shared" si="24"/>
        <v/>
      </c>
      <c r="F173" s="54" t="str">
        <f t="shared" si="33"/>
        <v/>
      </c>
      <c r="G173" s="73" t="str">
        <f t="shared" si="25"/>
        <v/>
      </c>
      <c r="H173" s="56" t="str">
        <f t="shared" si="26"/>
        <v/>
      </c>
      <c r="I173" s="57" t="str">
        <f t="shared" si="27"/>
        <v/>
      </c>
      <c r="J173" s="58" t="str">
        <f t="shared" si="28"/>
        <v/>
      </c>
      <c r="L173" s="31" t="str">
        <f t="shared" si="29"/>
        <v/>
      </c>
      <c r="M173" s="32" t="str">
        <f t="shared" si="34"/>
        <v/>
      </c>
      <c r="N173" s="32" t="str">
        <f t="shared" si="30"/>
        <v/>
      </c>
      <c r="O173" s="32" t="str">
        <f t="shared" si="31"/>
        <v/>
      </c>
      <c r="P173" s="32" t="str">
        <f t="shared" si="32"/>
        <v/>
      </c>
      <c r="Q173" s="33" t="str">
        <f t="shared" si="32"/>
        <v/>
      </c>
    </row>
    <row r="174" spans="2:47" x14ac:dyDescent="0.25">
      <c r="B174" s="9">
        <v>161</v>
      </c>
      <c r="C174" s="35">
        <v>86000</v>
      </c>
      <c r="D174" s="2"/>
      <c r="E174" s="9" t="str">
        <f t="shared" si="24"/>
        <v/>
      </c>
      <c r="F174" s="54" t="str">
        <f t="shared" si="33"/>
        <v/>
      </c>
      <c r="G174" s="73" t="str">
        <f t="shared" si="25"/>
        <v/>
      </c>
      <c r="H174" s="56" t="str">
        <f t="shared" si="26"/>
        <v/>
      </c>
      <c r="I174" s="57" t="str">
        <f t="shared" si="27"/>
        <v/>
      </c>
      <c r="J174" s="58" t="str">
        <f t="shared" si="28"/>
        <v/>
      </c>
      <c r="L174" s="31" t="str">
        <f t="shared" si="29"/>
        <v/>
      </c>
      <c r="M174" s="32" t="str">
        <f t="shared" si="34"/>
        <v/>
      </c>
      <c r="N174" s="32" t="str">
        <f t="shared" si="30"/>
        <v/>
      </c>
      <c r="O174" s="32" t="str">
        <f t="shared" si="31"/>
        <v/>
      </c>
      <c r="P174" s="32" t="str">
        <f t="shared" ref="P174:Q203" si="35">IF(AJ176="","",AJ176)</f>
        <v/>
      </c>
      <c r="Q174" s="33" t="str">
        <f t="shared" si="35"/>
        <v/>
      </c>
    </row>
    <row r="175" spans="2:47" x14ac:dyDescent="0.25">
      <c r="B175" s="9">
        <v>162</v>
      </c>
      <c r="C175" s="35">
        <v>88000</v>
      </c>
      <c r="D175" s="2"/>
      <c r="E175" s="9" t="str">
        <f t="shared" si="24"/>
        <v/>
      </c>
      <c r="F175" s="54" t="str">
        <f t="shared" si="33"/>
        <v/>
      </c>
      <c r="G175" s="73" t="str">
        <f t="shared" si="25"/>
        <v/>
      </c>
      <c r="H175" s="56" t="str">
        <f t="shared" si="26"/>
        <v/>
      </c>
      <c r="I175" s="57" t="str">
        <f t="shared" si="27"/>
        <v/>
      </c>
      <c r="J175" s="58" t="str">
        <f t="shared" si="28"/>
        <v/>
      </c>
      <c r="L175" s="31" t="str">
        <f t="shared" si="29"/>
        <v/>
      </c>
      <c r="M175" s="32" t="str">
        <f t="shared" si="34"/>
        <v/>
      </c>
      <c r="N175" s="32" t="str">
        <f t="shared" si="30"/>
        <v/>
      </c>
      <c r="O175" s="32" t="str">
        <f t="shared" si="31"/>
        <v/>
      </c>
      <c r="P175" s="32" t="str">
        <f t="shared" si="35"/>
        <v/>
      </c>
      <c r="Q175" s="33" t="str">
        <f t="shared" si="35"/>
        <v/>
      </c>
    </row>
    <row r="176" spans="2:47" x14ac:dyDescent="0.25">
      <c r="B176" s="9">
        <v>163</v>
      </c>
      <c r="C176" s="35">
        <v>90000</v>
      </c>
      <c r="D176" s="2"/>
      <c r="E176" s="9" t="str">
        <f t="shared" si="24"/>
        <v/>
      </c>
      <c r="F176" s="54" t="str">
        <f t="shared" si="33"/>
        <v/>
      </c>
      <c r="G176" s="73" t="str">
        <f t="shared" si="25"/>
        <v/>
      </c>
      <c r="H176" s="56" t="str">
        <f t="shared" si="26"/>
        <v/>
      </c>
      <c r="I176" s="57" t="str">
        <f t="shared" si="27"/>
        <v/>
      </c>
      <c r="J176" s="58" t="str">
        <f t="shared" si="28"/>
        <v/>
      </c>
      <c r="L176" s="31" t="str">
        <f t="shared" si="29"/>
        <v/>
      </c>
      <c r="M176" s="32" t="str">
        <f t="shared" si="34"/>
        <v/>
      </c>
      <c r="N176" s="32" t="str">
        <f t="shared" si="30"/>
        <v/>
      </c>
      <c r="O176" s="32" t="str">
        <f t="shared" si="31"/>
        <v/>
      </c>
      <c r="P176" s="32" t="str">
        <f t="shared" si="35"/>
        <v/>
      </c>
      <c r="Q176" s="33" t="str">
        <f t="shared" si="35"/>
        <v/>
      </c>
    </row>
    <row r="177" spans="2:17" x14ac:dyDescent="0.25">
      <c r="B177" s="9">
        <v>164</v>
      </c>
      <c r="C177" s="35">
        <v>92000</v>
      </c>
      <c r="D177" s="2"/>
      <c r="E177" s="9" t="str">
        <f t="shared" si="24"/>
        <v/>
      </c>
      <c r="F177" s="54" t="str">
        <f t="shared" si="33"/>
        <v/>
      </c>
      <c r="G177" s="73" t="str">
        <f t="shared" si="25"/>
        <v/>
      </c>
      <c r="H177" s="56" t="str">
        <f t="shared" si="26"/>
        <v/>
      </c>
      <c r="I177" s="57" t="str">
        <f t="shared" si="27"/>
        <v/>
      </c>
      <c r="J177" s="58" t="str">
        <f t="shared" si="28"/>
        <v/>
      </c>
      <c r="L177" s="31" t="str">
        <f t="shared" si="29"/>
        <v/>
      </c>
      <c r="M177" s="32" t="str">
        <f t="shared" si="34"/>
        <v/>
      </c>
      <c r="N177" s="32" t="str">
        <f t="shared" si="30"/>
        <v/>
      </c>
      <c r="O177" s="32" t="str">
        <f t="shared" si="31"/>
        <v/>
      </c>
      <c r="P177" s="32" t="str">
        <f t="shared" si="35"/>
        <v/>
      </c>
      <c r="Q177" s="33" t="str">
        <f t="shared" si="35"/>
        <v/>
      </c>
    </row>
    <row r="178" spans="2:17" x14ac:dyDescent="0.25">
      <c r="B178" s="9">
        <v>165</v>
      </c>
      <c r="C178" s="35">
        <v>94000</v>
      </c>
      <c r="D178" s="2"/>
      <c r="E178" s="9" t="str">
        <f t="shared" si="24"/>
        <v/>
      </c>
      <c r="F178" s="54" t="str">
        <f t="shared" si="33"/>
        <v/>
      </c>
      <c r="G178" s="73" t="str">
        <f t="shared" si="25"/>
        <v/>
      </c>
      <c r="H178" s="56" t="str">
        <f t="shared" si="26"/>
        <v/>
      </c>
      <c r="I178" s="57" t="str">
        <f t="shared" si="27"/>
        <v/>
      </c>
      <c r="J178" s="58" t="str">
        <f t="shared" si="28"/>
        <v/>
      </c>
      <c r="L178" s="31" t="str">
        <f t="shared" si="29"/>
        <v/>
      </c>
      <c r="M178" s="32" t="str">
        <f t="shared" si="34"/>
        <v/>
      </c>
      <c r="N178" s="32" t="str">
        <f t="shared" si="30"/>
        <v/>
      </c>
      <c r="O178" s="32" t="str">
        <f t="shared" si="31"/>
        <v/>
      </c>
      <c r="P178" s="32" t="str">
        <f t="shared" si="35"/>
        <v/>
      </c>
      <c r="Q178" s="33" t="str">
        <f t="shared" si="35"/>
        <v/>
      </c>
    </row>
    <row r="179" spans="2:17" x14ac:dyDescent="0.25">
      <c r="B179" s="9">
        <v>166</v>
      </c>
      <c r="C179" s="35">
        <v>96000</v>
      </c>
      <c r="D179" s="2"/>
      <c r="E179" s="9" t="str">
        <f t="shared" si="24"/>
        <v/>
      </c>
      <c r="F179" s="54" t="str">
        <f t="shared" si="33"/>
        <v/>
      </c>
      <c r="G179" s="73" t="str">
        <f t="shared" si="25"/>
        <v/>
      </c>
      <c r="H179" s="56" t="str">
        <f t="shared" si="26"/>
        <v/>
      </c>
      <c r="I179" s="57" t="str">
        <f t="shared" si="27"/>
        <v/>
      </c>
      <c r="J179" s="58" t="str">
        <f t="shared" si="28"/>
        <v/>
      </c>
      <c r="L179" s="31" t="str">
        <f t="shared" si="29"/>
        <v/>
      </c>
      <c r="M179" s="32" t="str">
        <f t="shared" si="34"/>
        <v/>
      </c>
      <c r="N179" s="32" t="str">
        <f t="shared" si="30"/>
        <v/>
      </c>
      <c r="O179" s="32" t="str">
        <f t="shared" si="31"/>
        <v/>
      </c>
      <c r="P179" s="32" t="str">
        <f t="shared" si="35"/>
        <v/>
      </c>
      <c r="Q179" s="33" t="str">
        <f t="shared" si="35"/>
        <v/>
      </c>
    </row>
    <row r="180" spans="2:17" x14ac:dyDescent="0.25">
      <c r="B180" s="9">
        <v>167</v>
      </c>
      <c r="C180" s="35">
        <v>98000</v>
      </c>
      <c r="D180" s="2"/>
      <c r="E180" s="9" t="str">
        <f t="shared" si="24"/>
        <v/>
      </c>
      <c r="F180" s="54" t="str">
        <f t="shared" si="33"/>
        <v/>
      </c>
      <c r="G180" s="73" t="str">
        <f t="shared" si="25"/>
        <v/>
      </c>
      <c r="H180" s="56" t="str">
        <f t="shared" si="26"/>
        <v/>
      </c>
      <c r="I180" s="57" t="str">
        <f t="shared" si="27"/>
        <v/>
      </c>
      <c r="J180" s="58" t="str">
        <f t="shared" si="28"/>
        <v/>
      </c>
      <c r="L180" s="31" t="str">
        <f t="shared" si="29"/>
        <v/>
      </c>
      <c r="M180" s="32" t="str">
        <f t="shared" si="34"/>
        <v/>
      </c>
      <c r="N180" s="32" t="str">
        <f t="shared" si="30"/>
        <v/>
      </c>
      <c r="O180" s="32" t="str">
        <f t="shared" si="31"/>
        <v/>
      </c>
      <c r="P180" s="32" t="str">
        <f t="shared" si="35"/>
        <v/>
      </c>
      <c r="Q180" s="33" t="str">
        <f t="shared" si="35"/>
        <v/>
      </c>
    </row>
    <row r="181" spans="2:17" x14ac:dyDescent="0.25">
      <c r="B181" s="9">
        <v>168</v>
      </c>
      <c r="C181" s="35">
        <v>100000</v>
      </c>
      <c r="D181" s="2"/>
      <c r="E181" s="9" t="str">
        <f t="shared" si="24"/>
        <v/>
      </c>
      <c r="F181" s="54" t="str">
        <f t="shared" si="33"/>
        <v/>
      </c>
      <c r="G181" s="73" t="str">
        <f t="shared" si="25"/>
        <v/>
      </c>
      <c r="H181" s="56" t="str">
        <f t="shared" si="26"/>
        <v/>
      </c>
      <c r="I181" s="57" t="str">
        <f t="shared" si="27"/>
        <v/>
      </c>
      <c r="J181" s="58" t="str">
        <f t="shared" si="28"/>
        <v/>
      </c>
      <c r="L181" s="31" t="str">
        <f t="shared" si="29"/>
        <v/>
      </c>
      <c r="M181" s="32" t="str">
        <f t="shared" si="34"/>
        <v/>
      </c>
      <c r="N181" s="32" t="str">
        <f t="shared" si="30"/>
        <v/>
      </c>
      <c r="O181" s="32" t="str">
        <f t="shared" si="31"/>
        <v/>
      </c>
      <c r="P181" s="32" t="str">
        <f t="shared" si="35"/>
        <v/>
      </c>
      <c r="Q181" s="33" t="str">
        <f t="shared" si="35"/>
        <v/>
      </c>
    </row>
    <row r="182" spans="2:17" x14ac:dyDescent="0.25">
      <c r="B182" s="9">
        <v>169</v>
      </c>
      <c r="C182" s="35"/>
      <c r="D182" s="2"/>
      <c r="E182" s="9" t="str">
        <f t="shared" si="24"/>
        <v/>
      </c>
      <c r="F182" s="54" t="str">
        <f t="shared" si="33"/>
        <v/>
      </c>
      <c r="G182" s="73" t="str">
        <f t="shared" si="25"/>
        <v/>
      </c>
      <c r="H182" s="56" t="str">
        <f t="shared" si="26"/>
        <v/>
      </c>
      <c r="I182" s="57" t="str">
        <f t="shared" si="27"/>
        <v/>
      </c>
      <c r="J182" s="58" t="str">
        <f t="shared" si="28"/>
        <v/>
      </c>
      <c r="L182" s="31" t="str">
        <f t="shared" si="29"/>
        <v/>
      </c>
      <c r="M182" s="32" t="str">
        <f t="shared" si="34"/>
        <v/>
      </c>
      <c r="N182" s="32" t="str">
        <f t="shared" si="30"/>
        <v/>
      </c>
      <c r="O182" s="32" t="str">
        <f t="shared" si="31"/>
        <v/>
      </c>
      <c r="P182" s="32" t="str">
        <f t="shared" si="35"/>
        <v/>
      </c>
      <c r="Q182" s="33" t="str">
        <f t="shared" si="35"/>
        <v/>
      </c>
    </row>
    <row r="183" spans="2:17" x14ac:dyDescent="0.25">
      <c r="B183" s="9">
        <v>170</v>
      </c>
      <c r="C183" s="35"/>
      <c r="D183" s="2"/>
      <c r="E183" s="9" t="str">
        <f t="shared" si="24"/>
        <v/>
      </c>
      <c r="F183" s="54" t="str">
        <f t="shared" si="33"/>
        <v/>
      </c>
      <c r="G183" s="73" t="str">
        <f t="shared" si="25"/>
        <v/>
      </c>
      <c r="H183" s="56" t="str">
        <f t="shared" si="26"/>
        <v/>
      </c>
      <c r="I183" s="57" t="str">
        <f t="shared" si="27"/>
        <v/>
      </c>
      <c r="J183" s="58" t="str">
        <f t="shared" si="28"/>
        <v/>
      </c>
      <c r="L183" s="31" t="str">
        <f t="shared" si="29"/>
        <v/>
      </c>
      <c r="M183" s="32" t="str">
        <f t="shared" si="34"/>
        <v/>
      </c>
      <c r="N183" s="32" t="str">
        <f t="shared" si="30"/>
        <v/>
      </c>
      <c r="O183" s="32" t="str">
        <f t="shared" si="31"/>
        <v/>
      </c>
      <c r="P183" s="32" t="str">
        <f t="shared" si="35"/>
        <v/>
      </c>
      <c r="Q183" s="33" t="str">
        <f t="shared" si="35"/>
        <v/>
      </c>
    </row>
    <row r="184" spans="2:17" x14ac:dyDescent="0.25">
      <c r="B184" s="9">
        <v>171</v>
      </c>
      <c r="C184" s="35"/>
      <c r="D184" s="2"/>
      <c r="E184" s="9" t="str">
        <f t="shared" si="24"/>
        <v/>
      </c>
      <c r="F184" s="54" t="str">
        <f t="shared" si="33"/>
        <v/>
      </c>
      <c r="G184" s="73" t="str">
        <f t="shared" si="25"/>
        <v/>
      </c>
      <c r="H184" s="56" t="str">
        <f t="shared" si="26"/>
        <v/>
      </c>
      <c r="I184" s="57" t="str">
        <f t="shared" si="27"/>
        <v/>
      </c>
      <c r="J184" s="58" t="str">
        <f t="shared" si="28"/>
        <v/>
      </c>
      <c r="L184" s="31" t="str">
        <f t="shared" si="29"/>
        <v/>
      </c>
      <c r="M184" s="32" t="str">
        <f t="shared" si="34"/>
        <v/>
      </c>
      <c r="N184" s="32" t="str">
        <f t="shared" si="30"/>
        <v/>
      </c>
      <c r="O184" s="32" t="str">
        <f t="shared" si="31"/>
        <v/>
      </c>
      <c r="P184" s="32" t="str">
        <f t="shared" si="35"/>
        <v/>
      </c>
      <c r="Q184" s="33" t="str">
        <f t="shared" si="35"/>
        <v/>
      </c>
    </row>
    <row r="185" spans="2:17" x14ac:dyDescent="0.25">
      <c r="B185" s="9">
        <v>172</v>
      </c>
      <c r="C185" s="35"/>
      <c r="D185" s="2"/>
      <c r="E185" s="9" t="str">
        <f t="shared" si="24"/>
        <v/>
      </c>
      <c r="F185" s="54" t="str">
        <f t="shared" si="33"/>
        <v/>
      </c>
      <c r="G185" s="73" t="str">
        <f t="shared" si="25"/>
        <v/>
      </c>
      <c r="H185" s="56" t="str">
        <f t="shared" si="26"/>
        <v/>
      </c>
      <c r="I185" s="57" t="str">
        <f t="shared" si="27"/>
        <v/>
      </c>
      <c r="J185" s="58" t="str">
        <f t="shared" si="28"/>
        <v/>
      </c>
      <c r="L185" s="31" t="str">
        <f t="shared" si="29"/>
        <v/>
      </c>
      <c r="M185" s="32" t="str">
        <f t="shared" si="34"/>
        <v/>
      </c>
      <c r="N185" s="32" t="str">
        <f t="shared" si="30"/>
        <v/>
      </c>
      <c r="O185" s="32" t="str">
        <f t="shared" si="31"/>
        <v/>
      </c>
      <c r="P185" s="32" t="str">
        <f t="shared" si="35"/>
        <v/>
      </c>
      <c r="Q185" s="33" t="str">
        <f t="shared" si="35"/>
        <v/>
      </c>
    </row>
    <row r="186" spans="2:17" x14ac:dyDescent="0.25">
      <c r="B186" s="9">
        <v>173</v>
      </c>
      <c r="C186" s="35"/>
      <c r="D186" s="2"/>
      <c r="E186" s="9" t="str">
        <f t="shared" si="24"/>
        <v/>
      </c>
      <c r="F186" s="54" t="str">
        <f t="shared" si="33"/>
        <v/>
      </c>
      <c r="G186" s="73" t="str">
        <f t="shared" si="25"/>
        <v/>
      </c>
      <c r="H186" s="56" t="str">
        <f t="shared" si="26"/>
        <v/>
      </c>
      <c r="I186" s="57" t="str">
        <f t="shared" si="27"/>
        <v/>
      </c>
      <c r="J186" s="58" t="str">
        <f t="shared" si="28"/>
        <v/>
      </c>
      <c r="L186" s="31" t="str">
        <f t="shared" si="29"/>
        <v/>
      </c>
      <c r="M186" s="32" t="str">
        <f t="shared" si="34"/>
        <v/>
      </c>
      <c r="N186" s="32" t="str">
        <f t="shared" si="30"/>
        <v/>
      </c>
      <c r="O186" s="32" t="str">
        <f t="shared" si="31"/>
        <v/>
      </c>
      <c r="P186" s="32" t="str">
        <f t="shared" si="35"/>
        <v/>
      </c>
      <c r="Q186" s="33" t="str">
        <f t="shared" si="35"/>
        <v/>
      </c>
    </row>
    <row r="187" spans="2:17" x14ac:dyDescent="0.25">
      <c r="B187" s="9">
        <v>174</v>
      </c>
      <c r="C187" s="35"/>
      <c r="D187" s="2"/>
      <c r="E187" s="9" t="str">
        <f t="shared" si="24"/>
        <v/>
      </c>
      <c r="F187" s="54" t="str">
        <f t="shared" si="33"/>
        <v/>
      </c>
      <c r="G187" s="73" t="str">
        <f t="shared" si="25"/>
        <v/>
      </c>
      <c r="H187" s="56" t="str">
        <f t="shared" si="26"/>
        <v/>
      </c>
      <c r="I187" s="57" t="str">
        <f t="shared" si="27"/>
        <v/>
      </c>
      <c r="J187" s="58" t="str">
        <f t="shared" si="28"/>
        <v/>
      </c>
      <c r="L187" s="31" t="str">
        <f t="shared" si="29"/>
        <v/>
      </c>
      <c r="M187" s="32" t="str">
        <f t="shared" si="34"/>
        <v/>
      </c>
      <c r="N187" s="32" t="str">
        <f t="shared" si="30"/>
        <v/>
      </c>
      <c r="O187" s="32" t="str">
        <f t="shared" si="31"/>
        <v/>
      </c>
      <c r="P187" s="32" t="str">
        <f t="shared" si="35"/>
        <v/>
      </c>
      <c r="Q187" s="33" t="str">
        <f t="shared" si="35"/>
        <v/>
      </c>
    </row>
    <row r="188" spans="2:17" x14ac:dyDescent="0.25">
      <c r="B188" s="9">
        <v>175</v>
      </c>
      <c r="C188" s="35"/>
      <c r="D188" s="2"/>
      <c r="E188" s="9" t="str">
        <f t="shared" si="24"/>
        <v/>
      </c>
      <c r="F188" s="54" t="str">
        <f t="shared" si="33"/>
        <v/>
      </c>
      <c r="G188" s="73" t="str">
        <f t="shared" si="25"/>
        <v/>
      </c>
      <c r="H188" s="56" t="str">
        <f t="shared" si="26"/>
        <v/>
      </c>
      <c r="I188" s="57" t="str">
        <f t="shared" si="27"/>
        <v/>
      </c>
      <c r="J188" s="58" t="str">
        <f t="shared" si="28"/>
        <v/>
      </c>
      <c r="L188" s="31" t="str">
        <f t="shared" si="29"/>
        <v/>
      </c>
      <c r="M188" s="32" t="str">
        <f t="shared" si="34"/>
        <v/>
      </c>
      <c r="N188" s="32" t="str">
        <f t="shared" si="30"/>
        <v/>
      </c>
      <c r="O188" s="32" t="str">
        <f t="shared" si="31"/>
        <v/>
      </c>
      <c r="P188" s="32" t="str">
        <f t="shared" si="35"/>
        <v/>
      </c>
      <c r="Q188" s="33" t="str">
        <f t="shared" si="35"/>
        <v/>
      </c>
    </row>
    <row r="189" spans="2:17" x14ac:dyDescent="0.25">
      <c r="B189" s="9">
        <v>176</v>
      </c>
      <c r="C189" s="35"/>
      <c r="D189" s="2"/>
      <c r="E189" s="9" t="str">
        <f t="shared" si="24"/>
        <v/>
      </c>
      <c r="F189" s="54" t="str">
        <f t="shared" si="33"/>
        <v/>
      </c>
      <c r="G189" s="73" t="str">
        <f t="shared" si="25"/>
        <v/>
      </c>
      <c r="H189" s="56" t="str">
        <f t="shared" si="26"/>
        <v/>
      </c>
      <c r="I189" s="57" t="str">
        <f t="shared" si="27"/>
        <v/>
      </c>
      <c r="J189" s="58" t="str">
        <f t="shared" si="28"/>
        <v/>
      </c>
      <c r="L189" s="31" t="str">
        <f t="shared" si="29"/>
        <v/>
      </c>
      <c r="M189" s="32" t="str">
        <f t="shared" si="34"/>
        <v/>
      </c>
      <c r="N189" s="32" t="str">
        <f t="shared" si="30"/>
        <v/>
      </c>
      <c r="O189" s="32" t="str">
        <f t="shared" si="31"/>
        <v/>
      </c>
      <c r="P189" s="32" t="str">
        <f t="shared" si="35"/>
        <v/>
      </c>
      <c r="Q189" s="33" t="str">
        <f t="shared" si="35"/>
        <v/>
      </c>
    </row>
    <row r="190" spans="2:17" x14ac:dyDescent="0.25">
      <c r="B190" s="9">
        <v>177</v>
      </c>
      <c r="C190" s="35"/>
      <c r="D190" s="2"/>
      <c r="E190" s="9" t="str">
        <f t="shared" si="24"/>
        <v/>
      </c>
      <c r="F190" s="54" t="str">
        <f t="shared" si="33"/>
        <v/>
      </c>
      <c r="G190" s="73" t="str">
        <f t="shared" si="25"/>
        <v/>
      </c>
      <c r="H190" s="56" t="str">
        <f t="shared" si="26"/>
        <v/>
      </c>
      <c r="I190" s="57" t="str">
        <f t="shared" si="27"/>
        <v/>
      </c>
      <c r="J190" s="58" t="str">
        <f t="shared" si="28"/>
        <v/>
      </c>
      <c r="L190" s="31" t="str">
        <f t="shared" si="29"/>
        <v/>
      </c>
      <c r="M190" s="32" t="str">
        <f t="shared" si="34"/>
        <v/>
      </c>
      <c r="N190" s="32" t="str">
        <f t="shared" si="30"/>
        <v/>
      </c>
      <c r="O190" s="32" t="str">
        <f t="shared" si="31"/>
        <v/>
      </c>
      <c r="P190" s="32" t="str">
        <f t="shared" si="35"/>
        <v/>
      </c>
      <c r="Q190" s="33" t="str">
        <f t="shared" si="35"/>
        <v/>
      </c>
    </row>
    <row r="191" spans="2:17" x14ac:dyDescent="0.25">
      <c r="B191" s="9">
        <v>178</v>
      </c>
      <c r="C191" s="35"/>
      <c r="D191" s="2"/>
      <c r="E191" s="9" t="str">
        <f t="shared" si="24"/>
        <v/>
      </c>
      <c r="F191" s="54" t="str">
        <f t="shared" si="33"/>
        <v/>
      </c>
      <c r="G191" s="73" t="str">
        <f t="shared" si="25"/>
        <v/>
      </c>
      <c r="H191" s="56" t="str">
        <f t="shared" si="26"/>
        <v/>
      </c>
      <c r="I191" s="57" t="str">
        <f t="shared" si="27"/>
        <v/>
      </c>
      <c r="J191" s="58" t="str">
        <f t="shared" si="28"/>
        <v/>
      </c>
      <c r="L191" s="31" t="str">
        <f t="shared" si="29"/>
        <v/>
      </c>
      <c r="M191" s="32" t="str">
        <f t="shared" si="34"/>
        <v/>
      </c>
      <c r="N191" s="32" t="str">
        <f t="shared" si="30"/>
        <v/>
      </c>
      <c r="O191" s="32" t="str">
        <f t="shared" si="31"/>
        <v/>
      </c>
      <c r="P191" s="32" t="str">
        <f t="shared" si="35"/>
        <v/>
      </c>
      <c r="Q191" s="33" t="str">
        <f t="shared" si="35"/>
        <v/>
      </c>
    </row>
    <row r="192" spans="2:17" x14ac:dyDescent="0.25">
      <c r="B192" s="9">
        <v>179</v>
      </c>
      <c r="C192" s="35"/>
      <c r="D192" s="2"/>
      <c r="E192" s="9" t="str">
        <f t="shared" si="24"/>
        <v/>
      </c>
      <c r="F192" s="54" t="str">
        <f t="shared" si="33"/>
        <v/>
      </c>
      <c r="G192" s="73" t="str">
        <f t="shared" si="25"/>
        <v/>
      </c>
      <c r="H192" s="56" t="str">
        <f t="shared" si="26"/>
        <v/>
      </c>
      <c r="I192" s="57" t="str">
        <f t="shared" si="27"/>
        <v/>
      </c>
      <c r="J192" s="58" t="str">
        <f t="shared" si="28"/>
        <v/>
      </c>
      <c r="L192" s="31" t="str">
        <f t="shared" si="29"/>
        <v/>
      </c>
      <c r="M192" s="32" t="str">
        <f t="shared" si="34"/>
        <v/>
      </c>
      <c r="N192" s="32" t="str">
        <f t="shared" si="30"/>
        <v/>
      </c>
      <c r="O192" s="32" t="str">
        <f t="shared" si="31"/>
        <v/>
      </c>
      <c r="P192" s="32" t="str">
        <f t="shared" si="35"/>
        <v/>
      </c>
      <c r="Q192" s="33" t="str">
        <f t="shared" si="35"/>
        <v/>
      </c>
    </row>
    <row r="193" spans="2:17" x14ac:dyDescent="0.25">
      <c r="B193" s="9">
        <v>180</v>
      </c>
      <c r="C193" s="35"/>
      <c r="D193" s="2"/>
      <c r="E193" s="9" t="str">
        <f t="shared" si="24"/>
        <v/>
      </c>
      <c r="F193" s="54" t="str">
        <f t="shared" si="33"/>
        <v/>
      </c>
      <c r="G193" s="73" t="str">
        <f t="shared" si="25"/>
        <v/>
      </c>
      <c r="H193" s="56" t="str">
        <f t="shared" si="26"/>
        <v/>
      </c>
      <c r="I193" s="57" t="str">
        <f t="shared" si="27"/>
        <v/>
      </c>
      <c r="J193" s="58" t="str">
        <f t="shared" si="28"/>
        <v/>
      </c>
      <c r="L193" s="31" t="str">
        <f t="shared" si="29"/>
        <v/>
      </c>
      <c r="M193" s="32" t="str">
        <f t="shared" si="34"/>
        <v/>
      </c>
      <c r="N193" s="32" t="str">
        <f t="shared" si="30"/>
        <v/>
      </c>
      <c r="O193" s="32" t="str">
        <f t="shared" si="31"/>
        <v/>
      </c>
      <c r="P193" s="32" t="str">
        <f t="shared" si="35"/>
        <v/>
      </c>
      <c r="Q193" s="33" t="str">
        <f t="shared" si="35"/>
        <v/>
      </c>
    </row>
    <row r="194" spans="2:17" x14ac:dyDescent="0.25">
      <c r="B194" s="9">
        <v>181</v>
      </c>
      <c r="C194" s="35"/>
      <c r="D194" s="2"/>
      <c r="E194" s="9" t="str">
        <f t="shared" si="24"/>
        <v/>
      </c>
      <c r="F194" s="54" t="str">
        <f t="shared" si="33"/>
        <v/>
      </c>
      <c r="G194" s="73" t="str">
        <f t="shared" si="25"/>
        <v/>
      </c>
      <c r="H194" s="56" t="str">
        <f t="shared" si="26"/>
        <v/>
      </c>
      <c r="I194" s="57" t="str">
        <f t="shared" si="27"/>
        <v/>
      </c>
      <c r="J194" s="58" t="str">
        <f t="shared" si="28"/>
        <v/>
      </c>
      <c r="L194" s="31" t="str">
        <f t="shared" si="29"/>
        <v/>
      </c>
      <c r="M194" s="32" t="str">
        <f t="shared" si="34"/>
        <v/>
      </c>
      <c r="N194" s="32" t="str">
        <f t="shared" si="30"/>
        <v/>
      </c>
      <c r="O194" s="32" t="str">
        <f t="shared" si="31"/>
        <v/>
      </c>
      <c r="P194" s="32" t="str">
        <f t="shared" si="35"/>
        <v/>
      </c>
      <c r="Q194" s="33" t="str">
        <f t="shared" si="35"/>
        <v/>
      </c>
    </row>
    <row r="195" spans="2:17" x14ac:dyDescent="0.25">
      <c r="B195" s="9">
        <v>182</v>
      </c>
      <c r="C195" s="35"/>
      <c r="D195" s="2"/>
      <c r="E195" s="9" t="str">
        <f t="shared" si="24"/>
        <v/>
      </c>
      <c r="F195" s="54" t="str">
        <f t="shared" si="33"/>
        <v/>
      </c>
      <c r="G195" s="73" t="str">
        <f t="shared" si="25"/>
        <v/>
      </c>
      <c r="H195" s="56" t="str">
        <f t="shared" si="26"/>
        <v/>
      </c>
      <c r="I195" s="57" t="str">
        <f t="shared" si="27"/>
        <v/>
      </c>
      <c r="J195" s="58" t="str">
        <f t="shared" si="28"/>
        <v/>
      </c>
      <c r="L195" s="31" t="str">
        <f t="shared" si="29"/>
        <v/>
      </c>
      <c r="M195" s="32" t="str">
        <f t="shared" si="34"/>
        <v/>
      </c>
      <c r="N195" s="32" t="str">
        <f t="shared" si="30"/>
        <v/>
      </c>
      <c r="O195" s="32" t="str">
        <f t="shared" si="31"/>
        <v/>
      </c>
      <c r="P195" s="32" t="str">
        <f t="shared" si="35"/>
        <v/>
      </c>
      <c r="Q195" s="33" t="str">
        <f t="shared" si="35"/>
        <v/>
      </c>
    </row>
    <row r="196" spans="2:17" x14ac:dyDescent="0.25">
      <c r="B196" s="9">
        <v>183</v>
      </c>
      <c r="C196" s="35"/>
      <c r="D196" s="2"/>
      <c r="E196" s="9" t="str">
        <f t="shared" si="24"/>
        <v/>
      </c>
      <c r="F196" s="54" t="str">
        <f t="shared" si="33"/>
        <v/>
      </c>
      <c r="G196" s="73" t="str">
        <f t="shared" si="25"/>
        <v/>
      </c>
      <c r="H196" s="56" t="str">
        <f t="shared" si="26"/>
        <v/>
      </c>
      <c r="I196" s="57" t="str">
        <f t="shared" si="27"/>
        <v/>
      </c>
      <c r="J196" s="58" t="str">
        <f t="shared" si="28"/>
        <v/>
      </c>
      <c r="L196" s="31" t="str">
        <f t="shared" si="29"/>
        <v/>
      </c>
      <c r="M196" s="32" t="str">
        <f t="shared" si="34"/>
        <v/>
      </c>
      <c r="N196" s="32" t="str">
        <f t="shared" si="30"/>
        <v/>
      </c>
      <c r="O196" s="32" t="str">
        <f t="shared" si="31"/>
        <v/>
      </c>
      <c r="P196" s="32" t="str">
        <f t="shared" si="35"/>
        <v/>
      </c>
      <c r="Q196" s="33" t="str">
        <f t="shared" si="35"/>
        <v/>
      </c>
    </row>
    <row r="197" spans="2:17" x14ac:dyDescent="0.25">
      <c r="B197" s="9">
        <v>184</v>
      </c>
      <c r="C197" s="35"/>
      <c r="D197" s="2"/>
      <c r="E197" s="9" t="str">
        <f t="shared" si="24"/>
        <v/>
      </c>
      <c r="F197" s="54" t="str">
        <f t="shared" si="33"/>
        <v/>
      </c>
      <c r="G197" s="73" t="str">
        <f t="shared" si="25"/>
        <v/>
      </c>
      <c r="H197" s="56" t="str">
        <f t="shared" si="26"/>
        <v/>
      </c>
      <c r="I197" s="57" t="str">
        <f t="shared" si="27"/>
        <v/>
      </c>
      <c r="J197" s="58" t="str">
        <f t="shared" si="28"/>
        <v/>
      </c>
      <c r="L197" s="31" t="str">
        <f t="shared" si="29"/>
        <v/>
      </c>
      <c r="M197" s="32" t="str">
        <f t="shared" si="34"/>
        <v/>
      </c>
      <c r="N197" s="32" t="str">
        <f t="shared" si="30"/>
        <v/>
      </c>
      <c r="O197" s="32" t="str">
        <f t="shared" si="31"/>
        <v/>
      </c>
      <c r="P197" s="32" t="str">
        <f t="shared" si="35"/>
        <v/>
      </c>
      <c r="Q197" s="33" t="str">
        <f t="shared" si="35"/>
        <v/>
      </c>
    </row>
    <row r="198" spans="2:17" x14ac:dyDescent="0.25">
      <c r="B198" s="9">
        <v>185</v>
      </c>
      <c r="C198" s="35"/>
      <c r="D198" s="2"/>
      <c r="E198" s="9" t="str">
        <f t="shared" si="24"/>
        <v/>
      </c>
      <c r="F198" s="54" t="str">
        <f t="shared" si="33"/>
        <v/>
      </c>
      <c r="G198" s="73" t="str">
        <f t="shared" si="25"/>
        <v/>
      </c>
      <c r="H198" s="56" t="str">
        <f t="shared" si="26"/>
        <v/>
      </c>
      <c r="I198" s="57" t="str">
        <f t="shared" si="27"/>
        <v/>
      </c>
      <c r="J198" s="58" t="str">
        <f t="shared" si="28"/>
        <v/>
      </c>
      <c r="L198" s="31" t="str">
        <f t="shared" si="29"/>
        <v/>
      </c>
      <c r="M198" s="32" t="str">
        <f t="shared" si="34"/>
        <v/>
      </c>
      <c r="N198" s="32" t="str">
        <f t="shared" si="30"/>
        <v/>
      </c>
      <c r="O198" s="32" t="str">
        <f t="shared" si="31"/>
        <v/>
      </c>
      <c r="P198" s="32" t="str">
        <f t="shared" si="35"/>
        <v/>
      </c>
      <c r="Q198" s="33" t="str">
        <f t="shared" si="35"/>
        <v/>
      </c>
    </row>
    <row r="199" spans="2:17" x14ac:dyDescent="0.25">
      <c r="B199" s="9">
        <v>186</v>
      </c>
      <c r="C199" s="35"/>
      <c r="D199" s="2"/>
      <c r="E199" s="9" t="str">
        <f t="shared" si="24"/>
        <v/>
      </c>
      <c r="F199" s="54" t="str">
        <f t="shared" si="33"/>
        <v/>
      </c>
      <c r="G199" s="73" t="str">
        <f t="shared" si="25"/>
        <v/>
      </c>
      <c r="H199" s="56" t="str">
        <f t="shared" si="26"/>
        <v/>
      </c>
      <c r="I199" s="57" t="str">
        <f t="shared" si="27"/>
        <v/>
      </c>
      <c r="J199" s="58" t="str">
        <f t="shared" si="28"/>
        <v/>
      </c>
      <c r="L199" s="31" t="str">
        <f t="shared" si="29"/>
        <v/>
      </c>
      <c r="M199" s="32" t="str">
        <f t="shared" si="34"/>
        <v/>
      </c>
      <c r="N199" s="32" t="str">
        <f t="shared" si="30"/>
        <v/>
      </c>
      <c r="O199" s="32" t="str">
        <f t="shared" si="31"/>
        <v/>
      </c>
      <c r="P199" s="32" t="str">
        <f t="shared" si="35"/>
        <v/>
      </c>
      <c r="Q199" s="33" t="str">
        <f t="shared" si="35"/>
        <v/>
      </c>
    </row>
    <row r="200" spans="2:17" x14ac:dyDescent="0.25">
      <c r="B200" s="9">
        <v>187</v>
      </c>
      <c r="C200" s="35"/>
      <c r="D200" s="2"/>
      <c r="E200" s="9" t="str">
        <f t="shared" si="24"/>
        <v/>
      </c>
      <c r="F200" s="54" t="str">
        <f t="shared" si="33"/>
        <v/>
      </c>
      <c r="G200" s="73" t="str">
        <f t="shared" si="25"/>
        <v/>
      </c>
      <c r="H200" s="56" t="str">
        <f t="shared" si="26"/>
        <v/>
      </c>
      <c r="I200" s="57" t="str">
        <f t="shared" si="27"/>
        <v/>
      </c>
      <c r="J200" s="58" t="str">
        <f t="shared" si="28"/>
        <v/>
      </c>
      <c r="L200" s="31" t="str">
        <f t="shared" si="29"/>
        <v/>
      </c>
      <c r="M200" s="32" t="str">
        <f t="shared" si="34"/>
        <v/>
      </c>
      <c r="N200" s="32" t="str">
        <f t="shared" si="30"/>
        <v/>
      </c>
      <c r="O200" s="32" t="str">
        <f t="shared" si="31"/>
        <v/>
      </c>
      <c r="P200" s="32" t="str">
        <f t="shared" si="35"/>
        <v/>
      </c>
      <c r="Q200" s="33" t="str">
        <f t="shared" si="35"/>
        <v/>
      </c>
    </row>
    <row r="201" spans="2:17" x14ac:dyDescent="0.25">
      <c r="B201" s="9">
        <v>188</v>
      </c>
      <c r="C201" s="35"/>
      <c r="D201" s="2"/>
      <c r="E201" s="9" t="str">
        <f t="shared" si="24"/>
        <v/>
      </c>
      <c r="F201" s="54" t="str">
        <f t="shared" si="33"/>
        <v/>
      </c>
      <c r="G201" s="73" t="str">
        <f t="shared" si="25"/>
        <v/>
      </c>
      <c r="H201" s="56" t="str">
        <f t="shared" si="26"/>
        <v/>
      </c>
      <c r="I201" s="57" t="str">
        <f t="shared" si="27"/>
        <v/>
      </c>
      <c r="J201" s="58" t="str">
        <f t="shared" si="28"/>
        <v/>
      </c>
      <c r="L201" s="31" t="str">
        <f t="shared" si="29"/>
        <v/>
      </c>
      <c r="M201" s="32" t="str">
        <f t="shared" si="34"/>
        <v/>
      </c>
      <c r="N201" s="32" t="str">
        <f t="shared" si="30"/>
        <v/>
      </c>
      <c r="O201" s="32" t="str">
        <f t="shared" si="31"/>
        <v/>
      </c>
      <c r="P201" s="32" t="str">
        <f t="shared" si="35"/>
        <v/>
      </c>
      <c r="Q201" s="33" t="str">
        <f t="shared" si="35"/>
        <v/>
      </c>
    </row>
    <row r="202" spans="2:17" x14ac:dyDescent="0.25">
      <c r="B202" s="9">
        <v>189</v>
      </c>
      <c r="C202" s="35"/>
      <c r="D202" s="2"/>
      <c r="E202" s="9" t="str">
        <f t="shared" si="24"/>
        <v/>
      </c>
      <c r="F202" s="54" t="str">
        <f t="shared" si="33"/>
        <v/>
      </c>
      <c r="G202" s="73" t="str">
        <f t="shared" si="25"/>
        <v/>
      </c>
      <c r="H202" s="56" t="str">
        <f t="shared" si="26"/>
        <v/>
      </c>
      <c r="I202" s="57" t="str">
        <f t="shared" si="27"/>
        <v/>
      </c>
      <c r="J202" s="58" t="str">
        <f t="shared" si="28"/>
        <v/>
      </c>
      <c r="L202" s="31" t="str">
        <f t="shared" si="29"/>
        <v/>
      </c>
      <c r="M202" s="32" t="str">
        <f t="shared" si="34"/>
        <v/>
      </c>
      <c r="N202" s="32" t="str">
        <f t="shared" si="30"/>
        <v/>
      </c>
      <c r="O202" s="32" t="str">
        <f t="shared" si="31"/>
        <v/>
      </c>
      <c r="P202" s="32" t="str">
        <f t="shared" si="35"/>
        <v/>
      </c>
      <c r="Q202" s="33" t="str">
        <f t="shared" si="35"/>
        <v/>
      </c>
    </row>
    <row r="203" spans="2:17" ht="13.8" thickBot="1" x14ac:dyDescent="0.3">
      <c r="B203" s="10">
        <v>190</v>
      </c>
      <c r="C203" s="36"/>
      <c r="D203" s="2"/>
      <c r="E203" s="10" t="str">
        <f t="shared" si="24"/>
        <v/>
      </c>
      <c r="F203" s="26" t="str">
        <f t="shared" si="33"/>
        <v/>
      </c>
      <c r="G203" s="74" t="str">
        <f t="shared" si="25"/>
        <v/>
      </c>
      <c r="H203" s="60" t="str">
        <f t="shared" si="26"/>
        <v/>
      </c>
      <c r="I203" s="61" t="str">
        <f t="shared" si="27"/>
        <v/>
      </c>
      <c r="J203" s="62" t="str">
        <f t="shared" si="28"/>
        <v/>
      </c>
      <c r="L203" s="65" t="str">
        <f t="shared" si="29"/>
        <v/>
      </c>
      <c r="M203" s="66" t="str">
        <f t="shared" si="34"/>
        <v/>
      </c>
      <c r="N203" s="66" t="str">
        <f t="shared" si="30"/>
        <v/>
      </c>
      <c r="O203" s="66" t="str">
        <f t="shared" si="31"/>
        <v/>
      </c>
      <c r="P203" s="66" t="str">
        <f t="shared" si="35"/>
        <v/>
      </c>
      <c r="Q203" s="67" t="str">
        <f t="shared" si="35"/>
        <v/>
      </c>
    </row>
    <row r="204" spans="2:17" ht="13.8" thickTop="1" x14ac:dyDescent="0.25">
      <c r="B204" s="2"/>
      <c r="C204" s="2"/>
      <c r="D204" s="2"/>
      <c r="E204" s="2"/>
      <c r="F204" s="2"/>
      <c r="G204" s="43"/>
      <c r="H204" s="2"/>
    </row>
    <row r="205" spans="2:17" x14ac:dyDescent="0.25">
      <c r="B205" s="2"/>
      <c r="C205" s="2"/>
      <c r="D205" s="2"/>
      <c r="E205" s="2"/>
      <c r="F205" s="2"/>
      <c r="G205" s="43"/>
      <c r="H205" s="2"/>
    </row>
    <row r="206" spans="2:17" x14ac:dyDescent="0.25">
      <c r="B206" s="2"/>
      <c r="C206" s="2"/>
      <c r="D206" s="2"/>
      <c r="E206" s="2"/>
      <c r="F206" s="2"/>
      <c r="G206" s="43"/>
      <c r="H206" s="2"/>
    </row>
    <row r="207" spans="2:17" x14ac:dyDescent="0.25">
      <c r="B207" s="2"/>
      <c r="C207" s="2"/>
      <c r="D207" s="2"/>
      <c r="E207" s="2"/>
      <c r="F207" s="2"/>
      <c r="G207" s="43"/>
      <c r="H207" s="2"/>
    </row>
  </sheetData>
  <mergeCells count="14">
    <mergeCell ref="E8:G8"/>
    <mergeCell ref="E9:G9"/>
    <mergeCell ref="U3:V3"/>
    <mergeCell ref="E4:G4"/>
    <mergeCell ref="B11:C11"/>
    <mergeCell ref="E11:J11"/>
    <mergeCell ref="B3:C3"/>
    <mergeCell ref="E3:H3"/>
    <mergeCell ref="J3:K3"/>
    <mergeCell ref="M3:R3"/>
    <mergeCell ref="L11:Q11"/>
    <mergeCell ref="E5:G5"/>
    <mergeCell ref="E6:G6"/>
    <mergeCell ref="E7:G7"/>
  </mergeCells>
  <pageMargins left="0.75" right="0.75" top="1" bottom="1" header="0.5" footer="0.5"/>
  <pageSetup paperSize="9" orientation="portrait" verticalDpi="0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28B49-2CDE-4E6F-9B65-E650B72027B9}">
  <sheetPr codeName="Blad19"/>
  <dimension ref="B1:AU207"/>
  <sheetViews>
    <sheetView topLeftCell="A19" workbookViewId="0">
      <selection activeCell="B1" sqref="B1"/>
    </sheetView>
  </sheetViews>
  <sheetFormatPr defaultRowHeight="13.2" x14ac:dyDescent="0.25"/>
  <cols>
    <col min="1" max="1" width="2" customWidth="1"/>
    <col min="4" max="4" width="4.5546875" customWidth="1"/>
    <col min="6" max="6" width="10.6640625" bestFit="1" customWidth="1"/>
    <col min="11" max="11" width="8.33203125" customWidth="1"/>
  </cols>
  <sheetData>
    <row r="1" spans="2:47" ht="12" customHeight="1" x14ac:dyDescent="0.25">
      <c r="B1" s="4"/>
      <c r="E1" s="2"/>
      <c r="F1" s="1"/>
      <c r="G1" s="2"/>
      <c r="H1" s="2"/>
      <c r="S1" t="str">
        <f>Invoer!L1</f>
        <v>versie 1.2 juli 2009</v>
      </c>
    </row>
    <row r="2" spans="2:47" ht="5.25" customHeight="1" thickBot="1" x14ac:dyDescent="0.3">
      <c r="B2" s="51"/>
      <c r="H2" s="2"/>
    </row>
    <row r="3" spans="2:47" ht="14.4" thickTop="1" thickBot="1" x14ac:dyDescent="0.3">
      <c r="B3" s="152" t="s">
        <v>22</v>
      </c>
      <c r="C3" s="154"/>
      <c r="E3" s="152" t="s">
        <v>15</v>
      </c>
      <c r="F3" s="153"/>
      <c r="G3" s="153"/>
      <c r="H3" s="154"/>
      <c r="J3" s="152" t="s">
        <v>20</v>
      </c>
      <c r="K3" s="160"/>
      <c r="M3" s="152" t="s">
        <v>31</v>
      </c>
      <c r="N3" s="153"/>
      <c r="O3" s="153"/>
      <c r="P3" s="153"/>
      <c r="Q3" s="161"/>
      <c r="R3" s="162"/>
      <c r="U3" s="152" t="s">
        <v>23</v>
      </c>
      <c r="V3" s="160"/>
    </row>
    <row r="4" spans="2:47" ht="16.2" thickTop="1" x14ac:dyDescent="0.35">
      <c r="B4" s="18" t="s">
        <v>12</v>
      </c>
      <c r="C4" s="83" t="s">
        <v>130</v>
      </c>
      <c r="E4" s="155" t="s">
        <v>35</v>
      </c>
      <c r="F4" s="146"/>
      <c r="G4" s="147"/>
      <c r="H4" s="38">
        <v>5</v>
      </c>
      <c r="J4" s="16" t="s">
        <v>11</v>
      </c>
      <c r="K4" s="20">
        <f>COUNT(G14:G203)</f>
        <v>31</v>
      </c>
      <c r="M4" s="6" t="s">
        <v>12</v>
      </c>
      <c r="N4" s="88" t="s">
        <v>54</v>
      </c>
      <c r="O4" s="15" t="s">
        <v>53</v>
      </c>
      <c r="P4" s="15" t="s">
        <v>29</v>
      </c>
      <c r="Q4" s="68" t="s">
        <v>45</v>
      </c>
      <c r="R4" s="20" t="s">
        <v>30</v>
      </c>
      <c r="U4" s="69" t="s">
        <v>7</v>
      </c>
      <c r="V4" s="21">
        <f>IF(C6="","",((H7/1000)^3-1.5*(H6/1000)^2*(H7/1000)+0.5*(H6/1000)^3)/(4*(C6/1000)*(C7/1000)^3))</f>
        <v>326.4985441069465</v>
      </c>
    </row>
    <row r="5" spans="2:47" ht="16.2" thickBot="1" x14ac:dyDescent="0.4">
      <c r="B5" s="19" t="s">
        <v>27</v>
      </c>
      <c r="C5" s="27">
        <v>1332.2</v>
      </c>
      <c r="D5" s="2"/>
      <c r="E5" s="145" t="s">
        <v>14</v>
      </c>
      <c r="F5" s="148"/>
      <c r="G5" s="147"/>
      <c r="H5" s="28">
        <v>1</v>
      </c>
      <c r="J5" s="17" t="s">
        <v>18</v>
      </c>
      <c r="K5" s="21">
        <f>IF(I15="","",ROUND(AVERAGE(I15:I16),0))</f>
        <v>3656</v>
      </c>
      <c r="M5" s="13"/>
      <c r="N5" s="12" t="s">
        <v>48</v>
      </c>
      <c r="O5" s="14" t="s">
        <v>1</v>
      </c>
      <c r="P5" s="14" t="s">
        <v>1</v>
      </c>
      <c r="Q5" s="68" t="s">
        <v>46</v>
      </c>
      <c r="R5" s="22" t="s">
        <v>10</v>
      </c>
      <c r="U5" s="69" t="s">
        <v>8</v>
      </c>
      <c r="V5" s="87">
        <f>0.573*C5/1000+0.872*H8/1000</f>
        <v>2.2457506</v>
      </c>
    </row>
    <row r="6" spans="2:47" ht="14.4" thickTop="1" thickBot="1" x14ac:dyDescent="0.3">
      <c r="B6" s="19" t="s">
        <v>5</v>
      </c>
      <c r="C6" s="27">
        <v>50.2</v>
      </c>
      <c r="D6" s="2"/>
      <c r="E6" s="145" t="s">
        <v>26</v>
      </c>
      <c r="F6" s="146"/>
      <c r="G6" s="147"/>
      <c r="H6" s="28">
        <v>0</v>
      </c>
      <c r="J6" s="17" t="s">
        <v>44</v>
      </c>
      <c r="K6" s="21">
        <f>IF(J15="","",ROUND(AVERAGE(J15:J16),0))</f>
        <v>9</v>
      </c>
      <c r="M6" s="16"/>
      <c r="N6" s="45"/>
      <c r="O6" s="45"/>
      <c r="P6" s="45"/>
      <c r="Q6" s="15"/>
      <c r="R6" s="39"/>
      <c r="U6" s="13" t="s">
        <v>57</v>
      </c>
      <c r="V6" s="98">
        <f ca="1">IF(K5="","",(OFFSET(H14,K4-1,1)+OFFSET(H14,K4-1,1))/2)</f>
        <v>142</v>
      </c>
      <c r="AB6" t="s">
        <v>84</v>
      </c>
    </row>
    <row r="7" spans="2:47" ht="16.8" thickTop="1" thickBot="1" x14ac:dyDescent="0.4">
      <c r="B7" s="19" t="s">
        <v>6</v>
      </c>
      <c r="C7" s="27">
        <v>49.6</v>
      </c>
      <c r="D7" s="2"/>
      <c r="E7" s="145" t="s">
        <v>25</v>
      </c>
      <c r="F7" s="146"/>
      <c r="G7" s="147"/>
      <c r="H7" s="28">
        <v>200</v>
      </c>
      <c r="J7" s="17" t="s">
        <v>19</v>
      </c>
      <c r="K7" s="21">
        <f ca="1">IF(K5="n/b","",OFFSET(B14,K4-1,1))</f>
        <v>900</v>
      </c>
      <c r="M7" s="13" t="str">
        <f>IF(C4="","",C4)</f>
        <v>3V</v>
      </c>
      <c r="N7" s="42">
        <f ca="1">IF(K8="","",K$8)</f>
        <v>3.5227586206896557</v>
      </c>
      <c r="O7" s="42">
        <f ca="1">K9</f>
        <v>1.8240000000000001</v>
      </c>
      <c r="P7" s="46">
        <f>K5</f>
        <v>3656</v>
      </c>
      <c r="Q7" s="46">
        <f>K6</f>
        <v>9</v>
      </c>
      <c r="R7" s="50">
        <f ca="1">K7</f>
        <v>900</v>
      </c>
      <c r="AB7" t="s">
        <v>85</v>
      </c>
    </row>
    <row r="8" spans="2:47" ht="16.8" thickTop="1" thickBot="1" x14ac:dyDescent="0.4">
      <c r="B8" s="37" t="s">
        <v>51</v>
      </c>
      <c r="C8" s="82"/>
      <c r="D8" s="2"/>
      <c r="E8" s="145" t="s">
        <v>28</v>
      </c>
      <c r="F8" s="148"/>
      <c r="G8" s="146"/>
      <c r="H8" s="28">
        <v>1700</v>
      </c>
      <c r="J8" s="17" t="s">
        <v>49</v>
      </c>
      <c r="K8" s="87">
        <f ca="1">IF(G14="","",AVERAGE(G15:OFFSET(F14,MATCH(K7,C14:C200)-2,1)))</f>
        <v>3.5227586206896557</v>
      </c>
      <c r="L8" s="135"/>
      <c r="AB8" t="s">
        <v>132</v>
      </c>
    </row>
    <row r="9" spans="2:47" ht="16.8" thickTop="1" thickBot="1" x14ac:dyDescent="0.4">
      <c r="B9" s="23" t="s">
        <v>50</v>
      </c>
      <c r="C9" s="24">
        <f>IF(C7="","",1.5*H7*(C8-H9)/(C6*C7^2))</f>
        <v>-0.12145745840778403</v>
      </c>
      <c r="D9" s="2"/>
      <c r="E9" s="149" t="s">
        <v>55</v>
      </c>
      <c r="F9" s="150"/>
      <c r="G9" s="151"/>
      <c r="H9" s="29">
        <v>50</v>
      </c>
      <c r="J9" s="23" t="s">
        <v>52</v>
      </c>
      <c r="K9" s="24">
        <f ca="1">IF(H14="","",AVERAGE(H15:OFFSET(H14,MATCH(K7,C14:C200)-1,0)))</f>
        <v>1.8240000000000001</v>
      </c>
      <c r="L9" s="135"/>
      <c r="AB9" t="s">
        <v>133</v>
      </c>
    </row>
    <row r="10" spans="2:47" ht="6.75" customHeight="1" thickTop="1" thickBot="1" x14ac:dyDescent="0.3">
      <c r="B10" s="5"/>
      <c r="C10" s="5"/>
      <c r="D10" s="2"/>
      <c r="E10" s="2"/>
      <c r="F10" s="2"/>
      <c r="G10" s="2"/>
      <c r="H10" s="2"/>
      <c r="AB10" t="s">
        <v>134</v>
      </c>
    </row>
    <row r="11" spans="2:47" ht="14.4" thickTop="1" thickBot="1" x14ac:dyDescent="0.3">
      <c r="B11" s="163" t="s">
        <v>13</v>
      </c>
      <c r="C11" s="164"/>
      <c r="D11" s="2"/>
      <c r="E11" s="152" t="s">
        <v>16</v>
      </c>
      <c r="F11" s="165"/>
      <c r="G11" s="165"/>
      <c r="H11" s="161"/>
      <c r="I11" s="161"/>
      <c r="J11" s="162"/>
      <c r="L11" s="152" t="s">
        <v>17</v>
      </c>
      <c r="M11" s="153"/>
      <c r="N11" s="153"/>
      <c r="O11" s="153"/>
      <c r="P11" s="153"/>
      <c r="Q11" s="154"/>
      <c r="AB11" t="s">
        <v>135</v>
      </c>
    </row>
    <row r="12" spans="2:47" ht="16.2" thickTop="1" x14ac:dyDescent="0.35">
      <c r="B12" s="6"/>
      <c r="C12" s="8" t="s">
        <v>9</v>
      </c>
      <c r="D12" s="3"/>
      <c r="E12" s="52" t="s">
        <v>80</v>
      </c>
      <c r="F12" s="53" t="s">
        <v>36</v>
      </c>
      <c r="G12" s="53" t="s">
        <v>81</v>
      </c>
      <c r="H12" s="55" t="s">
        <v>37</v>
      </c>
      <c r="I12" s="7" t="s">
        <v>0</v>
      </c>
      <c r="J12" s="8" t="s">
        <v>2</v>
      </c>
      <c r="K12" s="138"/>
      <c r="L12" s="7" t="s">
        <v>38</v>
      </c>
      <c r="M12" s="25" t="s">
        <v>82</v>
      </c>
      <c r="N12" s="25" t="s">
        <v>39</v>
      </c>
      <c r="O12" s="25" t="s">
        <v>43</v>
      </c>
      <c r="P12" s="25" t="s">
        <v>24</v>
      </c>
      <c r="Q12" s="8" t="s">
        <v>21</v>
      </c>
    </row>
    <row r="13" spans="2:47" ht="13.8" thickBot="1" x14ac:dyDescent="0.3">
      <c r="B13" s="13"/>
      <c r="C13" s="11" t="s">
        <v>10</v>
      </c>
      <c r="D13" s="3"/>
      <c r="E13" s="10" t="s">
        <v>4</v>
      </c>
      <c r="F13" s="26" t="s">
        <v>4</v>
      </c>
      <c r="G13" s="26" t="s">
        <v>1</v>
      </c>
      <c r="H13" s="63" t="s">
        <v>1</v>
      </c>
      <c r="I13" s="10" t="s">
        <v>1</v>
      </c>
      <c r="J13" s="11" t="s">
        <v>3</v>
      </c>
      <c r="K13" s="136"/>
      <c r="L13" s="10" t="s">
        <v>40</v>
      </c>
      <c r="M13" s="26" t="s">
        <v>40</v>
      </c>
      <c r="N13" s="26" t="s">
        <v>41</v>
      </c>
      <c r="O13" s="26" t="s">
        <v>41</v>
      </c>
      <c r="P13" s="26" t="s">
        <v>42</v>
      </c>
      <c r="Q13" s="11" t="s">
        <v>42</v>
      </c>
    </row>
    <row r="14" spans="2:47" ht="13.8" thickTop="1" x14ac:dyDescent="0.25">
      <c r="B14" s="7">
        <v>1</v>
      </c>
      <c r="C14" s="34">
        <v>0</v>
      </c>
      <c r="D14" s="3"/>
      <c r="E14" s="9">
        <f t="shared" ref="E14:E77" si="0">IF(L14="","",ROUND(12*C$7/(2*H$7^2+2*H$6*H$7-H$6^2)*L14*1000000,0))</f>
        <v>1257</v>
      </c>
      <c r="F14" s="54">
        <f>IF(L14="","",ABS(ROUND(12*C$7/(2*(H$7/1000)^2+2*(H$6/1000)*(H$7/1000)-(H$6/1000)^2)*(M14-M$14)*1,0)))</f>
        <v>0</v>
      </c>
      <c r="G14" s="73">
        <f t="shared" ref="G14:G77" si="1">IF(L14="","",ROUND(1.5*((N14-O14)*1000*H$7)/(C$6*C$7^2),3))</f>
        <v>3.4980000000000002</v>
      </c>
      <c r="H14" s="56">
        <f t="shared" ref="H14:H77" si="2">IF(L14="","",ROUND(1.5*((N14/2-O14)*1000*H$7)/(C$6*C$7^2),3))</f>
        <v>1.8069999999999999</v>
      </c>
      <c r="I14" s="57">
        <f t="shared" ref="I14:I77" si="3">IF(L14="","",IF(P14&lt;=0,"foute meting",ROUND(0.000001*V$4*SQRT((1000000*Q14)^2+(1000000*P14+V$5*(2*PI()*H$5)^2)^2),0)))</f>
        <v>3618</v>
      </c>
      <c r="J14" s="58">
        <f t="shared" ref="J14:J77" si="4">IF(L14="","",ROUND(ATAN(Q14/P14)/PI()*180,1))</f>
        <v>4.2</v>
      </c>
      <c r="L14" s="31">
        <f t="shared" ref="L14:L77" si="5">IF(AG16&lt;=0,"",AG16)</f>
        <v>0.16900000000000001</v>
      </c>
      <c r="M14" s="30">
        <f>IF(AG16="","",AG16/2-AE16)</f>
        <v>8.2500000000000004E-2</v>
      </c>
      <c r="N14" s="30">
        <f t="shared" ref="N14:N77" si="6">IF(AI16="","",AI16)</f>
        <v>1.3919999999999999</v>
      </c>
      <c r="O14" s="30">
        <f t="shared" ref="O14:O77" si="7">IF(AH16="","",AH16)</f>
        <v>-4.8000000000000001E-2</v>
      </c>
      <c r="P14" s="30">
        <f t="shared" ref="P14:Q45" si="8">IF(AJ16="","",AJ16)</f>
        <v>11.051</v>
      </c>
      <c r="Q14" s="59">
        <f t="shared" si="8"/>
        <v>0.81499999999999995</v>
      </c>
      <c r="AB14" t="s">
        <v>86</v>
      </c>
      <c r="AC14" t="s">
        <v>87</v>
      </c>
      <c r="AD14" t="s">
        <v>88</v>
      </c>
      <c r="AE14" t="s">
        <v>89</v>
      </c>
      <c r="AF14" t="s">
        <v>90</v>
      </c>
      <c r="AG14" t="s">
        <v>91</v>
      </c>
      <c r="AH14" t="s">
        <v>113</v>
      </c>
      <c r="AI14" t="s">
        <v>114</v>
      </c>
      <c r="AJ14" t="s">
        <v>92</v>
      </c>
      <c r="AK14" t="s">
        <v>93</v>
      </c>
      <c r="AL14" t="s">
        <v>94</v>
      </c>
      <c r="AM14" t="s">
        <v>95</v>
      </c>
      <c r="AN14" t="s">
        <v>96</v>
      </c>
      <c r="AO14" t="s">
        <v>97</v>
      </c>
      <c r="AP14" t="s">
        <v>98</v>
      </c>
      <c r="AQ14" t="s">
        <v>99</v>
      </c>
      <c r="AR14" t="s">
        <v>100</v>
      </c>
      <c r="AS14" t="s">
        <v>101</v>
      </c>
      <c r="AT14" t="s">
        <v>102</v>
      </c>
      <c r="AU14" t="s">
        <v>103</v>
      </c>
    </row>
    <row r="15" spans="2:47" x14ac:dyDescent="0.25">
      <c r="B15" s="9">
        <v>2</v>
      </c>
      <c r="C15" s="35">
        <v>10</v>
      </c>
      <c r="D15" s="3"/>
      <c r="E15" s="9">
        <f t="shared" si="0"/>
        <v>1049</v>
      </c>
      <c r="F15" s="54">
        <f t="shared" ref="F15:F78" si="9">IF(L15="","",ABS(ROUND(12*C$7/(2*(H$7/1000)^2+2*(H$6/1000)*(H$7/1000)-(H$6/1000)^2)*(M15-M$14)*1,0)))</f>
        <v>417</v>
      </c>
      <c r="G15" s="73">
        <f t="shared" si="1"/>
        <v>3.51</v>
      </c>
      <c r="H15" s="56">
        <f t="shared" si="2"/>
        <v>1.8220000000000001</v>
      </c>
      <c r="I15" s="57">
        <f t="shared" si="3"/>
        <v>3653</v>
      </c>
      <c r="J15" s="58">
        <f t="shared" si="4"/>
        <v>9.4</v>
      </c>
      <c r="L15" s="31">
        <f t="shared" si="5"/>
        <v>0.14099999999999999</v>
      </c>
      <c r="M15" s="32">
        <f t="shared" ref="M15:M78" si="10">IF(AG17="","",AG17/2-AE17)</f>
        <v>0.13850000000000001</v>
      </c>
      <c r="N15" s="32">
        <f t="shared" si="6"/>
        <v>1.39</v>
      </c>
      <c r="O15" s="32">
        <f t="shared" si="7"/>
        <v>-5.5E-2</v>
      </c>
      <c r="P15" s="32">
        <f t="shared" si="8"/>
        <v>11.037000000000001</v>
      </c>
      <c r="Q15" s="33">
        <f t="shared" si="8"/>
        <v>1.8260000000000001</v>
      </c>
      <c r="AE15" t="s">
        <v>104</v>
      </c>
      <c r="AF15" t="s">
        <v>104</v>
      </c>
      <c r="AG15" t="s">
        <v>104</v>
      </c>
      <c r="AH15" t="s">
        <v>105</v>
      </c>
      <c r="AI15" t="s">
        <v>105</v>
      </c>
      <c r="AJ15" t="s">
        <v>106</v>
      </c>
      <c r="AK15" t="s">
        <v>106</v>
      </c>
      <c r="AL15" t="s">
        <v>107</v>
      </c>
      <c r="AN15" t="s">
        <v>106</v>
      </c>
      <c r="AO15" t="s">
        <v>106</v>
      </c>
      <c r="AP15" t="s">
        <v>108</v>
      </c>
      <c r="AQ15" t="s">
        <v>107</v>
      </c>
      <c r="AS15" t="s">
        <v>109</v>
      </c>
      <c r="AT15" t="s">
        <v>107</v>
      </c>
    </row>
    <row r="16" spans="2:47" x14ac:dyDescent="0.25">
      <c r="B16" s="9">
        <v>3</v>
      </c>
      <c r="C16" s="35">
        <v>20</v>
      </c>
      <c r="D16" s="3"/>
      <c r="E16" s="9">
        <f t="shared" si="0"/>
        <v>1042</v>
      </c>
      <c r="F16" s="54">
        <f t="shared" si="9"/>
        <v>621</v>
      </c>
      <c r="G16" s="73">
        <f t="shared" si="1"/>
        <v>3.5150000000000001</v>
      </c>
      <c r="H16" s="56">
        <f t="shared" si="2"/>
        <v>1.8220000000000001</v>
      </c>
      <c r="I16" s="57">
        <f t="shared" si="3"/>
        <v>3658</v>
      </c>
      <c r="J16" s="58">
        <f t="shared" si="4"/>
        <v>9.3000000000000007</v>
      </c>
      <c r="L16" s="31">
        <f t="shared" si="5"/>
        <v>0.14000000000000001</v>
      </c>
      <c r="M16" s="32">
        <f t="shared" si="10"/>
        <v>0.16600000000000001</v>
      </c>
      <c r="N16" s="32">
        <f t="shared" si="6"/>
        <v>1.3939999999999999</v>
      </c>
      <c r="O16" s="32">
        <f t="shared" si="7"/>
        <v>-5.2999999999999999E-2</v>
      </c>
      <c r="P16" s="32">
        <f t="shared" si="8"/>
        <v>11.057</v>
      </c>
      <c r="Q16" s="33">
        <f t="shared" si="8"/>
        <v>1.8129999999999999</v>
      </c>
      <c r="AB16">
        <v>1</v>
      </c>
      <c r="AC16">
        <v>4</v>
      </c>
      <c r="AD16">
        <v>1</v>
      </c>
      <c r="AE16">
        <v>2E-3</v>
      </c>
      <c r="AF16">
        <v>-0.16700000000000001</v>
      </c>
      <c r="AG16">
        <v>0.16900000000000001</v>
      </c>
      <c r="AH16">
        <v>-4.8000000000000001E-2</v>
      </c>
      <c r="AI16">
        <v>1.3919999999999999</v>
      </c>
      <c r="AJ16">
        <v>11.051</v>
      </c>
      <c r="AK16">
        <v>0.81499999999999995</v>
      </c>
      <c r="AL16">
        <v>3.99</v>
      </c>
      <c r="AM16">
        <v>7.0000000000000007E-2</v>
      </c>
      <c r="AN16">
        <v>11.102</v>
      </c>
      <c r="AO16">
        <v>10.654</v>
      </c>
      <c r="AP16">
        <v>1.2E-2</v>
      </c>
      <c r="AQ16">
        <v>5.0019999999999998</v>
      </c>
      <c r="AR16">
        <v>8.7999999999999995E-2</v>
      </c>
      <c r="AS16">
        <v>1</v>
      </c>
      <c r="AT16">
        <v>0</v>
      </c>
      <c r="AU16">
        <v>64</v>
      </c>
    </row>
    <row r="17" spans="2:47" x14ac:dyDescent="0.25">
      <c r="B17" s="9">
        <v>4</v>
      </c>
      <c r="C17" s="35">
        <v>30</v>
      </c>
      <c r="D17" s="3"/>
      <c r="E17" s="9">
        <f t="shared" si="0"/>
        <v>1019</v>
      </c>
      <c r="F17" s="54">
        <f t="shared" si="9"/>
        <v>789</v>
      </c>
      <c r="G17" s="73">
        <f t="shared" si="1"/>
        <v>3.5150000000000001</v>
      </c>
      <c r="H17" s="56">
        <f t="shared" si="2"/>
        <v>1.821</v>
      </c>
      <c r="I17" s="57">
        <f t="shared" si="3"/>
        <v>3647</v>
      </c>
      <c r="J17" s="58">
        <f t="shared" si="4"/>
        <v>9.1999999999999993</v>
      </c>
      <c r="L17" s="31">
        <f t="shared" si="5"/>
        <v>0.13700000000000001</v>
      </c>
      <c r="M17" s="32">
        <f t="shared" si="10"/>
        <v>0.1885</v>
      </c>
      <c r="N17" s="32">
        <f t="shared" si="6"/>
        <v>1.395</v>
      </c>
      <c r="O17" s="32">
        <f t="shared" si="7"/>
        <v>-5.1999999999999998E-2</v>
      </c>
      <c r="P17" s="32">
        <f t="shared" si="8"/>
        <v>11.026999999999999</v>
      </c>
      <c r="Q17" s="33">
        <f t="shared" si="8"/>
        <v>1.7769999999999999</v>
      </c>
      <c r="AB17">
        <v>1</v>
      </c>
      <c r="AC17">
        <v>4</v>
      </c>
      <c r="AD17">
        <v>2</v>
      </c>
      <c r="AE17">
        <v>-6.8000000000000005E-2</v>
      </c>
      <c r="AF17">
        <v>-0.20899999999999999</v>
      </c>
      <c r="AG17">
        <v>0.14099999999999999</v>
      </c>
      <c r="AH17">
        <v>-5.5E-2</v>
      </c>
      <c r="AI17">
        <v>1.39</v>
      </c>
      <c r="AJ17">
        <v>11.037000000000001</v>
      </c>
      <c r="AK17">
        <v>1.8260000000000001</v>
      </c>
      <c r="AL17">
        <v>9.391</v>
      </c>
      <c r="AM17">
        <v>0.16500000000000001</v>
      </c>
      <c r="AN17">
        <v>11.188000000000001</v>
      </c>
      <c r="AO17">
        <v>10.493</v>
      </c>
      <c r="AP17">
        <v>2.1999999999999999E-2</v>
      </c>
      <c r="AQ17">
        <v>8.7530000000000001</v>
      </c>
      <c r="AR17">
        <v>0.154</v>
      </c>
      <c r="AS17">
        <v>1</v>
      </c>
      <c r="AT17">
        <v>0</v>
      </c>
      <c r="AU17">
        <v>64</v>
      </c>
    </row>
    <row r="18" spans="2:47" x14ac:dyDescent="0.25">
      <c r="B18" s="9">
        <v>5</v>
      </c>
      <c r="C18" s="35">
        <v>40</v>
      </c>
      <c r="D18" s="3"/>
      <c r="E18" s="9">
        <f t="shared" si="0"/>
        <v>1042</v>
      </c>
      <c r="F18" s="54">
        <f t="shared" si="9"/>
        <v>941</v>
      </c>
      <c r="G18" s="73">
        <f t="shared" si="1"/>
        <v>3.5150000000000001</v>
      </c>
      <c r="H18" s="56">
        <f t="shared" si="2"/>
        <v>1.819</v>
      </c>
      <c r="I18" s="57">
        <f t="shared" si="3"/>
        <v>3627</v>
      </c>
      <c r="J18" s="58">
        <f t="shared" si="4"/>
        <v>9.1999999999999993</v>
      </c>
      <c r="L18" s="31">
        <f t="shared" si="5"/>
        <v>0.14000000000000001</v>
      </c>
      <c r="M18" s="32">
        <f t="shared" si="10"/>
        <v>0.20900000000000002</v>
      </c>
      <c r="N18" s="32">
        <f t="shared" si="6"/>
        <v>1.3959999999999999</v>
      </c>
      <c r="O18" s="32">
        <f t="shared" si="7"/>
        <v>-5.0999999999999997E-2</v>
      </c>
      <c r="P18" s="32">
        <f t="shared" si="8"/>
        <v>10.965999999999999</v>
      </c>
      <c r="Q18" s="33">
        <f t="shared" si="8"/>
        <v>1.77</v>
      </c>
      <c r="AB18">
        <v>1</v>
      </c>
      <c r="AC18">
        <v>4</v>
      </c>
      <c r="AD18">
        <v>3</v>
      </c>
      <c r="AE18">
        <v>-9.6000000000000002E-2</v>
      </c>
      <c r="AF18">
        <v>-0.23499999999999999</v>
      </c>
      <c r="AG18">
        <v>0.14000000000000001</v>
      </c>
      <c r="AH18">
        <v>-5.2999999999999999E-2</v>
      </c>
      <c r="AI18">
        <v>1.3939999999999999</v>
      </c>
      <c r="AJ18">
        <v>11.057</v>
      </c>
      <c r="AK18">
        <v>1.8129999999999999</v>
      </c>
      <c r="AL18">
        <v>9.3089999999999993</v>
      </c>
      <c r="AM18">
        <v>0.16400000000000001</v>
      </c>
      <c r="AN18">
        <v>11.205</v>
      </c>
      <c r="AO18">
        <v>10.670999999999999</v>
      </c>
      <c r="AP18">
        <v>2.1999999999999999E-2</v>
      </c>
      <c r="AQ18">
        <v>8.8040000000000003</v>
      </c>
      <c r="AR18">
        <v>0.155</v>
      </c>
      <c r="AS18">
        <v>1</v>
      </c>
      <c r="AT18">
        <v>0</v>
      </c>
      <c r="AU18">
        <v>64</v>
      </c>
    </row>
    <row r="19" spans="2:47" x14ac:dyDescent="0.25">
      <c r="B19" s="9">
        <v>6</v>
      </c>
      <c r="C19" s="35">
        <v>50</v>
      </c>
      <c r="D19" s="3"/>
      <c r="E19" s="9">
        <f t="shared" si="0"/>
        <v>1042</v>
      </c>
      <c r="F19" s="54">
        <f t="shared" si="9"/>
        <v>1053</v>
      </c>
      <c r="G19" s="73">
        <f t="shared" si="1"/>
        <v>3.5169999999999999</v>
      </c>
      <c r="H19" s="56">
        <f t="shared" si="2"/>
        <v>1.821</v>
      </c>
      <c r="I19" s="57">
        <f t="shared" si="3"/>
        <v>3615</v>
      </c>
      <c r="J19" s="58">
        <f t="shared" si="4"/>
        <v>9</v>
      </c>
      <c r="L19" s="31">
        <f t="shared" si="5"/>
        <v>0.14000000000000001</v>
      </c>
      <c r="M19" s="32">
        <f t="shared" si="10"/>
        <v>0.224</v>
      </c>
      <c r="N19" s="32">
        <f t="shared" si="6"/>
        <v>1.397</v>
      </c>
      <c r="O19" s="32">
        <f t="shared" si="7"/>
        <v>-5.0999999999999997E-2</v>
      </c>
      <c r="P19" s="32">
        <f t="shared" si="8"/>
        <v>10.936</v>
      </c>
      <c r="Q19" s="33">
        <f t="shared" si="8"/>
        <v>1.732</v>
      </c>
      <c r="AB19">
        <v>1</v>
      </c>
      <c r="AC19">
        <v>4</v>
      </c>
      <c r="AD19">
        <v>4</v>
      </c>
      <c r="AE19">
        <v>-0.12</v>
      </c>
      <c r="AF19">
        <v>-0.25700000000000001</v>
      </c>
      <c r="AG19">
        <v>0.13700000000000001</v>
      </c>
      <c r="AH19">
        <v>-5.1999999999999998E-2</v>
      </c>
      <c r="AI19">
        <v>1.395</v>
      </c>
      <c r="AJ19">
        <v>11.026999999999999</v>
      </c>
      <c r="AK19">
        <v>1.7769999999999999</v>
      </c>
      <c r="AL19">
        <v>9.1560000000000006</v>
      </c>
      <c r="AM19">
        <v>0.161</v>
      </c>
      <c r="AN19">
        <v>11.169</v>
      </c>
      <c r="AO19">
        <v>10.541</v>
      </c>
      <c r="AP19">
        <v>2.1999999999999999E-2</v>
      </c>
      <c r="AQ19">
        <v>8.5830000000000002</v>
      </c>
      <c r="AR19">
        <v>0.151</v>
      </c>
      <c r="AS19">
        <v>1</v>
      </c>
      <c r="AT19">
        <v>0</v>
      </c>
      <c r="AU19">
        <v>64</v>
      </c>
    </row>
    <row r="20" spans="2:47" x14ac:dyDescent="0.25">
      <c r="B20" s="9">
        <v>7</v>
      </c>
      <c r="C20" s="35">
        <v>60</v>
      </c>
      <c r="D20" s="3"/>
      <c r="E20" s="9">
        <f t="shared" si="0"/>
        <v>1027</v>
      </c>
      <c r="F20" s="54">
        <f t="shared" si="9"/>
        <v>1187</v>
      </c>
      <c r="G20" s="73">
        <f t="shared" si="1"/>
        <v>3.5150000000000001</v>
      </c>
      <c r="H20" s="56">
        <f t="shared" si="2"/>
        <v>1.821</v>
      </c>
      <c r="I20" s="57">
        <f t="shared" si="3"/>
        <v>3620</v>
      </c>
      <c r="J20" s="58">
        <f t="shared" si="4"/>
        <v>9</v>
      </c>
      <c r="L20" s="31">
        <f t="shared" si="5"/>
        <v>0.13800000000000001</v>
      </c>
      <c r="M20" s="32">
        <f t="shared" si="10"/>
        <v>0.24199999999999999</v>
      </c>
      <c r="N20" s="32">
        <f t="shared" si="6"/>
        <v>1.395</v>
      </c>
      <c r="O20" s="32">
        <f t="shared" si="7"/>
        <v>-5.1999999999999998E-2</v>
      </c>
      <c r="P20" s="32">
        <f t="shared" si="8"/>
        <v>10.952999999999999</v>
      </c>
      <c r="Q20" s="33">
        <f t="shared" si="8"/>
        <v>1.7290000000000001</v>
      </c>
      <c r="AB20">
        <v>1</v>
      </c>
      <c r="AC20">
        <v>4</v>
      </c>
      <c r="AD20">
        <v>5</v>
      </c>
      <c r="AE20">
        <v>-0.13900000000000001</v>
      </c>
      <c r="AF20">
        <v>-0.27800000000000002</v>
      </c>
      <c r="AG20">
        <v>0.14000000000000001</v>
      </c>
      <c r="AH20">
        <v>-5.0999999999999997E-2</v>
      </c>
      <c r="AI20">
        <v>1.3959999999999999</v>
      </c>
      <c r="AJ20">
        <v>10.965999999999999</v>
      </c>
      <c r="AK20">
        <v>1.77</v>
      </c>
      <c r="AL20">
        <v>9.1720000000000006</v>
      </c>
      <c r="AM20">
        <v>0.161</v>
      </c>
      <c r="AN20">
        <v>11.108000000000001</v>
      </c>
      <c r="AO20">
        <v>10.474</v>
      </c>
      <c r="AP20">
        <v>2.1999999999999999E-2</v>
      </c>
      <c r="AQ20">
        <v>8.5920000000000005</v>
      </c>
      <c r="AR20">
        <v>0.151</v>
      </c>
      <c r="AS20">
        <v>1</v>
      </c>
      <c r="AT20">
        <v>0</v>
      </c>
      <c r="AU20">
        <v>64</v>
      </c>
    </row>
    <row r="21" spans="2:47" x14ac:dyDescent="0.25">
      <c r="B21" s="9">
        <v>8</v>
      </c>
      <c r="C21" s="35">
        <v>70</v>
      </c>
      <c r="D21" s="3"/>
      <c r="E21" s="9">
        <f t="shared" si="0"/>
        <v>1027</v>
      </c>
      <c r="F21" s="54">
        <f t="shared" si="9"/>
        <v>1298</v>
      </c>
      <c r="G21" s="73">
        <f t="shared" si="1"/>
        <v>3.52</v>
      </c>
      <c r="H21" s="56">
        <f t="shared" si="2"/>
        <v>1.823</v>
      </c>
      <c r="I21" s="57">
        <f t="shared" si="3"/>
        <v>3627</v>
      </c>
      <c r="J21" s="58">
        <f t="shared" si="4"/>
        <v>9.1</v>
      </c>
      <c r="L21" s="31">
        <f t="shared" si="5"/>
        <v>0.13800000000000001</v>
      </c>
      <c r="M21" s="32">
        <f t="shared" si="10"/>
        <v>0.25700000000000001</v>
      </c>
      <c r="N21" s="32">
        <f t="shared" si="6"/>
        <v>1.397</v>
      </c>
      <c r="O21" s="32">
        <f t="shared" si="7"/>
        <v>-5.1999999999999998E-2</v>
      </c>
      <c r="P21" s="32">
        <f t="shared" si="8"/>
        <v>10.968999999999999</v>
      </c>
      <c r="Q21" s="33">
        <f t="shared" si="8"/>
        <v>1.7490000000000001</v>
      </c>
      <c r="AB21">
        <v>1</v>
      </c>
      <c r="AC21">
        <v>4</v>
      </c>
      <c r="AD21">
        <v>6</v>
      </c>
      <c r="AE21">
        <v>-0.154</v>
      </c>
      <c r="AF21">
        <v>-0.29399999999999998</v>
      </c>
      <c r="AG21">
        <v>0.14000000000000001</v>
      </c>
      <c r="AH21">
        <v>-5.0999999999999997E-2</v>
      </c>
      <c r="AI21">
        <v>1.397</v>
      </c>
      <c r="AJ21">
        <v>10.936</v>
      </c>
      <c r="AK21">
        <v>1.732</v>
      </c>
      <c r="AL21">
        <v>9.0009999999999994</v>
      </c>
      <c r="AM21">
        <v>0.158</v>
      </c>
      <c r="AN21">
        <v>11.071999999999999</v>
      </c>
      <c r="AO21">
        <v>10.391</v>
      </c>
      <c r="AP21">
        <v>2.1000000000000001E-2</v>
      </c>
      <c r="AQ21">
        <v>8.3859999999999992</v>
      </c>
      <c r="AR21">
        <v>0.14699999999999999</v>
      </c>
      <c r="AS21">
        <v>1</v>
      </c>
      <c r="AT21">
        <v>0</v>
      </c>
      <c r="AU21">
        <v>64</v>
      </c>
    </row>
    <row r="22" spans="2:47" x14ac:dyDescent="0.25">
      <c r="B22" s="9">
        <v>9</v>
      </c>
      <c r="C22" s="35">
        <v>80</v>
      </c>
      <c r="D22" s="3"/>
      <c r="E22" s="9">
        <f t="shared" si="0"/>
        <v>1049</v>
      </c>
      <c r="F22" s="54">
        <f t="shared" si="9"/>
        <v>1406</v>
      </c>
      <c r="G22" s="73">
        <f t="shared" si="1"/>
        <v>3.52</v>
      </c>
      <c r="H22" s="56">
        <f t="shared" si="2"/>
        <v>1.823</v>
      </c>
      <c r="I22" s="57">
        <f t="shared" si="3"/>
        <v>3589</v>
      </c>
      <c r="J22" s="58">
        <f t="shared" si="4"/>
        <v>9.1999999999999993</v>
      </c>
      <c r="L22" s="31">
        <f t="shared" si="5"/>
        <v>0.14099999999999999</v>
      </c>
      <c r="M22" s="32">
        <f t="shared" si="10"/>
        <v>0.27150000000000002</v>
      </c>
      <c r="N22" s="32">
        <f t="shared" si="6"/>
        <v>1.397</v>
      </c>
      <c r="O22" s="32">
        <f t="shared" si="7"/>
        <v>-5.1999999999999998E-2</v>
      </c>
      <c r="P22" s="32">
        <f t="shared" si="8"/>
        <v>10.851000000000001</v>
      </c>
      <c r="Q22" s="33">
        <f t="shared" si="8"/>
        <v>1.7609999999999999</v>
      </c>
      <c r="AB22">
        <v>1</v>
      </c>
      <c r="AC22">
        <v>4</v>
      </c>
      <c r="AD22">
        <v>7</v>
      </c>
      <c r="AE22">
        <v>-0.17299999999999999</v>
      </c>
      <c r="AF22">
        <v>-0.31</v>
      </c>
      <c r="AG22">
        <v>0.13800000000000001</v>
      </c>
      <c r="AH22">
        <v>-5.1999999999999998E-2</v>
      </c>
      <c r="AI22">
        <v>1.395</v>
      </c>
      <c r="AJ22">
        <v>10.952999999999999</v>
      </c>
      <c r="AK22">
        <v>1.7290000000000001</v>
      </c>
      <c r="AL22">
        <v>8.9719999999999995</v>
      </c>
      <c r="AM22">
        <v>0.158</v>
      </c>
      <c r="AN22">
        <v>11.087999999999999</v>
      </c>
      <c r="AO22">
        <v>10.416</v>
      </c>
      <c r="AP22">
        <v>2.1000000000000001E-2</v>
      </c>
      <c r="AQ22">
        <v>8.3840000000000003</v>
      </c>
      <c r="AR22">
        <v>0.14699999999999999</v>
      </c>
      <c r="AS22">
        <v>1</v>
      </c>
      <c r="AT22">
        <v>0</v>
      </c>
      <c r="AU22">
        <v>64</v>
      </c>
    </row>
    <row r="23" spans="2:47" x14ac:dyDescent="0.25">
      <c r="B23" s="9">
        <v>10</v>
      </c>
      <c r="C23" s="35">
        <v>90</v>
      </c>
      <c r="D23" s="3"/>
      <c r="E23" s="9">
        <f t="shared" si="0"/>
        <v>1027</v>
      </c>
      <c r="F23" s="54">
        <f t="shared" si="9"/>
        <v>1492</v>
      </c>
      <c r="G23" s="73">
        <f t="shared" si="1"/>
        <v>3.5150000000000001</v>
      </c>
      <c r="H23" s="56">
        <f t="shared" si="2"/>
        <v>1.819</v>
      </c>
      <c r="I23" s="57">
        <f t="shared" si="3"/>
        <v>3604</v>
      </c>
      <c r="J23" s="58">
        <f t="shared" si="4"/>
        <v>9.1</v>
      </c>
      <c r="L23" s="31">
        <f t="shared" si="5"/>
        <v>0.13800000000000001</v>
      </c>
      <c r="M23" s="32">
        <f t="shared" si="10"/>
        <v>0.28300000000000003</v>
      </c>
      <c r="N23" s="32">
        <f t="shared" si="6"/>
        <v>1.3959999999999999</v>
      </c>
      <c r="O23" s="32">
        <f t="shared" si="7"/>
        <v>-5.0999999999999997E-2</v>
      </c>
      <c r="P23" s="32">
        <f t="shared" si="8"/>
        <v>10.898999999999999</v>
      </c>
      <c r="Q23" s="33">
        <f t="shared" si="8"/>
        <v>1.744</v>
      </c>
      <c r="AB23">
        <v>1</v>
      </c>
      <c r="AC23">
        <v>4</v>
      </c>
      <c r="AD23">
        <v>8</v>
      </c>
      <c r="AE23">
        <v>-0.188</v>
      </c>
      <c r="AF23">
        <v>-0.32600000000000001</v>
      </c>
      <c r="AG23">
        <v>0.13800000000000001</v>
      </c>
      <c r="AH23">
        <v>-5.1999999999999998E-2</v>
      </c>
      <c r="AI23">
        <v>1.397</v>
      </c>
      <c r="AJ23">
        <v>10.968999999999999</v>
      </c>
      <c r="AK23">
        <v>1.7490000000000001</v>
      </c>
      <c r="AL23">
        <v>9.0619999999999994</v>
      </c>
      <c r="AM23">
        <v>0.159</v>
      </c>
      <c r="AN23">
        <v>11.106999999999999</v>
      </c>
      <c r="AO23">
        <v>10.407999999999999</v>
      </c>
      <c r="AP23">
        <v>2.1999999999999999E-2</v>
      </c>
      <c r="AQ23">
        <v>8.4420000000000002</v>
      </c>
      <c r="AR23">
        <v>0.14799999999999999</v>
      </c>
      <c r="AS23">
        <v>1</v>
      </c>
      <c r="AT23">
        <v>0</v>
      </c>
      <c r="AU23">
        <v>64</v>
      </c>
    </row>
    <row r="24" spans="2:47" x14ac:dyDescent="0.25">
      <c r="B24" s="9">
        <v>11</v>
      </c>
      <c r="C24" s="35">
        <v>100</v>
      </c>
      <c r="D24" s="3"/>
      <c r="E24" s="9">
        <f t="shared" si="0"/>
        <v>1027</v>
      </c>
      <c r="F24" s="54">
        <f t="shared" si="9"/>
        <v>1603</v>
      </c>
      <c r="G24" s="73">
        <f t="shared" si="1"/>
        <v>3.5150000000000001</v>
      </c>
      <c r="H24" s="56">
        <f t="shared" si="2"/>
        <v>1.819</v>
      </c>
      <c r="I24" s="57">
        <f t="shared" si="3"/>
        <v>3574</v>
      </c>
      <c r="J24" s="58">
        <f t="shared" si="4"/>
        <v>9</v>
      </c>
      <c r="L24" s="31">
        <f t="shared" si="5"/>
        <v>0.13800000000000001</v>
      </c>
      <c r="M24" s="32">
        <f t="shared" si="10"/>
        <v>0.29800000000000004</v>
      </c>
      <c r="N24" s="32">
        <f t="shared" si="6"/>
        <v>1.3959999999999999</v>
      </c>
      <c r="O24" s="32">
        <f t="shared" si="7"/>
        <v>-5.0999999999999997E-2</v>
      </c>
      <c r="P24" s="32">
        <f t="shared" si="8"/>
        <v>10.811</v>
      </c>
      <c r="Q24" s="33">
        <f t="shared" si="8"/>
        <v>1.712</v>
      </c>
      <c r="AB24">
        <v>1</v>
      </c>
      <c r="AC24">
        <v>4</v>
      </c>
      <c r="AD24">
        <v>9</v>
      </c>
      <c r="AE24">
        <v>-0.20100000000000001</v>
      </c>
      <c r="AF24">
        <v>-0.34200000000000003</v>
      </c>
      <c r="AG24">
        <v>0.14099999999999999</v>
      </c>
      <c r="AH24">
        <v>-5.1999999999999998E-2</v>
      </c>
      <c r="AI24">
        <v>1.397</v>
      </c>
      <c r="AJ24">
        <v>10.851000000000001</v>
      </c>
      <c r="AK24">
        <v>1.7609999999999999</v>
      </c>
      <c r="AL24">
        <v>9.2170000000000005</v>
      </c>
      <c r="AM24">
        <v>0.16200000000000001</v>
      </c>
      <c r="AN24">
        <v>10.993</v>
      </c>
      <c r="AO24">
        <v>10.394</v>
      </c>
      <c r="AP24">
        <v>2.1999999999999999E-2</v>
      </c>
      <c r="AQ24">
        <v>8.6579999999999995</v>
      </c>
      <c r="AR24">
        <v>0.152</v>
      </c>
      <c r="AS24">
        <v>1</v>
      </c>
      <c r="AT24">
        <v>0</v>
      </c>
      <c r="AU24">
        <v>64</v>
      </c>
    </row>
    <row r="25" spans="2:47" x14ac:dyDescent="0.25">
      <c r="B25" s="9">
        <v>12</v>
      </c>
      <c r="C25" s="35">
        <v>125</v>
      </c>
      <c r="D25" s="3"/>
      <c r="E25" s="9">
        <f t="shared" si="0"/>
        <v>1019</v>
      </c>
      <c r="F25" s="54">
        <f t="shared" si="9"/>
        <v>1830</v>
      </c>
      <c r="G25" s="73">
        <f t="shared" si="1"/>
        <v>3.5169999999999999</v>
      </c>
      <c r="H25" s="56">
        <f t="shared" si="2"/>
        <v>1.8220000000000001</v>
      </c>
      <c r="I25" s="57">
        <f t="shared" si="3"/>
        <v>3557</v>
      </c>
      <c r="J25" s="58">
        <f t="shared" si="4"/>
        <v>9</v>
      </c>
      <c r="L25" s="31">
        <f t="shared" si="5"/>
        <v>0.13700000000000001</v>
      </c>
      <c r="M25" s="32">
        <f t="shared" si="10"/>
        <v>0.32850000000000001</v>
      </c>
      <c r="N25" s="32">
        <f t="shared" si="6"/>
        <v>1.3959999999999999</v>
      </c>
      <c r="O25" s="32">
        <f t="shared" si="7"/>
        <v>-5.1999999999999998E-2</v>
      </c>
      <c r="P25" s="32">
        <f t="shared" si="8"/>
        <v>10.762</v>
      </c>
      <c r="Q25" s="33">
        <f t="shared" si="8"/>
        <v>1.6970000000000001</v>
      </c>
      <c r="AB25">
        <v>1</v>
      </c>
      <c r="AC25">
        <v>4</v>
      </c>
      <c r="AD25">
        <v>10</v>
      </c>
      <c r="AE25">
        <v>-0.214</v>
      </c>
      <c r="AF25">
        <v>-0.35199999999999998</v>
      </c>
      <c r="AG25">
        <v>0.13800000000000001</v>
      </c>
      <c r="AH25">
        <v>-5.0999999999999997E-2</v>
      </c>
      <c r="AI25">
        <v>1.3959999999999999</v>
      </c>
      <c r="AJ25">
        <v>10.898999999999999</v>
      </c>
      <c r="AK25">
        <v>1.744</v>
      </c>
      <c r="AL25">
        <v>9.0939999999999994</v>
      </c>
      <c r="AM25">
        <v>0.16</v>
      </c>
      <c r="AN25">
        <v>11.037000000000001</v>
      </c>
      <c r="AO25">
        <v>10.368</v>
      </c>
      <c r="AP25">
        <v>2.1999999999999999E-2</v>
      </c>
      <c r="AQ25">
        <v>8.4890000000000008</v>
      </c>
      <c r="AR25">
        <v>0.14899999999999999</v>
      </c>
      <c r="AS25">
        <v>1</v>
      </c>
      <c r="AT25">
        <v>0</v>
      </c>
      <c r="AU25">
        <v>64</v>
      </c>
    </row>
    <row r="26" spans="2:47" x14ac:dyDescent="0.25">
      <c r="B26" s="9">
        <v>13</v>
      </c>
      <c r="C26" s="35">
        <v>150</v>
      </c>
      <c r="D26" s="3"/>
      <c r="E26" s="9">
        <f t="shared" si="0"/>
        <v>1056</v>
      </c>
      <c r="F26" s="54">
        <f t="shared" si="9"/>
        <v>2050</v>
      </c>
      <c r="G26" s="73">
        <f t="shared" si="1"/>
        <v>3.5219999999999998</v>
      </c>
      <c r="H26" s="56">
        <f t="shared" si="2"/>
        <v>1.823</v>
      </c>
      <c r="I26" s="57">
        <f t="shared" si="3"/>
        <v>3536</v>
      </c>
      <c r="J26" s="58">
        <f t="shared" si="4"/>
        <v>8.9</v>
      </c>
      <c r="L26" s="31">
        <f t="shared" si="5"/>
        <v>0.14199999999999999</v>
      </c>
      <c r="M26" s="32">
        <f t="shared" si="10"/>
        <v>0.35799999999999998</v>
      </c>
      <c r="N26" s="32">
        <f t="shared" si="6"/>
        <v>1.399</v>
      </c>
      <c r="O26" s="32">
        <f t="shared" si="7"/>
        <v>-5.0999999999999997E-2</v>
      </c>
      <c r="P26" s="32">
        <f t="shared" si="8"/>
        <v>10.698</v>
      </c>
      <c r="Q26" s="33">
        <f t="shared" si="8"/>
        <v>1.679</v>
      </c>
      <c r="AB26">
        <v>1</v>
      </c>
      <c r="AC26">
        <v>4</v>
      </c>
      <c r="AD26">
        <v>11</v>
      </c>
      <c r="AE26">
        <v>-0.22900000000000001</v>
      </c>
      <c r="AF26">
        <v>-0.36599999999999999</v>
      </c>
      <c r="AG26">
        <v>0.13800000000000001</v>
      </c>
      <c r="AH26">
        <v>-5.0999999999999997E-2</v>
      </c>
      <c r="AI26">
        <v>1.3959999999999999</v>
      </c>
      <c r="AJ26">
        <v>10.811</v>
      </c>
      <c r="AK26">
        <v>1.712</v>
      </c>
      <c r="AL26">
        <v>8.9979999999999993</v>
      </c>
      <c r="AM26">
        <v>0.158</v>
      </c>
      <c r="AN26">
        <v>10.946</v>
      </c>
      <c r="AO26">
        <v>10.428000000000001</v>
      </c>
      <c r="AP26">
        <v>2.1999999999999999E-2</v>
      </c>
      <c r="AQ26">
        <v>8.5340000000000007</v>
      </c>
      <c r="AR26">
        <v>0.15</v>
      </c>
      <c r="AS26">
        <v>1</v>
      </c>
      <c r="AT26">
        <v>0</v>
      </c>
      <c r="AU26">
        <v>64</v>
      </c>
    </row>
    <row r="27" spans="2:47" x14ac:dyDescent="0.25">
      <c r="B27" s="9">
        <v>14</v>
      </c>
      <c r="C27" s="35">
        <v>175</v>
      </c>
      <c r="D27" s="3"/>
      <c r="E27" s="9">
        <f t="shared" si="0"/>
        <v>1049</v>
      </c>
      <c r="F27" s="54">
        <f t="shared" si="9"/>
        <v>2269</v>
      </c>
      <c r="G27" s="73">
        <f t="shared" si="1"/>
        <v>3.5219999999999998</v>
      </c>
      <c r="H27" s="56">
        <f t="shared" si="2"/>
        <v>1.8240000000000001</v>
      </c>
      <c r="I27" s="57">
        <f t="shared" si="3"/>
        <v>3507</v>
      </c>
      <c r="J27" s="58">
        <f t="shared" si="4"/>
        <v>9.3000000000000007</v>
      </c>
      <c r="L27" s="31">
        <f t="shared" si="5"/>
        <v>0.14099999999999999</v>
      </c>
      <c r="M27" s="32">
        <f t="shared" si="10"/>
        <v>0.38750000000000001</v>
      </c>
      <c r="N27" s="32">
        <f t="shared" si="6"/>
        <v>1.3979999999999999</v>
      </c>
      <c r="O27" s="32">
        <f t="shared" si="7"/>
        <v>-5.1999999999999998E-2</v>
      </c>
      <c r="P27" s="32">
        <f t="shared" si="8"/>
        <v>10.601000000000001</v>
      </c>
      <c r="Q27" s="33">
        <f t="shared" si="8"/>
        <v>1.7270000000000001</v>
      </c>
      <c r="AB27">
        <v>1</v>
      </c>
      <c r="AC27">
        <v>4</v>
      </c>
      <c r="AD27">
        <v>12</v>
      </c>
      <c r="AE27">
        <v>-0.26</v>
      </c>
      <c r="AF27">
        <v>-0.39700000000000002</v>
      </c>
      <c r="AG27">
        <v>0.13700000000000001</v>
      </c>
      <c r="AH27">
        <v>-5.1999999999999998E-2</v>
      </c>
      <c r="AI27">
        <v>1.3959999999999999</v>
      </c>
      <c r="AJ27">
        <v>10.762</v>
      </c>
      <c r="AK27">
        <v>1.6970000000000001</v>
      </c>
      <c r="AL27">
        <v>8.9619999999999997</v>
      </c>
      <c r="AM27">
        <v>0.158</v>
      </c>
      <c r="AN27">
        <v>10.895</v>
      </c>
      <c r="AO27">
        <v>10.343999999999999</v>
      </c>
      <c r="AP27">
        <v>2.1999999999999999E-2</v>
      </c>
      <c r="AQ27">
        <v>8.4659999999999993</v>
      </c>
      <c r="AR27">
        <v>0.14899999999999999</v>
      </c>
      <c r="AS27">
        <v>1</v>
      </c>
      <c r="AT27">
        <v>0</v>
      </c>
      <c r="AU27">
        <v>64</v>
      </c>
    </row>
    <row r="28" spans="2:47" x14ac:dyDescent="0.25">
      <c r="B28" s="9">
        <v>15</v>
      </c>
      <c r="C28" s="35">
        <v>200</v>
      </c>
      <c r="D28" s="3"/>
      <c r="E28" s="9">
        <f t="shared" si="0"/>
        <v>1049</v>
      </c>
      <c r="F28" s="54">
        <f t="shared" si="9"/>
        <v>2463</v>
      </c>
      <c r="G28" s="73">
        <f t="shared" si="1"/>
        <v>3.5150000000000001</v>
      </c>
      <c r="H28" s="56">
        <f t="shared" si="2"/>
        <v>1.819</v>
      </c>
      <c r="I28" s="57">
        <f t="shared" si="3"/>
        <v>3497</v>
      </c>
      <c r="J28" s="58">
        <f t="shared" si="4"/>
        <v>9.3000000000000007</v>
      </c>
      <c r="L28" s="31">
        <f t="shared" si="5"/>
        <v>0.14099999999999999</v>
      </c>
      <c r="M28" s="32">
        <f t="shared" si="10"/>
        <v>0.41350000000000003</v>
      </c>
      <c r="N28" s="32">
        <f t="shared" si="6"/>
        <v>1.3959999999999999</v>
      </c>
      <c r="O28" s="32">
        <f t="shared" si="7"/>
        <v>-5.0999999999999997E-2</v>
      </c>
      <c r="P28" s="32">
        <f t="shared" si="8"/>
        <v>10.571999999999999</v>
      </c>
      <c r="Q28" s="33">
        <f t="shared" si="8"/>
        <v>1.7250000000000001</v>
      </c>
      <c r="AB28">
        <v>1</v>
      </c>
      <c r="AC28">
        <v>4</v>
      </c>
      <c r="AD28">
        <v>13</v>
      </c>
      <c r="AE28">
        <v>-0.28699999999999998</v>
      </c>
      <c r="AF28">
        <v>-0.42899999999999999</v>
      </c>
      <c r="AG28">
        <v>0.14199999999999999</v>
      </c>
      <c r="AH28">
        <v>-5.0999999999999997E-2</v>
      </c>
      <c r="AI28">
        <v>1.399</v>
      </c>
      <c r="AJ28">
        <v>10.698</v>
      </c>
      <c r="AK28">
        <v>1.679</v>
      </c>
      <c r="AL28">
        <v>8.9190000000000005</v>
      </c>
      <c r="AM28">
        <v>0.157</v>
      </c>
      <c r="AN28">
        <v>10.829000000000001</v>
      </c>
      <c r="AO28">
        <v>10.242000000000001</v>
      </c>
      <c r="AP28">
        <v>2.1999999999999999E-2</v>
      </c>
      <c r="AQ28">
        <v>8.3659999999999997</v>
      </c>
      <c r="AR28">
        <v>0.14699999999999999</v>
      </c>
      <c r="AS28">
        <v>1</v>
      </c>
      <c r="AT28">
        <v>0</v>
      </c>
      <c r="AU28">
        <v>64</v>
      </c>
    </row>
    <row r="29" spans="2:47" x14ac:dyDescent="0.25">
      <c r="B29" s="9">
        <v>16</v>
      </c>
      <c r="C29" s="35">
        <v>225</v>
      </c>
      <c r="D29" s="3"/>
      <c r="E29" s="9">
        <f t="shared" si="0"/>
        <v>1049</v>
      </c>
      <c r="F29" s="54">
        <f t="shared" si="9"/>
        <v>2664</v>
      </c>
      <c r="G29" s="73">
        <f t="shared" si="1"/>
        <v>3.5169999999999999</v>
      </c>
      <c r="H29" s="56">
        <f t="shared" si="2"/>
        <v>1.821</v>
      </c>
      <c r="I29" s="57">
        <f t="shared" si="3"/>
        <v>3475</v>
      </c>
      <c r="J29" s="58">
        <f t="shared" si="4"/>
        <v>8.9</v>
      </c>
      <c r="L29" s="31">
        <f t="shared" si="5"/>
        <v>0.14099999999999999</v>
      </c>
      <c r="M29" s="32">
        <f t="shared" si="10"/>
        <v>0.4405</v>
      </c>
      <c r="N29" s="32">
        <f t="shared" si="6"/>
        <v>1.397</v>
      </c>
      <c r="O29" s="32">
        <f t="shared" si="7"/>
        <v>-5.0999999999999997E-2</v>
      </c>
      <c r="P29" s="32">
        <f t="shared" si="8"/>
        <v>10.513</v>
      </c>
      <c r="Q29" s="33">
        <f t="shared" si="8"/>
        <v>1.651</v>
      </c>
      <c r="AB29">
        <v>1</v>
      </c>
      <c r="AC29">
        <v>4</v>
      </c>
      <c r="AD29">
        <v>14</v>
      </c>
      <c r="AE29">
        <v>-0.317</v>
      </c>
      <c r="AF29">
        <v>-0.45700000000000002</v>
      </c>
      <c r="AG29">
        <v>0.14099999999999999</v>
      </c>
      <c r="AH29">
        <v>-5.1999999999999998E-2</v>
      </c>
      <c r="AI29">
        <v>1.3979999999999999</v>
      </c>
      <c r="AJ29">
        <v>10.601000000000001</v>
      </c>
      <c r="AK29">
        <v>1.7270000000000001</v>
      </c>
      <c r="AL29">
        <v>9.2550000000000008</v>
      </c>
      <c r="AM29">
        <v>0.16300000000000001</v>
      </c>
      <c r="AN29">
        <v>10.741</v>
      </c>
      <c r="AO29">
        <v>10.204000000000001</v>
      </c>
      <c r="AP29">
        <v>2.3E-2</v>
      </c>
      <c r="AQ29">
        <v>8.7260000000000009</v>
      </c>
      <c r="AR29">
        <v>0.153</v>
      </c>
      <c r="AS29">
        <v>1</v>
      </c>
      <c r="AT29">
        <v>0</v>
      </c>
      <c r="AU29">
        <v>64</v>
      </c>
    </row>
    <row r="30" spans="2:47" x14ac:dyDescent="0.25">
      <c r="B30" s="9">
        <v>17</v>
      </c>
      <c r="C30" s="35">
        <v>250</v>
      </c>
      <c r="D30" s="3"/>
      <c r="E30" s="9">
        <f t="shared" si="0"/>
        <v>1079</v>
      </c>
      <c r="F30" s="54">
        <f t="shared" si="9"/>
        <v>2864</v>
      </c>
      <c r="G30" s="73">
        <f t="shared" si="1"/>
        <v>3.5169999999999999</v>
      </c>
      <c r="H30" s="56">
        <f t="shared" si="2"/>
        <v>1.8220000000000001</v>
      </c>
      <c r="I30" s="57">
        <f t="shared" si="3"/>
        <v>3449</v>
      </c>
      <c r="J30" s="58">
        <f t="shared" si="4"/>
        <v>9.1999999999999993</v>
      </c>
      <c r="L30" s="31">
        <f t="shared" si="5"/>
        <v>0.14499999999999999</v>
      </c>
      <c r="M30" s="32">
        <f t="shared" si="10"/>
        <v>0.46750000000000003</v>
      </c>
      <c r="N30" s="32">
        <f t="shared" si="6"/>
        <v>1.3959999999999999</v>
      </c>
      <c r="O30" s="32">
        <f t="shared" si="7"/>
        <v>-5.1999999999999998E-2</v>
      </c>
      <c r="P30" s="32">
        <f t="shared" si="8"/>
        <v>10.428000000000001</v>
      </c>
      <c r="Q30" s="33">
        <f t="shared" si="8"/>
        <v>1.6919999999999999</v>
      </c>
      <c r="AB30">
        <v>1</v>
      </c>
      <c r="AC30">
        <v>4</v>
      </c>
      <c r="AD30">
        <v>15</v>
      </c>
      <c r="AE30">
        <v>-0.34300000000000003</v>
      </c>
      <c r="AF30">
        <v>-0.48399999999999999</v>
      </c>
      <c r="AG30">
        <v>0.14099999999999999</v>
      </c>
      <c r="AH30">
        <v>-5.0999999999999997E-2</v>
      </c>
      <c r="AI30">
        <v>1.3959999999999999</v>
      </c>
      <c r="AJ30">
        <v>10.571999999999999</v>
      </c>
      <c r="AK30">
        <v>1.7250000000000001</v>
      </c>
      <c r="AL30">
        <v>9.266</v>
      </c>
      <c r="AM30">
        <v>0.16300000000000001</v>
      </c>
      <c r="AN30">
        <v>10.712</v>
      </c>
      <c r="AO30">
        <v>10.124000000000001</v>
      </c>
      <c r="AP30">
        <v>2.3E-2</v>
      </c>
      <c r="AQ30">
        <v>8.7170000000000005</v>
      </c>
      <c r="AR30">
        <v>0.153</v>
      </c>
      <c r="AS30">
        <v>1</v>
      </c>
      <c r="AT30">
        <v>0</v>
      </c>
      <c r="AU30">
        <v>64</v>
      </c>
    </row>
    <row r="31" spans="2:47" x14ac:dyDescent="0.25">
      <c r="B31" s="9">
        <v>18</v>
      </c>
      <c r="C31" s="35">
        <v>275</v>
      </c>
      <c r="D31" s="3"/>
      <c r="E31" s="9">
        <f t="shared" si="0"/>
        <v>1064</v>
      </c>
      <c r="F31" s="54">
        <f t="shared" si="9"/>
        <v>3036</v>
      </c>
      <c r="G31" s="73">
        <f t="shared" si="1"/>
        <v>3.5150000000000001</v>
      </c>
      <c r="H31" s="56">
        <f t="shared" si="2"/>
        <v>1.819</v>
      </c>
      <c r="I31" s="57">
        <f t="shared" si="3"/>
        <v>3456</v>
      </c>
      <c r="J31" s="58">
        <f t="shared" si="4"/>
        <v>9</v>
      </c>
      <c r="L31" s="31">
        <f t="shared" si="5"/>
        <v>0.14299999999999999</v>
      </c>
      <c r="M31" s="32">
        <f t="shared" si="10"/>
        <v>0.49049999999999999</v>
      </c>
      <c r="N31" s="32">
        <f t="shared" si="6"/>
        <v>1.3959999999999999</v>
      </c>
      <c r="O31" s="32">
        <f t="shared" si="7"/>
        <v>-5.0999999999999997E-2</v>
      </c>
      <c r="P31" s="32">
        <f t="shared" si="8"/>
        <v>10.454000000000001</v>
      </c>
      <c r="Q31" s="33">
        <f t="shared" si="8"/>
        <v>1.655</v>
      </c>
      <c r="AB31">
        <v>1</v>
      </c>
      <c r="AC31">
        <v>4</v>
      </c>
      <c r="AD31">
        <v>16</v>
      </c>
      <c r="AE31">
        <v>-0.37</v>
      </c>
      <c r="AF31">
        <v>-0.51</v>
      </c>
      <c r="AG31">
        <v>0.14099999999999999</v>
      </c>
      <c r="AH31">
        <v>-5.0999999999999997E-2</v>
      </c>
      <c r="AI31">
        <v>1.397</v>
      </c>
      <c r="AJ31">
        <v>10.513</v>
      </c>
      <c r="AK31">
        <v>1.651</v>
      </c>
      <c r="AL31">
        <v>8.9239999999999995</v>
      </c>
      <c r="AM31">
        <v>0.157</v>
      </c>
      <c r="AN31">
        <v>10.641999999999999</v>
      </c>
      <c r="AO31">
        <v>10.134</v>
      </c>
      <c r="AP31">
        <v>2.1999999999999999E-2</v>
      </c>
      <c r="AQ31">
        <v>8.4499999999999993</v>
      </c>
      <c r="AR31">
        <v>0.14899999999999999</v>
      </c>
      <c r="AS31">
        <v>1</v>
      </c>
      <c r="AT31">
        <v>0</v>
      </c>
      <c r="AU31">
        <v>64</v>
      </c>
    </row>
    <row r="32" spans="2:47" x14ac:dyDescent="0.25">
      <c r="B32" s="9">
        <v>19</v>
      </c>
      <c r="C32" s="35">
        <v>300</v>
      </c>
      <c r="D32" s="3"/>
      <c r="E32" s="9">
        <f t="shared" si="0"/>
        <v>1064</v>
      </c>
      <c r="F32" s="54">
        <f t="shared" si="9"/>
        <v>3244</v>
      </c>
      <c r="G32" s="73">
        <f t="shared" si="1"/>
        <v>3.52</v>
      </c>
      <c r="H32" s="56">
        <f t="shared" si="2"/>
        <v>1.823</v>
      </c>
      <c r="I32" s="57">
        <f t="shared" si="3"/>
        <v>3429</v>
      </c>
      <c r="J32" s="58">
        <f t="shared" si="4"/>
        <v>9.1999999999999993</v>
      </c>
      <c r="L32" s="31">
        <f t="shared" si="5"/>
        <v>0.14299999999999999</v>
      </c>
      <c r="M32" s="32">
        <f t="shared" si="10"/>
        <v>0.51849999999999996</v>
      </c>
      <c r="N32" s="32">
        <f t="shared" si="6"/>
        <v>1.397</v>
      </c>
      <c r="O32" s="32">
        <f t="shared" si="7"/>
        <v>-5.1999999999999998E-2</v>
      </c>
      <c r="P32" s="32">
        <f t="shared" si="8"/>
        <v>10.366</v>
      </c>
      <c r="Q32" s="33">
        <f t="shared" si="8"/>
        <v>1.6819999999999999</v>
      </c>
      <c r="AB32">
        <v>1</v>
      </c>
      <c r="AC32">
        <v>4</v>
      </c>
      <c r="AD32">
        <v>17</v>
      </c>
      <c r="AE32">
        <v>-0.39500000000000002</v>
      </c>
      <c r="AF32">
        <v>-0.54</v>
      </c>
      <c r="AG32">
        <v>0.14499999999999999</v>
      </c>
      <c r="AH32">
        <v>-5.1999999999999998E-2</v>
      </c>
      <c r="AI32">
        <v>1.3959999999999999</v>
      </c>
      <c r="AJ32">
        <v>10.428000000000001</v>
      </c>
      <c r="AK32">
        <v>1.6919999999999999</v>
      </c>
      <c r="AL32">
        <v>9.2189999999999994</v>
      </c>
      <c r="AM32">
        <v>0.16200000000000001</v>
      </c>
      <c r="AN32">
        <v>10.564</v>
      </c>
      <c r="AO32">
        <v>10.045999999999999</v>
      </c>
      <c r="AP32">
        <v>2.3E-2</v>
      </c>
      <c r="AQ32">
        <v>8.7189999999999994</v>
      </c>
      <c r="AR32">
        <v>0.153</v>
      </c>
      <c r="AS32">
        <v>1</v>
      </c>
      <c r="AT32">
        <v>0</v>
      </c>
      <c r="AU32">
        <v>64</v>
      </c>
    </row>
    <row r="33" spans="2:47" x14ac:dyDescent="0.25">
      <c r="B33" s="9">
        <v>20</v>
      </c>
      <c r="C33" s="35">
        <v>325</v>
      </c>
      <c r="D33" s="3"/>
      <c r="E33" s="9">
        <f t="shared" si="0"/>
        <v>1086</v>
      </c>
      <c r="F33" s="54">
        <f t="shared" si="9"/>
        <v>3441</v>
      </c>
      <c r="G33" s="73">
        <f t="shared" si="1"/>
        <v>3.5169999999999999</v>
      </c>
      <c r="H33" s="56">
        <f t="shared" si="2"/>
        <v>1.821</v>
      </c>
      <c r="I33" s="57">
        <f t="shared" si="3"/>
        <v>3440</v>
      </c>
      <c r="J33" s="58">
        <f t="shared" si="4"/>
        <v>9.4</v>
      </c>
      <c r="L33" s="31">
        <f t="shared" si="5"/>
        <v>0.14599999999999999</v>
      </c>
      <c r="M33" s="32">
        <f t="shared" si="10"/>
        <v>0.54499999999999993</v>
      </c>
      <c r="N33" s="32">
        <f t="shared" si="6"/>
        <v>1.397</v>
      </c>
      <c r="O33" s="32">
        <f t="shared" si="7"/>
        <v>-5.0999999999999997E-2</v>
      </c>
      <c r="P33" s="32">
        <f t="shared" si="8"/>
        <v>10.394</v>
      </c>
      <c r="Q33" s="33">
        <f t="shared" si="8"/>
        <v>1.722</v>
      </c>
      <c r="AB33">
        <v>1</v>
      </c>
      <c r="AC33">
        <v>4</v>
      </c>
      <c r="AD33">
        <v>18</v>
      </c>
      <c r="AE33">
        <v>-0.41899999999999998</v>
      </c>
      <c r="AF33">
        <v>-0.56200000000000006</v>
      </c>
      <c r="AG33">
        <v>0.14299999999999999</v>
      </c>
      <c r="AH33">
        <v>-5.0999999999999997E-2</v>
      </c>
      <c r="AI33">
        <v>1.3959999999999999</v>
      </c>
      <c r="AJ33">
        <v>10.454000000000001</v>
      </c>
      <c r="AK33">
        <v>1.655</v>
      </c>
      <c r="AL33">
        <v>8.9960000000000004</v>
      </c>
      <c r="AM33">
        <v>0.158</v>
      </c>
      <c r="AN33">
        <v>10.584</v>
      </c>
      <c r="AO33">
        <v>10.055</v>
      </c>
      <c r="AP33">
        <v>2.1999999999999999E-2</v>
      </c>
      <c r="AQ33">
        <v>8.4979999999999993</v>
      </c>
      <c r="AR33">
        <v>0.14899999999999999</v>
      </c>
      <c r="AS33">
        <v>1</v>
      </c>
      <c r="AT33">
        <v>0</v>
      </c>
      <c r="AU33">
        <v>64</v>
      </c>
    </row>
    <row r="34" spans="2:47" x14ac:dyDescent="0.25">
      <c r="B34" s="9">
        <v>21</v>
      </c>
      <c r="C34" s="35">
        <v>350</v>
      </c>
      <c r="D34" s="3"/>
      <c r="E34" s="9">
        <f t="shared" si="0"/>
        <v>1071</v>
      </c>
      <c r="F34" s="54">
        <f t="shared" si="9"/>
        <v>3620</v>
      </c>
      <c r="G34" s="73">
        <f t="shared" si="1"/>
        <v>3.5169999999999999</v>
      </c>
      <c r="H34" s="56">
        <f t="shared" si="2"/>
        <v>1.821</v>
      </c>
      <c r="I34" s="57">
        <f t="shared" si="3"/>
        <v>3417</v>
      </c>
      <c r="J34" s="58">
        <f t="shared" si="4"/>
        <v>9.4</v>
      </c>
      <c r="L34" s="31">
        <f t="shared" si="5"/>
        <v>0.14399999999999999</v>
      </c>
      <c r="M34" s="32">
        <f t="shared" si="10"/>
        <v>0.56899999999999995</v>
      </c>
      <c r="N34" s="32">
        <f t="shared" si="6"/>
        <v>1.397</v>
      </c>
      <c r="O34" s="32">
        <f t="shared" si="7"/>
        <v>-5.0999999999999997E-2</v>
      </c>
      <c r="P34" s="32">
        <f t="shared" si="8"/>
        <v>10.326000000000001</v>
      </c>
      <c r="Q34" s="33">
        <f t="shared" si="8"/>
        <v>1.7110000000000001</v>
      </c>
      <c r="AB34">
        <v>1</v>
      </c>
      <c r="AC34">
        <v>4</v>
      </c>
      <c r="AD34">
        <v>19</v>
      </c>
      <c r="AE34">
        <v>-0.44700000000000001</v>
      </c>
      <c r="AF34">
        <v>-0.58899999999999997</v>
      </c>
      <c r="AG34">
        <v>0.14299999999999999</v>
      </c>
      <c r="AH34">
        <v>-5.1999999999999998E-2</v>
      </c>
      <c r="AI34">
        <v>1.397</v>
      </c>
      <c r="AJ34">
        <v>10.366</v>
      </c>
      <c r="AK34">
        <v>1.6819999999999999</v>
      </c>
      <c r="AL34">
        <v>9.2210000000000001</v>
      </c>
      <c r="AM34">
        <v>0.16200000000000001</v>
      </c>
      <c r="AN34">
        <v>10.500999999999999</v>
      </c>
      <c r="AO34">
        <v>10.013999999999999</v>
      </c>
      <c r="AP34">
        <v>2.3E-2</v>
      </c>
      <c r="AQ34">
        <v>8.7449999999999992</v>
      </c>
      <c r="AR34">
        <v>0.154</v>
      </c>
      <c r="AS34">
        <v>1</v>
      </c>
      <c r="AT34">
        <v>0</v>
      </c>
      <c r="AU34">
        <v>64</v>
      </c>
    </row>
    <row r="35" spans="2:47" x14ac:dyDescent="0.25">
      <c r="B35" s="9">
        <v>22</v>
      </c>
      <c r="C35" s="35">
        <v>375</v>
      </c>
      <c r="D35" s="3"/>
      <c r="E35" s="9">
        <f t="shared" si="0"/>
        <v>1086</v>
      </c>
      <c r="F35" s="54">
        <f t="shared" si="9"/>
        <v>3791</v>
      </c>
      <c r="G35" s="73">
        <f t="shared" si="1"/>
        <v>3.5150000000000001</v>
      </c>
      <c r="H35" s="56">
        <f t="shared" si="2"/>
        <v>1.8180000000000001</v>
      </c>
      <c r="I35" s="57">
        <f t="shared" si="3"/>
        <v>3407</v>
      </c>
      <c r="J35" s="58">
        <f t="shared" si="4"/>
        <v>9.6</v>
      </c>
      <c r="L35" s="31">
        <f t="shared" si="5"/>
        <v>0.14599999999999999</v>
      </c>
      <c r="M35" s="32">
        <f t="shared" si="10"/>
        <v>0.59199999999999997</v>
      </c>
      <c r="N35" s="32">
        <f t="shared" si="6"/>
        <v>1.397</v>
      </c>
      <c r="O35" s="32">
        <f t="shared" si="7"/>
        <v>-0.05</v>
      </c>
      <c r="P35" s="32">
        <f t="shared" si="8"/>
        <v>10.289</v>
      </c>
      <c r="Q35" s="33">
        <f t="shared" si="8"/>
        <v>1.7470000000000001</v>
      </c>
      <c r="AB35">
        <v>1</v>
      </c>
      <c r="AC35">
        <v>4</v>
      </c>
      <c r="AD35">
        <v>20</v>
      </c>
      <c r="AE35">
        <v>-0.47199999999999998</v>
      </c>
      <c r="AF35">
        <v>-0.61699999999999999</v>
      </c>
      <c r="AG35">
        <v>0.14599999999999999</v>
      </c>
      <c r="AH35">
        <v>-5.0999999999999997E-2</v>
      </c>
      <c r="AI35">
        <v>1.397</v>
      </c>
      <c r="AJ35">
        <v>10.394</v>
      </c>
      <c r="AK35">
        <v>1.722</v>
      </c>
      <c r="AL35">
        <v>9.4060000000000006</v>
      </c>
      <c r="AM35">
        <v>0.16600000000000001</v>
      </c>
      <c r="AN35">
        <v>10.536</v>
      </c>
      <c r="AO35">
        <v>9.9429999999999996</v>
      </c>
      <c r="AP35">
        <v>2.4E-2</v>
      </c>
      <c r="AQ35">
        <v>8.8420000000000005</v>
      </c>
      <c r="AR35">
        <v>0.156</v>
      </c>
      <c r="AS35">
        <v>1</v>
      </c>
      <c r="AT35">
        <v>0</v>
      </c>
      <c r="AU35">
        <v>64</v>
      </c>
    </row>
    <row r="36" spans="2:47" x14ac:dyDescent="0.25">
      <c r="B36" s="9">
        <v>23</v>
      </c>
      <c r="C36" s="35">
        <v>400</v>
      </c>
      <c r="D36" s="3"/>
      <c r="E36" s="9">
        <f t="shared" si="0"/>
        <v>1086</v>
      </c>
      <c r="F36" s="54">
        <f t="shared" si="9"/>
        <v>3984</v>
      </c>
      <c r="G36" s="73">
        <f t="shared" si="1"/>
        <v>3.5169999999999999</v>
      </c>
      <c r="H36" s="56">
        <f t="shared" si="2"/>
        <v>1.821</v>
      </c>
      <c r="I36" s="57">
        <f t="shared" si="3"/>
        <v>3393</v>
      </c>
      <c r="J36" s="58">
        <f t="shared" si="4"/>
        <v>9.6</v>
      </c>
      <c r="L36" s="31">
        <f t="shared" si="5"/>
        <v>0.14599999999999999</v>
      </c>
      <c r="M36" s="32">
        <f t="shared" si="10"/>
        <v>0.61799999999999999</v>
      </c>
      <c r="N36" s="32">
        <f t="shared" si="6"/>
        <v>1.397</v>
      </c>
      <c r="O36" s="32">
        <f t="shared" si="7"/>
        <v>-5.0999999999999997E-2</v>
      </c>
      <c r="P36" s="32">
        <f t="shared" si="8"/>
        <v>10.247</v>
      </c>
      <c r="Q36" s="33">
        <f t="shared" si="8"/>
        <v>1.728</v>
      </c>
      <c r="AB36">
        <v>1</v>
      </c>
      <c r="AC36">
        <v>4</v>
      </c>
      <c r="AD36">
        <v>21</v>
      </c>
      <c r="AE36">
        <v>-0.497</v>
      </c>
      <c r="AF36">
        <v>-0.64100000000000001</v>
      </c>
      <c r="AG36">
        <v>0.14399999999999999</v>
      </c>
      <c r="AH36">
        <v>-5.0999999999999997E-2</v>
      </c>
      <c r="AI36">
        <v>1.397</v>
      </c>
      <c r="AJ36">
        <v>10.326000000000001</v>
      </c>
      <c r="AK36">
        <v>1.7110000000000001</v>
      </c>
      <c r="AL36">
        <v>9.4090000000000007</v>
      </c>
      <c r="AM36">
        <v>0.16600000000000001</v>
      </c>
      <c r="AN36">
        <v>10.465999999999999</v>
      </c>
      <c r="AO36">
        <v>9.9469999999999992</v>
      </c>
      <c r="AP36">
        <v>2.4E-2</v>
      </c>
      <c r="AQ36">
        <v>8.8849999999999998</v>
      </c>
      <c r="AR36">
        <v>0.156</v>
      </c>
      <c r="AS36">
        <v>1</v>
      </c>
      <c r="AT36">
        <v>0</v>
      </c>
      <c r="AU36">
        <v>64</v>
      </c>
    </row>
    <row r="37" spans="2:47" x14ac:dyDescent="0.25">
      <c r="B37" s="9">
        <v>24</v>
      </c>
      <c r="C37" s="35">
        <v>425</v>
      </c>
      <c r="D37" s="3"/>
      <c r="E37" s="9">
        <f t="shared" si="0"/>
        <v>1094</v>
      </c>
      <c r="F37" s="54">
        <f t="shared" si="9"/>
        <v>4174</v>
      </c>
      <c r="G37" s="73">
        <f t="shared" si="1"/>
        <v>3.5169999999999999</v>
      </c>
      <c r="H37" s="56">
        <f t="shared" si="2"/>
        <v>1.821</v>
      </c>
      <c r="I37" s="57">
        <f t="shared" si="3"/>
        <v>3380</v>
      </c>
      <c r="J37" s="58">
        <f t="shared" si="4"/>
        <v>9.9</v>
      </c>
      <c r="L37" s="31">
        <f t="shared" si="5"/>
        <v>0.14699999999999999</v>
      </c>
      <c r="M37" s="32">
        <f t="shared" si="10"/>
        <v>0.64349999999999996</v>
      </c>
      <c r="N37" s="32">
        <f t="shared" si="6"/>
        <v>1.397</v>
      </c>
      <c r="O37" s="32">
        <f t="shared" si="7"/>
        <v>-5.0999999999999997E-2</v>
      </c>
      <c r="P37" s="32">
        <f t="shared" si="8"/>
        <v>10.198</v>
      </c>
      <c r="Q37" s="33">
        <f t="shared" si="8"/>
        <v>1.7869999999999999</v>
      </c>
      <c r="AB37">
        <v>1</v>
      </c>
      <c r="AC37">
        <v>4</v>
      </c>
      <c r="AD37">
        <v>22</v>
      </c>
      <c r="AE37">
        <v>-0.51900000000000002</v>
      </c>
      <c r="AF37">
        <v>-0.66500000000000004</v>
      </c>
      <c r="AG37">
        <v>0.14599999999999999</v>
      </c>
      <c r="AH37">
        <v>-0.05</v>
      </c>
      <c r="AI37">
        <v>1.397</v>
      </c>
      <c r="AJ37">
        <v>10.289</v>
      </c>
      <c r="AK37">
        <v>1.7470000000000001</v>
      </c>
      <c r="AL37">
        <v>9.6349999999999998</v>
      </c>
      <c r="AM37">
        <v>0.17</v>
      </c>
      <c r="AN37">
        <v>10.436</v>
      </c>
      <c r="AO37">
        <v>9.8960000000000008</v>
      </c>
      <c r="AP37">
        <v>2.4E-2</v>
      </c>
      <c r="AQ37">
        <v>9.0839999999999996</v>
      </c>
      <c r="AR37">
        <v>0.16</v>
      </c>
      <c r="AS37">
        <v>1</v>
      </c>
      <c r="AT37">
        <v>0</v>
      </c>
      <c r="AU37">
        <v>64</v>
      </c>
    </row>
    <row r="38" spans="2:47" x14ac:dyDescent="0.25">
      <c r="B38" s="9">
        <v>25</v>
      </c>
      <c r="C38" s="35">
        <v>450</v>
      </c>
      <c r="D38" s="3"/>
      <c r="E38" s="9">
        <f t="shared" si="0"/>
        <v>1086</v>
      </c>
      <c r="F38" s="54">
        <f t="shared" si="9"/>
        <v>4364</v>
      </c>
      <c r="G38" s="73">
        <f t="shared" si="1"/>
        <v>3.5150000000000001</v>
      </c>
      <c r="H38" s="56">
        <f t="shared" si="2"/>
        <v>1.819</v>
      </c>
      <c r="I38" s="57">
        <f t="shared" si="3"/>
        <v>3370</v>
      </c>
      <c r="J38" s="58">
        <f t="shared" si="4"/>
        <v>9.6</v>
      </c>
      <c r="L38" s="31">
        <f t="shared" si="5"/>
        <v>0.14599999999999999</v>
      </c>
      <c r="M38" s="32">
        <f t="shared" si="10"/>
        <v>0.66899999999999993</v>
      </c>
      <c r="N38" s="32">
        <f t="shared" si="6"/>
        <v>1.3959999999999999</v>
      </c>
      <c r="O38" s="32">
        <f t="shared" si="7"/>
        <v>-5.0999999999999997E-2</v>
      </c>
      <c r="P38" s="32">
        <f t="shared" si="8"/>
        <v>10.177</v>
      </c>
      <c r="Q38" s="33">
        <f t="shared" si="8"/>
        <v>1.7210000000000001</v>
      </c>
      <c r="AB38">
        <v>1</v>
      </c>
      <c r="AC38">
        <v>4</v>
      </c>
      <c r="AD38">
        <v>23</v>
      </c>
      <c r="AE38">
        <v>-0.54500000000000004</v>
      </c>
      <c r="AF38">
        <v>-0.69099999999999995</v>
      </c>
      <c r="AG38">
        <v>0.14599999999999999</v>
      </c>
      <c r="AH38">
        <v>-5.0999999999999997E-2</v>
      </c>
      <c r="AI38">
        <v>1.397</v>
      </c>
      <c r="AJ38">
        <v>10.247</v>
      </c>
      <c r="AK38">
        <v>1.728</v>
      </c>
      <c r="AL38">
        <v>9.5719999999999992</v>
      </c>
      <c r="AM38">
        <v>0.16900000000000001</v>
      </c>
      <c r="AN38">
        <v>10.391999999999999</v>
      </c>
      <c r="AO38">
        <v>9.81</v>
      </c>
      <c r="AP38">
        <v>2.4E-2</v>
      </c>
      <c r="AQ38">
        <v>8.984</v>
      </c>
      <c r="AR38">
        <v>0.158</v>
      </c>
      <c r="AS38">
        <v>1</v>
      </c>
      <c r="AT38">
        <v>0</v>
      </c>
      <c r="AU38">
        <v>64</v>
      </c>
    </row>
    <row r="39" spans="2:47" x14ac:dyDescent="0.25">
      <c r="B39" s="9">
        <v>26</v>
      </c>
      <c r="C39" s="35">
        <v>475</v>
      </c>
      <c r="D39" s="3"/>
      <c r="E39" s="9">
        <f t="shared" si="0"/>
        <v>1094</v>
      </c>
      <c r="F39" s="54">
        <f t="shared" si="9"/>
        <v>4561</v>
      </c>
      <c r="G39" s="73">
        <f t="shared" si="1"/>
        <v>3.5249999999999999</v>
      </c>
      <c r="H39" s="56">
        <f t="shared" si="2"/>
        <v>1.8260000000000001</v>
      </c>
      <c r="I39" s="57">
        <f t="shared" si="3"/>
        <v>3363</v>
      </c>
      <c r="J39" s="58">
        <f t="shared" si="4"/>
        <v>9.8000000000000007</v>
      </c>
      <c r="L39" s="31">
        <f t="shared" si="5"/>
        <v>0.14699999999999999</v>
      </c>
      <c r="M39" s="32">
        <f t="shared" si="10"/>
        <v>0.69550000000000001</v>
      </c>
      <c r="N39" s="32">
        <f t="shared" si="6"/>
        <v>1.399</v>
      </c>
      <c r="O39" s="32">
        <f t="shared" si="7"/>
        <v>-5.1999999999999998E-2</v>
      </c>
      <c r="P39" s="32">
        <f t="shared" si="8"/>
        <v>10.15</v>
      </c>
      <c r="Q39" s="33">
        <f t="shared" si="8"/>
        <v>1.752</v>
      </c>
      <c r="AB39">
        <v>1</v>
      </c>
      <c r="AC39">
        <v>4</v>
      </c>
      <c r="AD39">
        <v>24</v>
      </c>
      <c r="AE39">
        <v>-0.56999999999999995</v>
      </c>
      <c r="AF39">
        <v>-0.71599999999999997</v>
      </c>
      <c r="AG39">
        <v>0.14699999999999999</v>
      </c>
      <c r="AH39">
        <v>-5.0999999999999997E-2</v>
      </c>
      <c r="AI39">
        <v>1.397</v>
      </c>
      <c r="AJ39">
        <v>10.198</v>
      </c>
      <c r="AK39">
        <v>1.7869999999999999</v>
      </c>
      <c r="AL39">
        <v>9.9380000000000006</v>
      </c>
      <c r="AM39">
        <v>0.17499999999999999</v>
      </c>
      <c r="AN39">
        <v>10.353</v>
      </c>
      <c r="AO39">
        <v>9.8439999999999994</v>
      </c>
      <c r="AP39">
        <v>2.5000000000000001E-2</v>
      </c>
      <c r="AQ39">
        <v>9.3810000000000002</v>
      </c>
      <c r="AR39">
        <v>0.16500000000000001</v>
      </c>
      <c r="AS39">
        <v>1</v>
      </c>
      <c r="AT39">
        <v>0</v>
      </c>
      <c r="AU39">
        <v>64</v>
      </c>
    </row>
    <row r="40" spans="2:47" x14ac:dyDescent="0.25">
      <c r="B40" s="9">
        <v>27</v>
      </c>
      <c r="C40" s="35">
        <v>500</v>
      </c>
      <c r="D40" s="3"/>
      <c r="E40" s="9">
        <f t="shared" si="0"/>
        <v>1086</v>
      </c>
      <c r="F40" s="54">
        <f t="shared" si="9"/>
        <v>4765</v>
      </c>
      <c r="G40" s="73">
        <f t="shared" si="1"/>
        <v>3.5219999999999998</v>
      </c>
      <c r="H40" s="56">
        <f t="shared" si="2"/>
        <v>1.8220000000000001</v>
      </c>
      <c r="I40" s="57">
        <f t="shared" si="3"/>
        <v>3342</v>
      </c>
      <c r="J40" s="58">
        <f t="shared" si="4"/>
        <v>10</v>
      </c>
      <c r="L40" s="31">
        <f t="shared" si="5"/>
        <v>0.14599999999999999</v>
      </c>
      <c r="M40" s="32">
        <f t="shared" si="10"/>
        <v>0.72299999999999998</v>
      </c>
      <c r="N40" s="32">
        <f t="shared" si="6"/>
        <v>1.4</v>
      </c>
      <c r="O40" s="32">
        <f t="shared" si="7"/>
        <v>-0.05</v>
      </c>
      <c r="P40" s="32">
        <f t="shared" si="8"/>
        <v>10.082000000000001</v>
      </c>
      <c r="Q40" s="33">
        <f t="shared" si="8"/>
        <v>1.774</v>
      </c>
      <c r="AB40">
        <v>1</v>
      </c>
      <c r="AC40">
        <v>4</v>
      </c>
      <c r="AD40">
        <v>25</v>
      </c>
      <c r="AE40">
        <v>-0.59599999999999997</v>
      </c>
      <c r="AF40">
        <v>-0.74199999999999999</v>
      </c>
      <c r="AG40">
        <v>0.14599999999999999</v>
      </c>
      <c r="AH40">
        <v>-5.0999999999999997E-2</v>
      </c>
      <c r="AI40">
        <v>1.3959999999999999</v>
      </c>
      <c r="AJ40">
        <v>10.177</v>
      </c>
      <c r="AK40">
        <v>1.7210000000000001</v>
      </c>
      <c r="AL40">
        <v>9.6010000000000009</v>
      </c>
      <c r="AM40">
        <v>0.16900000000000001</v>
      </c>
      <c r="AN40">
        <v>10.321</v>
      </c>
      <c r="AO40">
        <v>9.7509999999999994</v>
      </c>
      <c r="AP40">
        <v>2.5000000000000001E-2</v>
      </c>
      <c r="AQ40">
        <v>9.0220000000000002</v>
      </c>
      <c r="AR40">
        <v>0.159</v>
      </c>
      <c r="AS40">
        <v>1</v>
      </c>
      <c r="AT40">
        <v>0</v>
      </c>
      <c r="AU40">
        <v>64</v>
      </c>
    </row>
    <row r="41" spans="2:47" x14ac:dyDescent="0.25">
      <c r="B41" s="9">
        <v>28</v>
      </c>
      <c r="C41" s="35">
        <v>600</v>
      </c>
      <c r="D41" s="3"/>
      <c r="E41" s="9">
        <f t="shared" si="0"/>
        <v>1131</v>
      </c>
      <c r="F41" s="54">
        <f t="shared" si="9"/>
        <v>5636</v>
      </c>
      <c r="G41" s="73">
        <f t="shared" si="1"/>
        <v>3.5169999999999999</v>
      </c>
      <c r="H41" s="56">
        <f t="shared" si="2"/>
        <v>1.821</v>
      </c>
      <c r="I41" s="57">
        <f t="shared" si="3"/>
        <v>3260</v>
      </c>
      <c r="J41" s="58">
        <f t="shared" si="4"/>
        <v>10.8</v>
      </c>
      <c r="L41" s="31">
        <f t="shared" si="5"/>
        <v>0.152</v>
      </c>
      <c r="M41" s="32">
        <f t="shared" si="10"/>
        <v>0.84</v>
      </c>
      <c r="N41" s="32">
        <f t="shared" si="6"/>
        <v>1.397</v>
      </c>
      <c r="O41" s="32">
        <f t="shared" si="7"/>
        <v>-5.0999999999999997E-2</v>
      </c>
      <c r="P41" s="32">
        <f t="shared" si="8"/>
        <v>9.8070000000000004</v>
      </c>
      <c r="Q41" s="33">
        <f t="shared" si="8"/>
        <v>1.8740000000000001</v>
      </c>
      <c r="AB41">
        <v>1</v>
      </c>
      <c r="AC41">
        <v>4</v>
      </c>
      <c r="AD41">
        <v>26</v>
      </c>
      <c r="AE41">
        <v>-0.622</v>
      </c>
      <c r="AF41">
        <v>-0.76900000000000002</v>
      </c>
      <c r="AG41">
        <v>0.14699999999999999</v>
      </c>
      <c r="AH41">
        <v>-5.1999999999999998E-2</v>
      </c>
      <c r="AI41">
        <v>1.399</v>
      </c>
      <c r="AJ41">
        <v>10.15</v>
      </c>
      <c r="AK41">
        <v>1.752</v>
      </c>
      <c r="AL41">
        <v>9.7940000000000005</v>
      </c>
      <c r="AM41">
        <v>0.17299999999999999</v>
      </c>
      <c r="AN41">
        <v>10.3</v>
      </c>
      <c r="AO41">
        <v>9.8219999999999992</v>
      </c>
      <c r="AP41">
        <v>2.5000000000000001E-2</v>
      </c>
      <c r="AQ41">
        <v>9.2829999999999995</v>
      </c>
      <c r="AR41">
        <v>0.16300000000000001</v>
      </c>
      <c r="AS41">
        <v>1</v>
      </c>
      <c r="AT41">
        <v>0</v>
      </c>
      <c r="AU41">
        <v>64</v>
      </c>
    </row>
    <row r="42" spans="2:47" x14ac:dyDescent="0.25">
      <c r="B42" s="9">
        <v>29</v>
      </c>
      <c r="C42" s="35">
        <v>700</v>
      </c>
      <c r="D42" s="3"/>
      <c r="E42" s="9">
        <f t="shared" si="0"/>
        <v>1198</v>
      </c>
      <c r="F42" s="54">
        <f t="shared" si="9"/>
        <v>6830</v>
      </c>
      <c r="G42" s="73">
        <f t="shared" si="1"/>
        <v>3.53</v>
      </c>
      <c r="H42" s="56">
        <f t="shared" si="2"/>
        <v>1.8280000000000001</v>
      </c>
      <c r="I42" s="57">
        <f t="shared" si="3"/>
        <v>3051</v>
      </c>
      <c r="J42" s="58">
        <f t="shared" si="4"/>
        <v>12.2</v>
      </c>
      <c r="L42" s="31">
        <f t="shared" si="5"/>
        <v>0.161</v>
      </c>
      <c r="M42" s="32">
        <f t="shared" si="10"/>
        <v>1.0004999999999999</v>
      </c>
      <c r="N42" s="32">
        <f t="shared" si="6"/>
        <v>1.401</v>
      </c>
      <c r="O42" s="32">
        <f t="shared" si="7"/>
        <v>-5.1999999999999998E-2</v>
      </c>
      <c r="P42" s="32">
        <f t="shared" si="8"/>
        <v>9.1359999999999992</v>
      </c>
      <c r="Q42" s="33">
        <f t="shared" si="8"/>
        <v>1.968</v>
      </c>
      <c r="AB42">
        <v>1</v>
      </c>
      <c r="AC42">
        <v>4</v>
      </c>
      <c r="AD42">
        <v>27</v>
      </c>
      <c r="AE42">
        <v>-0.65</v>
      </c>
      <c r="AF42">
        <v>-0.79500000000000004</v>
      </c>
      <c r="AG42">
        <v>0.14599999999999999</v>
      </c>
      <c r="AH42">
        <v>-0.05</v>
      </c>
      <c r="AI42">
        <v>1.4</v>
      </c>
      <c r="AJ42">
        <v>10.082000000000001</v>
      </c>
      <c r="AK42">
        <v>1.774</v>
      </c>
      <c r="AL42">
        <v>9.9809999999999999</v>
      </c>
      <c r="AM42">
        <v>0.17599999999999999</v>
      </c>
      <c r="AN42">
        <v>10.237</v>
      </c>
      <c r="AO42">
        <v>9.7810000000000006</v>
      </c>
      <c r="AP42">
        <v>2.5999999999999999E-2</v>
      </c>
      <c r="AQ42">
        <v>9.4689999999999994</v>
      </c>
      <c r="AR42">
        <v>0.16700000000000001</v>
      </c>
      <c r="AS42">
        <v>1</v>
      </c>
      <c r="AT42">
        <v>0</v>
      </c>
      <c r="AU42">
        <v>64</v>
      </c>
    </row>
    <row r="43" spans="2:47" x14ac:dyDescent="0.25">
      <c r="B43" s="9">
        <v>30</v>
      </c>
      <c r="C43" s="35">
        <v>800</v>
      </c>
      <c r="D43" s="3"/>
      <c r="E43" s="9">
        <f t="shared" si="0"/>
        <v>29820</v>
      </c>
      <c r="F43" s="54">
        <f t="shared" si="9"/>
        <v>24883</v>
      </c>
      <c r="G43" s="73">
        <f t="shared" si="1"/>
        <v>3.6659999999999999</v>
      </c>
      <c r="H43" s="56">
        <f t="shared" si="2"/>
        <v>1.895</v>
      </c>
      <c r="I43" s="57">
        <f t="shared" si="3"/>
        <v>1284</v>
      </c>
      <c r="J43" s="58">
        <f t="shared" si="4"/>
        <v>27.9</v>
      </c>
      <c r="L43" s="31">
        <f t="shared" si="5"/>
        <v>4.008</v>
      </c>
      <c r="M43" s="32">
        <f t="shared" si="10"/>
        <v>3.427</v>
      </c>
      <c r="N43" s="32">
        <f t="shared" si="6"/>
        <v>1.458</v>
      </c>
      <c r="O43" s="32">
        <f t="shared" si="7"/>
        <v>-5.0999999999999997E-2</v>
      </c>
      <c r="P43" s="32">
        <f t="shared" si="8"/>
        <v>3.4769999999999999</v>
      </c>
      <c r="Q43" s="33">
        <f t="shared" si="8"/>
        <v>1.84</v>
      </c>
      <c r="AB43">
        <v>1</v>
      </c>
      <c r="AC43">
        <v>4</v>
      </c>
      <c r="AD43">
        <v>28</v>
      </c>
      <c r="AE43">
        <v>-0.76400000000000001</v>
      </c>
      <c r="AF43">
        <v>-0.91500000000000004</v>
      </c>
      <c r="AG43">
        <v>0.152</v>
      </c>
      <c r="AH43">
        <v>-5.0999999999999997E-2</v>
      </c>
      <c r="AI43">
        <v>1.397</v>
      </c>
      <c r="AJ43">
        <v>9.8070000000000004</v>
      </c>
      <c r="AK43">
        <v>1.8740000000000001</v>
      </c>
      <c r="AL43">
        <v>10.815</v>
      </c>
      <c r="AM43">
        <v>0.191</v>
      </c>
      <c r="AN43">
        <v>9.984</v>
      </c>
      <c r="AO43">
        <v>9.4640000000000004</v>
      </c>
      <c r="AP43">
        <v>2.9000000000000001E-2</v>
      </c>
      <c r="AQ43">
        <v>10.196999999999999</v>
      </c>
      <c r="AR43">
        <v>0.18</v>
      </c>
      <c r="AS43">
        <v>1</v>
      </c>
      <c r="AT43">
        <v>0</v>
      </c>
      <c r="AU43">
        <v>64</v>
      </c>
    </row>
    <row r="44" spans="2:47" x14ac:dyDescent="0.25">
      <c r="B44" s="9">
        <v>31</v>
      </c>
      <c r="C44" s="35">
        <v>900</v>
      </c>
      <c r="D44" s="3"/>
      <c r="E44" s="9">
        <f t="shared" si="0"/>
        <v>28413</v>
      </c>
      <c r="F44" s="54">
        <f t="shared" si="9"/>
        <v>45905</v>
      </c>
      <c r="G44" s="73">
        <f t="shared" si="1"/>
        <v>3.52</v>
      </c>
      <c r="H44" s="56">
        <f t="shared" si="2"/>
        <v>1.8240000000000001</v>
      </c>
      <c r="I44" s="57">
        <f t="shared" si="3"/>
        <v>142</v>
      </c>
      <c r="J44" s="58">
        <f t="shared" si="4"/>
        <v>14.3</v>
      </c>
      <c r="L44" s="31">
        <f t="shared" si="5"/>
        <v>3.819</v>
      </c>
      <c r="M44" s="32">
        <f t="shared" si="10"/>
        <v>6.2524999999999995</v>
      </c>
      <c r="N44" s="32">
        <f t="shared" si="6"/>
        <v>1.3959999999999999</v>
      </c>
      <c r="O44" s="32">
        <f t="shared" si="7"/>
        <v>-5.2999999999999999E-2</v>
      </c>
      <c r="P44" s="32">
        <f t="shared" si="8"/>
        <v>0.42099999999999999</v>
      </c>
      <c r="Q44" s="33">
        <f t="shared" si="8"/>
        <v>0.107</v>
      </c>
      <c r="AB44">
        <v>1</v>
      </c>
      <c r="AC44">
        <v>4</v>
      </c>
      <c r="AD44">
        <v>29</v>
      </c>
      <c r="AE44">
        <v>-0.92</v>
      </c>
      <c r="AF44">
        <v>-1.0820000000000001</v>
      </c>
      <c r="AG44">
        <v>0.161</v>
      </c>
      <c r="AH44">
        <v>-5.1999999999999998E-2</v>
      </c>
      <c r="AI44">
        <v>1.401</v>
      </c>
      <c r="AJ44">
        <v>9.1359999999999992</v>
      </c>
      <c r="AK44">
        <v>1.968</v>
      </c>
      <c r="AL44">
        <v>12.156000000000001</v>
      </c>
      <c r="AM44">
        <v>0.215</v>
      </c>
      <c r="AN44">
        <v>9.3460000000000001</v>
      </c>
      <c r="AO44">
        <v>8.9339999999999993</v>
      </c>
      <c r="AP44">
        <v>3.4000000000000002E-2</v>
      </c>
      <c r="AQ44">
        <v>11.541</v>
      </c>
      <c r="AR44">
        <v>0.20399999999999999</v>
      </c>
      <c r="AS44">
        <v>1</v>
      </c>
      <c r="AT44">
        <v>0</v>
      </c>
      <c r="AU44">
        <v>64</v>
      </c>
    </row>
    <row r="45" spans="2:47" x14ac:dyDescent="0.25">
      <c r="B45" s="9">
        <v>32</v>
      </c>
      <c r="C45" s="35">
        <v>1000</v>
      </c>
      <c r="D45" s="3"/>
      <c r="E45" s="9" t="str">
        <f t="shared" si="0"/>
        <v/>
      </c>
      <c r="F45" s="54" t="str">
        <f t="shared" si="9"/>
        <v/>
      </c>
      <c r="G45" s="73" t="str">
        <f t="shared" si="1"/>
        <v/>
      </c>
      <c r="H45" s="56" t="str">
        <f t="shared" si="2"/>
        <v/>
      </c>
      <c r="I45" s="57" t="str">
        <f t="shared" si="3"/>
        <v/>
      </c>
      <c r="J45" s="58" t="str">
        <f t="shared" si="4"/>
        <v/>
      </c>
      <c r="L45" s="31" t="str">
        <f t="shared" si="5"/>
        <v/>
      </c>
      <c r="M45" s="32" t="str">
        <f t="shared" si="10"/>
        <v/>
      </c>
      <c r="N45" s="32" t="str">
        <f t="shared" si="6"/>
        <v/>
      </c>
      <c r="O45" s="32" t="str">
        <f t="shared" si="7"/>
        <v/>
      </c>
      <c r="P45" s="32" t="str">
        <f t="shared" si="8"/>
        <v/>
      </c>
      <c r="Q45" s="33" t="str">
        <f t="shared" si="8"/>
        <v/>
      </c>
      <c r="AB45">
        <v>1</v>
      </c>
      <c r="AC45">
        <v>4</v>
      </c>
      <c r="AD45">
        <v>30</v>
      </c>
      <c r="AE45">
        <v>-1.423</v>
      </c>
      <c r="AF45">
        <v>-5.431</v>
      </c>
      <c r="AG45">
        <v>4.008</v>
      </c>
      <c r="AH45">
        <v>-5.0999999999999997E-2</v>
      </c>
      <c r="AI45">
        <v>1.458</v>
      </c>
      <c r="AJ45">
        <v>3.4769999999999999</v>
      </c>
      <c r="AK45">
        <v>1.84</v>
      </c>
      <c r="AL45">
        <v>37.814999999999998</v>
      </c>
      <c r="AM45">
        <v>1.0509999999999999</v>
      </c>
      <c r="AN45">
        <v>3.956</v>
      </c>
      <c r="AO45">
        <v>3.7759999999999998</v>
      </c>
      <c r="AP45">
        <v>0.69699999999999995</v>
      </c>
      <c r="AQ45">
        <v>27.338000000000001</v>
      </c>
      <c r="AR45">
        <v>0.51900000000000002</v>
      </c>
      <c r="AS45">
        <v>1</v>
      </c>
      <c r="AT45">
        <v>0</v>
      </c>
      <c r="AU45">
        <v>64</v>
      </c>
    </row>
    <row r="46" spans="2:47" x14ac:dyDescent="0.25">
      <c r="B46" s="9">
        <v>33</v>
      </c>
      <c r="C46" s="35">
        <v>1100</v>
      </c>
      <c r="D46" s="3"/>
      <c r="E46" s="9" t="str">
        <f t="shared" si="0"/>
        <v/>
      </c>
      <c r="F46" s="54" t="str">
        <f t="shared" si="9"/>
        <v/>
      </c>
      <c r="G46" s="73" t="str">
        <f t="shared" si="1"/>
        <v/>
      </c>
      <c r="H46" s="56" t="str">
        <f t="shared" si="2"/>
        <v/>
      </c>
      <c r="I46" s="57" t="str">
        <f t="shared" si="3"/>
        <v/>
      </c>
      <c r="J46" s="58" t="str">
        <f t="shared" si="4"/>
        <v/>
      </c>
      <c r="L46" s="31" t="str">
        <f t="shared" si="5"/>
        <v/>
      </c>
      <c r="M46" s="32" t="str">
        <f t="shared" si="10"/>
        <v/>
      </c>
      <c r="N46" s="32" t="str">
        <f t="shared" si="6"/>
        <v/>
      </c>
      <c r="O46" s="32" t="str">
        <f t="shared" si="7"/>
        <v/>
      </c>
      <c r="P46" s="32" t="str">
        <f t="shared" ref="P46:Q77" si="11">IF(AJ48="","",AJ48)</f>
        <v/>
      </c>
      <c r="Q46" s="33" t="str">
        <f t="shared" si="11"/>
        <v/>
      </c>
      <c r="AB46">
        <v>1</v>
      </c>
      <c r="AC46">
        <v>4</v>
      </c>
      <c r="AD46">
        <v>31</v>
      </c>
      <c r="AE46">
        <v>-4.343</v>
      </c>
      <c r="AF46">
        <v>-8.1609999999999996</v>
      </c>
      <c r="AG46">
        <v>3.819</v>
      </c>
      <c r="AH46">
        <v>-5.2999999999999999E-2</v>
      </c>
      <c r="AI46">
        <v>1.3959999999999999</v>
      </c>
      <c r="AJ46">
        <v>0.42099999999999999</v>
      </c>
      <c r="AK46">
        <v>0.107</v>
      </c>
      <c r="AL46">
        <v>14.308</v>
      </c>
      <c r="AM46">
        <v>0.255</v>
      </c>
      <c r="AN46">
        <v>0.434</v>
      </c>
      <c r="AO46">
        <v>0.36699999999999999</v>
      </c>
      <c r="AP46">
        <v>0.52700000000000002</v>
      </c>
      <c r="AQ46">
        <v>7.2759999999999998</v>
      </c>
      <c r="AR46">
        <v>0.128</v>
      </c>
      <c r="AS46">
        <v>1</v>
      </c>
      <c r="AT46">
        <v>0</v>
      </c>
      <c r="AU46">
        <v>64</v>
      </c>
    </row>
    <row r="47" spans="2:47" x14ac:dyDescent="0.25">
      <c r="B47" s="9">
        <v>34</v>
      </c>
      <c r="C47" s="35">
        <v>1200</v>
      </c>
      <c r="D47" s="3"/>
      <c r="E47" s="9" t="str">
        <f t="shared" si="0"/>
        <v/>
      </c>
      <c r="F47" s="54" t="str">
        <f t="shared" si="9"/>
        <v/>
      </c>
      <c r="G47" s="73" t="str">
        <f t="shared" si="1"/>
        <v/>
      </c>
      <c r="H47" s="56" t="str">
        <f t="shared" si="2"/>
        <v/>
      </c>
      <c r="I47" s="57" t="str">
        <f t="shared" si="3"/>
        <v/>
      </c>
      <c r="J47" s="58" t="str">
        <f t="shared" si="4"/>
        <v/>
      </c>
      <c r="L47" s="31" t="str">
        <f t="shared" si="5"/>
        <v/>
      </c>
      <c r="M47" s="32" t="str">
        <f t="shared" si="10"/>
        <v/>
      </c>
      <c r="N47" s="32" t="str">
        <f t="shared" si="6"/>
        <v/>
      </c>
      <c r="O47" s="32" t="str">
        <f t="shared" si="7"/>
        <v/>
      </c>
      <c r="P47" s="32" t="str">
        <f t="shared" si="11"/>
        <v/>
      </c>
      <c r="Q47" s="33" t="str">
        <f t="shared" si="11"/>
        <v/>
      </c>
    </row>
    <row r="48" spans="2:47" x14ac:dyDescent="0.25">
      <c r="B48" s="9">
        <v>35</v>
      </c>
      <c r="C48" s="35">
        <v>1300</v>
      </c>
      <c r="D48" s="3"/>
      <c r="E48" s="9" t="str">
        <f t="shared" si="0"/>
        <v/>
      </c>
      <c r="F48" s="54" t="str">
        <f t="shared" si="9"/>
        <v/>
      </c>
      <c r="G48" s="73" t="str">
        <f t="shared" si="1"/>
        <v/>
      </c>
      <c r="H48" s="56" t="str">
        <f t="shared" si="2"/>
        <v/>
      </c>
      <c r="I48" s="57" t="str">
        <f t="shared" si="3"/>
        <v/>
      </c>
      <c r="J48" s="58" t="str">
        <f t="shared" si="4"/>
        <v/>
      </c>
      <c r="L48" s="31" t="str">
        <f t="shared" si="5"/>
        <v/>
      </c>
      <c r="M48" s="32" t="str">
        <f t="shared" si="10"/>
        <v/>
      </c>
      <c r="N48" s="32" t="str">
        <f t="shared" si="6"/>
        <v/>
      </c>
      <c r="O48" s="32" t="str">
        <f t="shared" si="7"/>
        <v/>
      </c>
      <c r="P48" s="32" t="str">
        <f t="shared" si="11"/>
        <v/>
      </c>
      <c r="Q48" s="33" t="str">
        <f t="shared" si="11"/>
        <v/>
      </c>
    </row>
    <row r="49" spans="2:17" x14ac:dyDescent="0.25">
      <c r="B49" s="9">
        <v>36</v>
      </c>
      <c r="C49" s="35">
        <v>1400</v>
      </c>
      <c r="D49" s="3"/>
      <c r="E49" s="9" t="str">
        <f t="shared" si="0"/>
        <v/>
      </c>
      <c r="F49" s="54" t="str">
        <f t="shared" si="9"/>
        <v/>
      </c>
      <c r="G49" s="73" t="str">
        <f t="shared" si="1"/>
        <v/>
      </c>
      <c r="H49" s="56" t="str">
        <f t="shared" si="2"/>
        <v/>
      </c>
      <c r="I49" s="57" t="str">
        <f t="shared" si="3"/>
        <v/>
      </c>
      <c r="J49" s="58" t="str">
        <f t="shared" si="4"/>
        <v/>
      </c>
      <c r="L49" s="31" t="str">
        <f t="shared" si="5"/>
        <v/>
      </c>
      <c r="M49" s="32" t="str">
        <f t="shared" si="10"/>
        <v/>
      </c>
      <c r="N49" s="32" t="str">
        <f t="shared" si="6"/>
        <v/>
      </c>
      <c r="O49" s="32" t="str">
        <f t="shared" si="7"/>
        <v/>
      </c>
      <c r="P49" s="32" t="str">
        <f t="shared" si="11"/>
        <v/>
      </c>
      <c r="Q49" s="33" t="str">
        <f t="shared" si="11"/>
        <v/>
      </c>
    </row>
    <row r="50" spans="2:17" x14ac:dyDescent="0.25">
      <c r="B50" s="9">
        <v>37</v>
      </c>
      <c r="C50" s="35">
        <v>1500</v>
      </c>
      <c r="D50" s="3"/>
      <c r="E50" s="9" t="str">
        <f t="shared" si="0"/>
        <v/>
      </c>
      <c r="F50" s="54" t="str">
        <f t="shared" si="9"/>
        <v/>
      </c>
      <c r="G50" s="73" t="str">
        <f t="shared" si="1"/>
        <v/>
      </c>
      <c r="H50" s="56" t="str">
        <f t="shared" si="2"/>
        <v/>
      </c>
      <c r="I50" s="57" t="str">
        <f t="shared" si="3"/>
        <v/>
      </c>
      <c r="J50" s="58" t="str">
        <f t="shared" si="4"/>
        <v/>
      </c>
      <c r="L50" s="31" t="str">
        <f t="shared" si="5"/>
        <v/>
      </c>
      <c r="M50" s="32" t="str">
        <f t="shared" si="10"/>
        <v/>
      </c>
      <c r="N50" s="32" t="str">
        <f t="shared" si="6"/>
        <v/>
      </c>
      <c r="O50" s="32" t="str">
        <f t="shared" si="7"/>
        <v/>
      </c>
      <c r="P50" s="32" t="str">
        <f t="shared" si="11"/>
        <v/>
      </c>
      <c r="Q50" s="33" t="str">
        <f t="shared" si="11"/>
        <v/>
      </c>
    </row>
    <row r="51" spans="2:17" x14ac:dyDescent="0.25">
      <c r="B51" s="9">
        <v>38</v>
      </c>
      <c r="C51" s="35">
        <v>1600</v>
      </c>
      <c r="D51" s="3"/>
      <c r="E51" s="9" t="str">
        <f t="shared" si="0"/>
        <v/>
      </c>
      <c r="F51" s="54" t="str">
        <f t="shared" si="9"/>
        <v/>
      </c>
      <c r="G51" s="73" t="str">
        <f t="shared" si="1"/>
        <v/>
      </c>
      <c r="H51" s="56" t="str">
        <f t="shared" si="2"/>
        <v/>
      </c>
      <c r="I51" s="57" t="str">
        <f t="shared" si="3"/>
        <v/>
      </c>
      <c r="J51" s="58" t="str">
        <f t="shared" si="4"/>
        <v/>
      </c>
      <c r="L51" s="31" t="str">
        <f t="shared" si="5"/>
        <v/>
      </c>
      <c r="M51" s="32" t="str">
        <f t="shared" si="10"/>
        <v/>
      </c>
      <c r="N51" s="32" t="str">
        <f t="shared" si="6"/>
        <v/>
      </c>
      <c r="O51" s="32" t="str">
        <f t="shared" si="7"/>
        <v/>
      </c>
      <c r="P51" s="32" t="str">
        <f t="shared" si="11"/>
        <v/>
      </c>
      <c r="Q51" s="33" t="str">
        <f t="shared" si="11"/>
        <v/>
      </c>
    </row>
    <row r="52" spans="2:17" x14ac:dyDescent="0.25">
      <c r="B52" s="9">
        <v>39</v>
      </c>
      <c r="C52" s="35">
        <v>1700</v>
      </c>
      <c r="D52" s="3"/>
      <c r="E52" s="9" t="str">
        <f t="shared" si="0"/>
        <v/>
      </c>
      <c r="F52" s="54" t="str">
        <f t="shared" si="9"/>
        <v/>
      </c>
      <c r="G52" s="73" t="str">
        <f t="shared" si="1"/>
        <v/>
      </c>
      <c r="H52" s="56" t="str">
        <f t="shared" si="2"/>
        <v/>
      </c>
      <c r="I52" s="57" t="str">
        <f t="shared" si="3"/>
        <v/>
      </c>
      <c r="J52" s="58" t="str">
        <f t="shared" si="4"/>
        <v/>
      </c>
      <c r="L52" s="31" t="str">
        <f t="shared" si="5"/>
        <v/>
      </c>
      <c r="M52" s="32" t="str">
        <f t="shared" si="10"/>
        <v/>
      </c>
      <c r="N52" s="32" t="str">
        <f t="shared" si="6"/>
        <v/>
      </c>
      <c r="O52" s="32" t="str">
        <f t="shared" si="7"/>
        <v/>
      </c>
      <c r="P52" s="32" t="str">
        <f t="shared" si="11"/>
        <v/>
      </c>
      <c r="Q52" s="33" t="str">
        <f t="shared" si="11"/>
        <v/>
      </c>
    </row>
    <row r="53" spans="2:17" x14ac:dyDescent="0.25">
      <c r="B53" s="9">
        <v>40</v>
      </c>
      <c r="C53" s="35">
        <v>1800</v>
      </c>
      <c r="D53" s="3"/>
      <c r="E53" s="9" t="str">
        <f t="shared" si="0"/>
        <v/>
      </c>
      <c r="F53" s="54" t="str">
        <f t="shared" si="9"/>
        <v/>
      </c>
      <c r="G53" s="73" t="str">
        <f t="shared" si="1"/>
        <v/>
      </c>
      <c r="H53" s="56" t="str">
        <f t="shared" si="2"/>
        <v/>
      </c>
      <c r="I53" s="57" t="str">
        <f t="shared" si="3"/>
        <v/>
      </c>
      <c r="J53" s="58" t="str">
        <f t="shared" si="4"/>
        <v/>
      </c>
      <c r="L53" s="31" t="str">
        <f t="shared" si="5"/>
        <v/>
      </c>
      <c r="M53" s="32" t="str">
        <f t="shared" si="10"/>
        <v/>
      </c>
      <c r="N53" s="32" t="str">
        <f t="shared" si="6"/>
        <v/>
      </c>
      <c r="O53" s="32" t="str">
        <f t="shared" si="7"/>
        <v/>
      </c>
      <c r="P53" s="32" t="str">
        <f t="shared" si="11"/>
        <v/>
      </c>
      <c r="Q53" s="33" t="str">
        <f t="shared" si="11"/>
        <v/>
      </c>
    </row>
    <row r="54" spans="2:17" x14ac:dyDescent="0.25">
      <c r="B54" s="9">
        <v>41</v>
      </c>
      <c r="C54" s="35">
        <v>1900</v>
      </c>
      <c r="D54" s="3"/>
      <c r="E54" s="9" t="str">
        <f t="shared" si="0"/>
        <v/>
      </c>
      <c r="F54" s="54" t="str">
        <f t="shared" si="9"/>
        <v/>
      </c>
      <c r="G54" s="73" t="str">
        <f t="shared" si="1"/>
        <v/>
      </c>
      <c r="H54" s="56" t="str">
        <f t="shared" si="2"/>
        <v/>
      </c>
      <c r="I54" s="57" t="str">
        <f t="shared" si="3"/>
        <v/>
      </c>
      <c r="J54" s="58" t="str">
        <f t="shared" si="4"/>
        <v/>
      </c>
      <c r="L54" s="31" t="str">
        <f t="shared" si="5"/>
        <v/>
      </c>
      <c r="M54" s="32" t="str">
        <f t="shared" si="10"/>
        <v/>
      </c>
      <c r="N54" s="32" t="str">
        <f t="shared" si="6"/>
        <v/>
      </c>
      <c r="O54" s="32" t="str">
        <f t="shared" si="7"/>
        <v/>
      </c>
      <c r="P54" s="32" t="str">
        <f t="shared" si="11"/>
        <v/>
      </c>
      <c r="Q54" s="33" t="str">
        <f t="shared" si="11"/>
        <v/>
      </c>
    </row>
    <row r="55" spans="2:17" x14ac:dyDescent="0.25">
      <c r="B55" s="9">
        <v>42</v>
      </c>
      <c r="C55" s="35">
        <v>2000</v>
      </c>
      <c r="D55" s="3"/>
      <c r="E55" s="9" t="str">
        <f t="shared" si="0"/>
        <v/>
      </c>
      <c r="F55" s="54" t="str">
        <f t="shared" si="9"/>
        <v/>
      </c>
      <c r="G55" s="73" t="str">
        <f t="shared" si="1"/>
        <v/>
      </c>
      <c r="H55" s="56" t="str">
        <f t="shared" si="2"/>
        <v/>
      </c>
      <c r="I55" s="57" t="str">
        <f t="shared" si="3"/>
        <v/>
      </c>
      <c r="J55" s="58" t="str">
        <f t="shared" si="4"/>
        <v/>
      </c>
      <c r="L55" s="31" t="str">
        <f t="shared" si="5"/>
        <v/>
      </c>
      <c r="M55" s="32" t="str">
        <f t="shared" si="10"/>
        <v/>
      </c>
      <c r="N55" s="32" t="str">
        <f t="shared" si="6"/>
        <v/>
      </c>
      <c r="O55" s="32" t="str">
        <f t="shared" si="7"/>
        <v/>
      </c>
      <c r="P55" s="32" t="str">
        <f t="shared" si="11"/>
        <v/>
      </c>
      <c r="Q55" s="33" t="str">
        <f t="shared" si="11"/>
        <v/>
      </c>
    </row>
    <row r="56" spans="2:17" x14ac:dyDescent="0.25">
      <c r="B56" s="9">
        <v>43</v>
      </c>
      <c r="C56" s="35">
        <v>2500</v>
      </c>
      <c r="D56" s="3"/>
      <c r="E56" s="9" t="str">
        <f t="shared" si="0"/>
        <v/>
      </c>
      <c r="F56" s="54" t="str">
        <f t="shared" si="9"/>
        <v/>
      </c>
      <c r="G56" s="73" t="str">
        <f t="shared" si="1"/>
        <v/>
      </c>
      <c r="H56" s="56" t="str">
        <f t="shared" si="2"/>
        <v/>
      </c>
      <c r="I56" s="57" t="str">
        <f t="shared" si="3"/>
        <v/>
      </c>
      <c r="J56" s="58" t="str">
        <f t="shared" si="4"/>
        <v/>
      </c>
      <c r="L56" s="31" t="str">
        <f t="shared" si="5"/>
        <v/>
      </c>
      <c r="M56" s="32" t="str">
        <f t="shared" si="10"/>
        <v/>
      </c>
      <c r="N56" s="32" t="str">
        <f t="shared" si="6"/>
        <v/>
      </c>
      <c r="O56" s="32" t="str">
        <f t="shared" si="7"/>
        <v/>
      </c>
      <c r="P56" s="32" t="str">
        <f t="shared" si="11"/>
        <v/>
      </c>
      <c r="Q56" s="33" t="str">
        <f t="shared" si="11"/>
        <v/>
      </c>
    </row>
    <row r="57" spans="2:17" x14ac:dyDescent="0.25">
      <c r="B57" s="9">
        <v>44</v>
      </c>
      <c r="C57" s="35">
        <v>3000</v>
      </c>
      <c r="D57" s="3"/>
      <c r="E57" s="9" t="str">
        <f t="shared" si="0"/>
        <v/>
      </c>
      <c r="F57" s="54" t="str">
        <f t="shared" si="9"/>
        <v/>
      </c>
      <c r="G57" s="73" t="str">
        <f t="shared" si="1"/>
        <v/>
      </c>
      <c r="H57" s="56" t="str">
        <f t="shared" si="2"/>
        <v/>
      </c>
      <c r="I57" s="57" t="str">
        <f t="shared" si="3"/>
        <v/>
      </c>
      <c r="J57" s="58" t="str">
        <f t="shared" si="4"/>
        <v/>
      </c>
      <c r="L57" s="31" t="str">
        <f t="shared" si="5"/>
        <v/>
      </c>
      <c r="M57" s="32" t="str">
        <f t="shared" si="10"/>
        <v/>
      </c>
      <c r="N57" s="32" t="str">
        <f t="shared" si="6"/>
        <v/>
      </c>
      <c r="O57" s="32" t="str">
        <f t="shared" si="7"/>
        <v/>
      </c>
      <c r="P57" s="32" t="str">
        <f t="shared" si="11"/>
        <v/>
      </c>
      <c r="Q57" s="33" t="str">
        <f t="shared" si="11"/>
        <v/>
      </c>
    </row>
    <row r="58" spans="2:17" x14ac:dyDescent="0.25">
      <c r="B58" s="9">
        <v>45</v>
      </c>
      <c r="C58" s="35">
        <v>3500</v>
      </c>
      <c r="D58" s="3"/>
      <c r="E58" s="9" t="str">
        <f t="shared" si="0"/>
        <v/>
      </c>
      <c r="F58" s="54" t="str">
        <f t="shared" si="9"/>
        <v/>
      </c>
      <c r="G58" s="73" t="str">
        <f t="shared" si="1"/>
        <v/>
      </c>
      <c r="H58" s="56" t="str">
        <f t="shared" si="2"/>
        <v/>
      </c>
      <c r="I58" s="57" t="str">
        <f t="shared" si="3"/>
        <v/>
      </c>
      <c r="J58" s="58" t="str">
        <f t="shared" si="4"/>
        <v/>
      </c>
      <c r="L58" s="31" t="str">
        <f t="shared" si="5"/>
        <v/>
      </c>
      <c r="M58" s="32" t="str">
        <f t="shared" si="10"/>
        <v/>
      </c>
      <c r="N58" s="32" t="str">
        <f t="shared" si="6"/>
        <v/>
      </c>
      <c r="O58" s="32" t="str">
        <f t="shared" si="7"/>
        <v/>
      </c>
      <c r="P58" s="32" t="str">
        <f t="shared" si="11"/>
        <v/>
      </c>
      <c r="Q58" s="33" t="str">
        <f t="shared" si="11"/>
        <v/>
      </c>
    </row>
    <row r="59" spans="2:17" x14ac:dyDescent="0.25">
      <c r="B59" s="9">
        <v>46</v>
      </c>
      <c r="C59" s="35">
        <v>4000</v>
      </c>
      <c r="D59" s="3"/>
      <c r="E59" s="9" t="str">
        <f t="shared" si="0"/>
        <v/>
      </c>
      <c r="F59" s="54" t="str">
        <f t="shared" si="9"/>
        <v/>
      </c>
      <c r="G59" s="73" t="str">
        <f t="shared" si="1"/>
        <v/>
      </c>
      <c r="H59" s="56" t="str">
        <f t="shared" si="2"/>
        <v/>
      </c>
      <c r="I59" s="57" t="str">
        <f t="shared" si="3"/>
        <v/>
      </c>
      <c r="J59" s="58" t="str">
        <f t="shared" si="4"/>
        <v/>
      </c>
      <c r="L59" s="31" t="str">
        <f t="shared" si="5"/>
        <v/>
      </c>
      <c r="M59" s="32" t="str">
        <f t="shared" si="10"/>
        <v/>
      </c>
      <c r="N59" s="32" t="str">
        <f t="shared" si="6"/>
        <v/>
      </c>
      <c r="O59" s="32" t="str">
        <f t="shared" si="7"/>
        <v/>
      </c>
      <c r="P59" s="32" t="str">
        <f t="shared" si="11"/>
        <v/>
      </c>
      <c r="Q59" s="33" t="str">
        <f t="shared" si="11"/>
        <v/>
      </c>
    </row>
    <row r="60" spans="2:17" x14ac:dyDescent="0.25">
      <c r="B60" s="9">
        <v>47</v>
      </c>
      <c r="C60" s="35">
        <v>4500</v>
      </c>
      <c r="D60" s="3"/>
      <c r="E60" s="9" t="str">
        <f t="shared" si="0"/>
        <v/>
      </c>
      <c r="F60" s="54" t="str">
        <f t="shared" si="9"/>
        <v/>
      </c>
      <c r="G60" s="73" t="str">
        <f t="shared" si="1"/>
        <v/>
      </c>
      <c r="H60" s="56" t="str">
        <f t="shared" si="2"/>
        <v/>
      </c>
      <c r="I60" s="57" t="str">
        <f t="shared" si="3"/>
        <v/>
      </c>
      <c r="J60" s="58" t="str">
        <f t="shared" si="4"/>
        <v/>
      </c>
      <c r="L60" s="31" t="str">
        <f t="shared" si="5"/>
        <v/>
      </c>
      <c r="M60" s="32" t="str">
        <f t="shared" si="10"/>
        <v/>
      </c>
      <c r="N60" s="32" t="str">
        <f t="shared" si="6"/>
        <v/>
      </c>
      <c r="O60" s="32" t="str">
        <f t="shared" si="7"/>
        <v/>
      </c>
      <c r="P60" s="32" t="str">
        <f t="shared" si="11"/>
        <v/>
      </c>
      <c r="Q60" s="33" t="str">
        <f t="shared" si="11"/>
        <v/>
      </c>
    </row>
    <row r="61" spans="2:17" x14ac:dyDescent="0.25">
      <c r="B61" s="9">
        <v>48</v>
      </c>
      <c r="C61" s="35">
        <v>5000</v>
      </c>
      <c r="D61" s="3"/>
      <c r="E61" s="9" t="str">
        <f t="shared" si="0"/>
        <v/>
      </c>
      <c r="F61" s="54" t="str">
        <f t="shared" si="9"/>
        <v/>
      </c>
      <c r="G61" s="73" t="str">
        <f t="shared" si="1"/>
        <v/>
      </c>
      <c r="H61" s="56" t="str">
        <f t="shared" si="2"/>
        <v/>
      </c>
      <c r="I61" s="57" t="str">
        <f t="shared" si="3"/>
        <v/>
      </c>
      <c r="J61" s="58" t="str">
        <f t="shared" si="4"/>
        <v/>
      </c>
      <c r="L61" s="31" t="str">
        <f t="shared" si="5"/>
        <v/>
      </c>
      <c r="M61" s="32" t="str">
        <f t="shared" si="10"/>
        <v/>
      </c>
      <c r="N61" s="32" t="str">
        <f t="shared" si="6"/>
        <v/>
      </c>
      <c r="O61" s="32" t="str">
        <f t="shared" si="7"/>
        <v/>
      </c>
      <c r="P61" s="32" t="str">
        <f t="shared" si="11"/>
        <v/>
      </c>
      <c r="Q61" s="33" t="str">
        <f t="shared" si="11"/>
        <v/>
      </c>
    </row>
    <row r="62" spans="2:17" x14ac:dyDescent="0.25">
      <c r="B62" s="9">
        <v>49</v>
      </c>
      <c r="C62" s="35">
        <v>5500</v>
      </c>
      <c r="D62" s="3"/>
      <c r="E62" s="9" t="str">
        <f t="shared" si="0"/>
        <v/>
      </c>
      <c r="F62" s="54" t="str">
        <f t="shared" si="9"/>
        <v/>
      </c>
      <c r="G62" s="73" t="str">
        <f t="shared" si="1"/>
        <v/>
      </c>
      <c r="H62" s="56" t="str">
        <f t="shared" si="2"/>
        <v/>
      </c>
      <c r="I62" s="57" t="str">
        <f t="shared" si="3"/>
        <v/>
      </c>
      <c r="J62" s="58" t="str">
        <f t="shared" si="4"/>
        <v/>
      </c>
      <c r="L62" s="31" t="str">
        <f t="shared" si="5"/>
        <v/>
      </c>
      <c r="M62" s="32" t="str">
        <f t="shared" si="10"/>
        <v/>
      </c>
      <c r="N62" s="32" t="str">
        <f t="shared" si="6"/>
        <v/>
      </c>
      <c r="O62" s="32" t="str">
        <f t="shared" si="7"/>
        <v/>
      </c>
      <c r="P62" s="32" t="str">
        <f t="shared" si="11"/>
        <v/>
      </c>
      <c r="Q62" s="33" t="str">
        <f t="shared" si="11"/>
        <v/>
      </c>
    </row>
    <row r="63" spans="2:17" x14ac:dyDescent="0.25">
      <c r="B63" s="9">
        <v>50</v>
      </c>
      <c r="C63" s="35">
        <v>6000</v>
      </c>
      <c r="D63" s="3"/>
      <c r="E63" s="9" t="str">
        <f t="shared" si="0"/>
        <v/>
      </c>
      <c r="F63" s="54" t="str">
        <f t="shared" si="9"/>
        <v/>
      </c>
      <c r="G63" s="73" t="str">
        <f t="shared" si="1"/>
        <v/>
      </c>
      <c r="H63" s="56" t="str">
        <f t="shared" si="2"/>
        <v/>
      </c>
      <c r="I63" s="57" t="str">
        <f t="shared" si="3"/>
        <v/>
      </c>
      <c r="J63" s="58" t="str">
        <f t="shared" si="4"/>
        <v/>
      </c>
      <c r="L63" s="31" t="str">
        <f t="shared" si="5"/>
        <v/>
      </c>
      <c r="M63" s="32" t="str">
        <f t="shared" si="10"/>
        <v/>
      </c>
      <c r="N63" s="32" t="str">
        <f t="shared" si="6"/>
        <v/>
      </c>
      <c r="O63" s="32" t="str">
        <f t="shared" si="7"/>
        <v/>
      </c>
      <c r="P63" s="32" t="str">
        <f t="shared" si="11"/>
        <v/>
      </c>
      <c r="Q63" s="33" t="str">
        <f t="shared" si="11"/>
        <v/>
      </c>
    </row>
    <row r="64" spans="2:17" x14ac:dyDescent="0.25">
      <c r="B64" s="9">
        <v>51</v>
      </c>
      <c r="C64" s="35">
        <v>6500</v>
      </c>
      <c r="D64" s="3"/>
      <c r="E64" s="9" t="str">
        <f t="shared" si="0"/>
        <v/>
      </c>
      <c r="F64" s="54" t="str">
        <f t="shared" si="9"/>
        <v/>
      </c>
      <c r="G64" s="73" t="str">
        <f t="shared" si="1"/>
        <v/>
      </c>
      <c r="H64" s="56" t="str">
        <f t="shared" si="2"/>
        <v/>
      </c>
      <c r="I64" s="57" t="str">
        <f t="shared" si="3"/>
        <v/>
      </c>
      <c r="J64" s="58" t="str">
        <f t="shared" si="4"/>
        <v/>
      </c>
      <c r="L64" s="31" t="str">
        <f t="shared" si="5"/>
        <v/>
      </c>
      <c r="M64" s="32" t="str">
        <f t="shared" si="10"/>
        <v/>
      </c>
      <c r="N64" s="32" t="str">
        <f t="shared" si="6"/>
        <v/>
      </c>
      <c r="O64" s="32" t="str">
        <f t="shared" si="7"/>
        <v/>
      </c>
      <c r="P64" s="32" t="str">
        <f t="shared" si="11"/>
        <v/>
      </c>
      <c r="Q64" s="33" t="str">
        <f t="shared" si="11"/>
        <v/>
      </c>
    </row>
    <row r="65" spans="2:17" x14ac:dyDescent="0.25">
      <c r="B65" s="9">
        <v>52</v>
      </c>
      <c r="C65" s="35">
        <v>7000</v>
      </c>
      <c r="D65" s="3"/>
      <c r="E65" s="9" t="str">
        <f t="shared" si="0"/>
        <v/>
      </c>
      <c r="F65" s="54" t="str">
        <f t="shared" si="9"/>
        <v/>
      </c>
      <c r="G65" s="73" t="str">
        <f t="shared" si="1"/>
        <v/>
      </c>
      <c r="H65" s="56" t="str">
        <f t="shared" si="2"/>
        <v/>
      </c>
      <c r="I65" s="57" t="str">
        <f t="shared" si="3"/>
        <v/>
      </c>
      <c r="J65" s="58" t="str">
        <f t="shared" si="4"/>
        <v/>
      </c>
      <c r="L65" s="31" t="str">
        <f t="shared" si="5"/>
        <v/>
      </c>
      <c r="M65" s="32" t="str">
        <f t="shared" si="10"/>
        <v/>
      </c>
      <c r="N65" s="32" t="str">
        <f t="shared" si="6"/>
        <v/>
      </c>
      <c r="O65" s="32" t="str">
        <f t="shared" si="7"/>
        <v/>
      </c>
      <c r="P65" s="32" t="str">
        <f t="shared" si="11"/>
        <v/>
      </c>
      <c r="Q65" s="33" t="str">
        <f t="shared" si="11"/>
        <v/>
      </c>
    </row>
    <row r="66" spans="2:17" x14ac:dyDescent="0.25">
      <c r="B66" s="9">
        <v>53</v>
      </c>
      <c r="C66" s="35">
        <v>7500</v>
      </c>
      <c r="D66" s="3"/>
      <c r="E66" s="9" t="str">
        <f t="shared" si="0"/>
        <v/>
      </c>
      <c r="F66" s="54" t="str">
        <f t="shared" si="9"/>
        <v/>
      </c>
      <c r="G66" s="73" t="str">
        <f t="shared" si="1"/>
        <v/>
      </c>
      <c r="H66" s="56" t="str">
        <f t="shared" si="2"/>
        <v/>
      </c>
      <c r="I66" s="57" t="str">
        <f t="shared" si="3"/>
        <v/>
      </c>
      <c r="J66" s="58" t="str">
        <f t="shared" si="4"/>
        <v/>
      </c>
      <c r="L66" s="31" t="str">
        <f t="shared" si="5"/>
        <v/>
      </c>
      <c r="M66" s="32" t="str">
        <f t="shared" si="10"/>
        <v/>
      </c>
      <c r="N66" s="32" t="str">
        <f t="shared" si="6"/>
        <v/>
      </c>
      <c r="O66" s="32" t="str">
        <f t="shared" si="7"/>
        <v/>
      </c>
      <c r="P66" s="32" t="str">
        <f t="shared" si="11"/>
        <v/>
      </c>
      <c r="Q66" s="33" t="str">
        <f t="shared" si="11"/>
        <v/>
      </c>
    </row>
    <row r="67" spans="2:17" x14ac:dyDescent="0.25">
      <c r="B67" s="9">
        <v>54</v>
      </c>
      <c r="C67" s="35">
        <v>8000</v>
      </c>
      <c r="D67" s="3"/>
      <c r="E67" s="9" t="str">
        <f t="shared" si="0"/>
        <v/>
      </c>
      <c r="F67" s="54" t="str">
        <f t="shared" si="9"/>
        <v/>
      </c>
      <c r="G67" s="73" t="str">
        <f t="shared" si="1"/>
        <v/>
      </c>
      <c r="H67" s="56" t="str">
        <f t="shared" si="2"/>
        <v/>
      </c>
      <c r="I67" s="57" t="str">
        <f t="shared" si="3"/>
        <v/>
      </c>
      <c r="J67" s="58" t="str">
        <f t="shared" si="4"/>
        <v/>
      </c>
      <c r="L67" s="31" t="str">
        <f t="shared" si="5"/>
        <v/>
      </c>
      <c r="M67" s="32" t="str">
        <f t="shared" si="10"/>
        <v/>
      </c>
      <c r="N67" s="32" t="str">
        <f t="shared" si="6"/>
        <v/>
      </c>
      <c r="O67" s="32" t="str">
        <f t="shared" si="7"/>
        <v/>
      </c>
      <c r="P67" s="32" t="str">
        <f t="shared" si="11"/>
        <v/>
      </c>
      <c r="Q67" s="33" t="str">
        <f t="shared" si="11"/>
        <v/>
      </c>
    </row>
    <row r="68" spans="2:17" x14ac:dyDescent="0.25">
      <c r="B68" s="9">
        <v>55</v>
      </c>
      <c r="C68" s="35">
        <v>8500</v>
      </c>
      <c r="D68" s="3"/>
      <c r="E68" s="9" t="str">
        <f t="shared" si="0"/>
        <v/>
      </c>
      <c r="F68" s="54" t="str">
        <f t="shared" si="9"/>
        <v/>
      </c>
      <c r="G68" s="73" t="str">
        <f t="shared" si="1"/>
        <v/>
      </c>
      <c r="H68" s="56" t="str">
        <f t="shared" si="2"/>
        <v/>
      </c>
      <c r="I68" s="57" t="str">
        <f t="shared" si="3"/>
        <v/>
      </c>
      <c r="J68" s="58" t="str">
        <f t="shared" si="4"/>
        <v/>
      </c>
      <c r="L68" s="31" t="str">
        <f t="shared" si="5"/>
        <v/>
      </c>
      <c r="M68" s="32" t="str">
        <f t="shared" si="10"/>
        <v/>
      </c>
      <c r="N68" s="32" t="str">
        <f t="shared" si="6"/>
        <v/>
      </c>
      <c r="O68" s="32" t="str">
        <f t="shared" si="7"/>
        <v/>
      </c>
      <c r="P68" s="32" t="str">
        <f t="shared" si="11"/>
        <v/>
      </c>
      <c r="Q68" s="33" t="str">
        <f t="shared" si="11"/>
        <v/>
      </c>
    </row>
    <row r="69" spans="2:17" x14ac:dyDescent="0.25">
      <c r="B69" s="9">
        <v>56</v>
      </c>
      <c r="C69" s="35">
        <v>9000</v>
      </c>
      <c r="D69" s="3"/>
      <c r="E69" s="9" t="str">
        <f t="shared" si="0"/>
        <v/>
      </c>
      <c r="F69" s="54" t="str">
        <f t="shared" si="9"/>
        <v/>
      </c>
      <c r="G69" s="73" t="str">
        <f t="shared" si="1"/>
        <v/>
      </c>
      <c r="H69" s="56" t="str">
        <f t="shared" si="2"/>
        <v/>
      </c>
      <c r="I69" s="57" t="str">
        <f t="shared" si="3"/>
        <v/>
      </c>
      <c r="J69" s="58" t="str">
        <f t="shared" si="4"/>
        <v/>
      </c>
      <c r="L69" s="31" t="str">
        <f t="shared" si="5"/>
        <v/>
      </c>
      <c r="M69" s="32" t="str">
        <f t="shared" si="10"/>
        <v/>
      </c>
      <c r="N69" s="32" t="str">
        <f t="shared" si="6"/>
        <v/>
      </c>
      <c r="O69" s="32" t="str">
        <f t="shared" si="7"/>
        <v/>
      </c>
      <c r="P69" s="32" t="str">
        <f t="shared" si="11"/>
        <v/>
      </c>
      <c r="Q69" s="33" t="str">
        <f t="shared" si="11"/>
        <v/>
      </c>
    </row>
    <row r="70" spans="2:17" x14ac:dyDescent="0.25">
      <c r="B70" s="9">
        <v>57</v>
      </c>
      <c r="C70" s="35">
        <v>9500</v>
      </c>
      <c r="D70" s="3"/>
      <c r="E70" s="9" t="str">
        <f t="shared" si="0"/>
        <v/>
      </c>
      <c r="F70" s="54" t="str">
        <f t="shared" si="9"/>
        <v/>
      </c>
      <c r="G70" s="73" t="str">
        <f t="shared" si="1"/>
        <v/>
      </c>
      <c r="H70" s="56" t="str">
        <f t="shared" si="2"/>
        <v/>
      </c>
      <c r="I70" s="57" t="str">
        <f t="shared" si="3"/>
        <v/>
      </c>
      <c r="J70" s="58" t="str">
        <f t="shared" si="4"/>
        <v/>
      </c>
      <c r="L70" s="31" t="str">
        <f t="shared" si="5"/>
        <v/>
      </c>
      <c r="M70" s="32" t="str">
        <f t="shared" si="10"/>
        <v/>
      </c>
      <c r="N70" s="32" t="str">
        <f t="shared" si="6"/>
        <v/>
      </c>
      <c r="O70" s="32" t="str">
        <f t="shared" si="7"/>
        <v/>
      </c>
      <c r="P70" s="32" t="str">
        <f t="shared" si="11"/>
        <v/>
      </c>
      <c r="Q70" s="33" t="str">
        <f t="shared" si="11"/>
        <v/>
      </c>
    </row>
    <row r="71" spans="2:17" x14ac:dyDescent="0.25">
      <c r="B71" s="9">
        <v>58</v>
      </c>
      <c r="C71" s="35">
        <v>10000</v>
      </c>
      <c r="D71" s="3"/>
      <c r="E71" s="9" t="str">
        <f t="shared" si="0"/>
        <v/>
      </c>
      <c r="F71" s="54" t="str">
        <f t="shared" si="9"/>
        <v/>
      </c>
      <c r="G71" s="73" t="str">
        <f t="shared" si="1"/>
        <v/>
      </c>
      <c r="H71" s="56" t="str">
        <f t="shared" si="2"/>
        <v/>
      </c>
      <c r="I71" s="57" t="str">
        <f t="shared" si="3"/>
        <v/>
      </c>
      <c r="J71" s="58" t="str">
        <f t="shared" si="4"/>
        <v/>
      </c>
      <c r="L71" s="31" t="str">
        <f t="shared" si="5"/>
        <v/>
      </c>
      <c r="M71" s="32" t="str">
        <f t="shared" si="10"/>
        <v/>
      </c>
      <c r="N71" s="32" t="str">
        <f t="shared" si="6"/>
        <v/>
      </c>
      <c r="O71" s="32" t="str">
        <f t="shared" si="7"/>
        <v/>
      </c>
      <c r="P71" s="32" t="str">
        <f t="shared" si="11"/>
        <v/>
      </c>
      <c r="Q71" s="33" t="str">
        <f t="shared" si="11"/>
        <v/>
      </c>
    </row>
    <row r="72" spans="2:17" x14ac:dyDescent="0.25">
      <c r="B72" s="9">
        <v>59</v>
      </c>
      <c r="C72" s="35">
        <v>10500</v>
      </c>
      <c r="D72" s="3"/>
      <c r="E72" s="9" t="str">
        <f t="shared" si="0"/>
        <v/>
      </c>
      <c r="F72" s="54" t="str">
        <f t="shared" si="9"/>
        <v/>
      </c>
      <c r="G72" s="73" t="str">
        <f t="shared" si="1"/>
        <v/>
      </c>
      <c r="H72" s="56" t="str">
        <f t="shared" si="2"/>
        <v/>
      </c>
      <c r="I72" s="57" t="str">
        <f t="shared" si="3"/>
        <v/>
      </c>
      <c r="J72" s="58" t="str">
        <f t="shared" si="4"/>
        <v/>
      </c>
      <c r="L72" s="31" t="str">
        <f t="shared" si="5"/>
        <v/>
      </c>
      <c r="M72" s="32" t="str">
        <f t="shared" si="10"/>
        <v/>
      </c>
      <c r="N72" s="32" t="str">
        <f t="shared" si="6"/>
        <v/>
      </c>
      <c r="O72" s="32" t="str">
        <f t="shared" si="7"/>
        <v/>
      </c>
      <c r="P72" s="32" t="str">
        <f t="shared" si="11"/>
        <v/>
      </c>
      <c r="Q72" s="33" t="str">
        <f t="shared" si="11"/>
        <v/>
      </c>
    </row>
    <row r="73" spans="2:17" x14ac:dyDescent="0.25">
      <c r="B73" s="9">
        <v>60</v>
      </c>
      <c r="C73" s="35">
        <v>11000</v>
      </c>
      <c r="D73" s="3"/>
      <c r="E73" s="9" t="str">
        <f t="shared" si="0"/>
        <v/>
      </c>
      <c r="F73" s="54" t="str">
        <f t="shared" si="9"/>
        <v/>
      </c>
      <c r="G73" s="73" t="str">
        <f t="shared" si="1"/>
        <v/>
      </c>
      <c r="H73" s="56" t="str">
        <f t="shared" si="2"/>
        <v/>
      </c>
      <c r="I73" s="57" t="str">
        <f t="shared" si="3"/>
        <v/>
      </c>
      <c r="J73" s="58" t="str">
        <f t="shared" si="4"/>
        <v/>
      </c>
      <c r="L73" s="31" t="str">
        <f t="shared" si="5"/>
        <v/>
      </c>
      <c r="M73" s="32" t="str">
        <f t="shared" si="10"/>
        <v/>
      </c>
      <c r="N73" s="32" t="str">
        <f t="shared" si="6"/>
        <v/>
      </c>
      <c r="O73" s="32" t="str">
        <f t="shared" si="7"/>
        <v/>
      </c>
      <c r="P73" s="32" t="str">
        <f t="shared" si="11"/>
        <v/>
      </c>
      <c r="Q73" s="33" t="str">
        <f t="shared" si="11"/>
        <v/>
      </c>
    </row>
    <row r="74" spans="2:17" x14ac:dyDescent="0.25">
      <c r="B74" s="9">
        <v>61</v>
      </c>
      <c r="C74" s="35">
        <v>11500</v>
      </c>
      <c r="D74" s="3"/>
      <c r="E74" s="9" t="str">
        <f t="shared" si="0"/>
        <v/>
      </c>
      <c r="F74" s="54" t="str">
        <f t="shared" si="9"/>
        <v/>
      </c>
      <c r="G74" s="73" t="str">
        <f t="shared" si="1"/>
        <v/>
      </c>
      <c r="H74" s="56" t="str">
        <f t="shared" si="2"/>
        <v/>
      </c>
      <c r="I74" s="57" t="str">
        <f t="shared" si="3"/>
        <v/>
      </c>
      <c r="J74" s="58" t="str">
        <f t="shared" si="4"/>
        <v/>
      </c>
      <c r="L74" s="31" t="str">
        <f t="shared" si="5"/>
        <v/>
      </c>
      <c r="M74" s="32" t="str">
        <f t="shared" si="10"/>
        <v/>
      </c>
      <c r="N74" s="32" t="str">
        <f t="shared" si="6"/>
        <v/>
      </c>
      <c r="O74" s="32" t="str">
        <f t="shared" si="7"/>
        <v/>
      </c>
      <c r="P74" s="32" t="str">
        <f t="shared" si="11"/>
        <v/>
      </c>
      <c r="Q74" s="33" t="str">
        <f t="shared" si="11"/>
        <v/>
      </c>
    </row>
    <row r="75" spans="2:17" x14ac:dyDescent="0.25">
      <c r="B75" s="9">
        <v>62</v>
      </c>
      <c r="C75" s="35">
        <v>12000</v>
      </c>
      <c r="D75" s="3"/>
      <c r="E75" s="9" t="str">
        <f t="shared" si="0"/>
        <v/>
      </c>
      <c r="F75" s="54" t="str">
        <f t="shared" si="9"/>
        <v/>
      </c>
      <c r="G75" s="73" t="str">
        <f t="shared" si="1"/>
        <v/>
      </c>
      <c r="H75" s="56" t="str">
        <f t="shared" si="2"/>
        <v/>
      </c>
      <c r="I75" s="57" t="str">
        <f t="shared" si="3"/>
        <v/>
      </c>
      <c r="J75" s="58" t="str">
        <f t="shared" si="4"/>
        <v/>
      </c>
      <c r="L75" s="31" t="str">
        <f t="shared" si="5"/>
        <v/>
      </c>
      <c r="M75" s="32" t="str">
        <f t="shared" si="10"/>
        <v/>
      </c>
      <c r="N75" s="32" t="str">
        <f t="shared" si="6"/>
        <v/>
      </c>
      <c r="O75" s="32" t="str">
        <f t="shared" si="7"/>
        <v/>
      </c>
      <c r="P75" s="32" t="str">
        <f t="shared" si="11"/>
        <v/>
      </c>
      <c r="Q75" s="33" t="str">
        <f t="shared" si="11"/>
        <v/>
      </c>
    </row>
    <row r="76" spans="2:17" x14ac:dyDescent="0.25">
      <c r="B76" s="9">
        <v>63</v>
      </c>
      <c r="C76" s="35">
        <v>12500</v>
      </c>
      <c r="D76" s="3"/>
      <c r="E76" s="9" t="str">
        <f t="shared" si="0"/>
        <v/>
      </c>
      <c r="F76" s="54" t="str">
        <f t="shared" si="9"/>
        <v/>
      </c>
      <c r="G76" s="73" t="str">
        <f t="shared" si="1"/>
        <v/>
      </c>
      <c r="H76" s="56" t="str">
        <f t="shared" si="2"/>
        <v/>
      </c>
      <c r="I76" s="57" t="str">
        <f t="shared" si="3"/>
        <v/>
      </c>
      <c r="J76" s="58" t="str">
        <f t="shared" si="4"/>
        <v/>
      </c>
      <c r="L76" s="31" t="str">
        <f t="shared" si="5"/>
        <v/>
      </c>
      <c r="M76" s="32" t="str">
        <f t="shared" si="10"/>
        <v/>
      </c>
      <c r="N76" s="32" t="str">
        <f t="shared" si="6"/>
        <v/>
      </c>
      <c r="O76" s="32" t="str">
        <f t="shared" si="7"/>
        <v/>
      </c>
      <c r="P76" s="32" t="str">
        <f t="shared" si="11"/>
        <v/>
      </c>
      <c r="Q76" s="33" t="str">
        <f t="shared" si="11"/>
        <v/>
      </c>
    </row>
    <row r="77" spans="2:17" x14ac:dyDescent="0.25">
      <c r="B77" s="9">
        <v>64</v>
      </c>
      <c r="C77" s="35">
        <v>13000</v>
      </c>
      <c r="D77" s="3"/>
      <c r="E77" s="9" t="str">
        <f t="shared" si="0"/>
        <v/>
      </c>
      <c r="F77" s="54" t="str">
        <f t="shared" si="9"/>
        <v/>
      </c>
      <c r="G77" s="73" t="str">
        <f t="shared" si="1"/>
        <v/>
      </c>
      <c r="H77" s="56" t="str">
        <f t="shared" si="2"/>
        <v/>
      </c>
      <c r="I77" s="57" t="str">
        <f t="shared" si="3"/>
        <v/>
      </c>
      <c r="J77" s="58" t="str">
        <f t="shared" si="4"/>
        <v/>
      </c>
      <c r="L77" s="31" t="str">
        <f t="shared" si="5"/>
        <v/>
      </c>
      <c r="M77" s="32" t="str">
        <f t="shared" si="10"/>
        <v/>
      </c>
      <c r="N77" s="32" t="str">
        <f t="shared" si="6"/>
        <v/>
      </c>
      <c r="O77" s="32" t="str">
        <f t="shared" si="7"/>
        <v/>
      </c>
      <c r="P77" s="32" t="str">
        <f t="shared" si="11"/>
        <v/>
      </c>
      <c r="Q77" s="33" t="str">
        <f t="shared" si="11"/>
        <v/>
      </c>
    </row>
    <row r="78" spans="2:17" x14ac:dyDescent="0.25">
      <c r="B78" s="9">
        <v>65</v>
      </c>
      <c r="C78" s="35">
        <v>13500</v>
      </c>
      <c r="D78" s="3"/>
      <c r="E78" s="9" t="str">
        <f t="shared" ref="E78:E141" si="12">IF(L78="","",ROUND(12*C$7/(2*H$7^2+2*H$6*H$7-H$6^2)*L78*1000000,0))</f>
        <v/>
      </c>
      <c r="F78" s="54" t="str">
        <f t="shared" si="9"/>
        <v/>
      </c>
      <c r="G78" s="73" t="str">
        <f t="shared" ref="G78:G141" si="13">IF(L78="","",ROUND(1.5*((N78-O78)*1000*H$7)/(C$6*C$7^2),3))</f>
        <v/>
      </c>
      <c r="H78" s="56" t="str">
        <f t="shared" ref="H78:H141" si="14">IF(L78="","",ROUND(1.5*((N78/2-O78)*1000*H$7)/(C$6*C$7^2),3))</f>
        <v/>
      </c>
      <c r="I78" s="57" t="str">
        <f t="shared" ref="I78:I141" si="15">IF(L78="","",IF(P78&lt;=0,"foute meting",ROUND(0.000001*V$4*SQRT((1000000*Q78)^2+(1000000*P78+V$5*(2*PI()*H$5)^2)^2),0)))</f>
        <v/>
      </c>
      <c r="J78" s="58" t="str">
        <f t="shared" ref="J78:J141" si="16">IF(L78="","",ROUND(ATAN(Q78/P78)/PI()*180,1))</f>
        <v/>
      </c>
      <c r="L78" s="31" t="str">
        <f t="shared" ref="L78:L141" si="17">IF(AG80&lt;=0,"",AG80)</f>
        <v/>
      </c>
      <c r="M78" s="32" t="str">
        <f t="shared" si="10"/>
        <v/>
      </c>
      <c r="N78" s="32" t="str">
        <f t="shared" ref="N78:N141" si="18">IF(AI80="","",AI80)</f>
        <v/>
      </c>
      <c r="O78" s="32" t="str">
        <f t="shared" ref="O78:O141" si="19">IF(AH80="","",AH80)</f>
        <v/>
      </c>
      <c r="P78" s="32" t="str">
        <f t="shared" ref="P78:Q109" si="20">IF(AJ80="","",AJ80)</f>
        <v/>
      </c>
      <c r="Q78" s="33" t="str">
        <f t="shared" si="20"/>
        <v/>
      </c>
    </row>
    <row r="79" spans="2:17" x14ac:dyDescent="0.25">
      <c r="B79" s="9">
        <v>66</v>
      </c>
      <c r="C79" s="35">
        <v>14000</v>
      </c>
      <c r="D79" s="3"/>
      <c r="E79" s="9" t="str">
        <f t="shared" si="12"/>
        <v/>
      </c>
      <c r="F79" s="54" t="str">
        <f t="shared" ref="F79:F142" si="21">IF(L79="","",ABS(ROUND(12*C$7/(2*(H$7/1000)^2+2*(H$6/1000)*(H$7/1000)-(H$6/1000)^2)*(M79-M$14)*1,0)))</f>
        <v/>
      </c>
      <c r="G79" s="73" t="str">
        <f t="shared" si="13"/>
        <v/>
      </c>
      <c r="H79" s="56" t="str">
        <f t="shared" si="14"/>
        <v/>
      </c>
      <c r="I79" s="57" t="str">
        <f t="shared" si="15"/>
        <v/>
      </c>
      <c r="J79" s="58" t="str">
        <f t="shared" si="16"/>
        <v/>
      </c>
      <c r="L79" s="31" t="str">
        <f t="shared" si="17"/>
        <v/>
      </c>
      <c r="M79" s="32" t="str">
        <f t="shared" ref="M79:M142" si="22">IF(AG81="","",AG81/2-AE81)</f>
        <v/>
      </c>
      <c r="N79" s="32" t="str">
        <f t="shared" si="18"/>
        <v/>
      </c>
      <c r="O79" s="32" t="str">
        <f t="shared" si="19"/>
        <v/>
      </c>
      <c r="P79" s="32" t="str">
        <f t="shared" si="20"/>
        <v/>
      </c>
      <c r="Q79" s="33" t="str">
        <f t="shared" si="20"/>
        <v/>
      </c>
    </row>
    <row r="80" spans="2:17" x14ac:dyDescent="0.25">
      <c r="B80" s="9">
        <v>67</v>
      </c>
      <c r="C80" s="35">
        <v>14500</v>
      </c>
      <c r="D80" s="3"/>
      <c r="E80" s="9" t="str">
        <f t="shared" si="12"/>
        <v/>
      </c>
      <c r="F80" s="54" t="str">
        <f t="shared" si="21"/>
        <v/>
      </c>
      <c r="G80" s="73" t="str">
        <f t="shared" si="13"/>
        <v/>
      </c>
      <c r="H80" s="56" t="str">
        <f t="shared" si="14"/>
        <v/>
      </c>
      <c r="I80" s="57" t="str">
        <f t="shared" si="15"/>
        <v/>
      </c>
      <c r="J80" s="58" t="str">
        <f t="shared" si="16"/>
        <v/>
      </c>
      <c r="L80" s="31" t="str">
        <f t="shared" si="17"/>
        <v/>
      </c>
      <c r="M80" s="32" t="str">
        <f t="shared" si="22"/>
        <v/>
      </c>
      <c r="N80" s="32" t="str">
        <f t="shared" si="18"/>
        <v/>
      </c>
      <c r="O80" s="32" t="str">
        <f t="shared" si="19"/>
        <v/>
      </c>
      <c r="P80" s="32" t="str">
        <f t="shared" si="20"/>
        <v/>
      </c>
      <c r="Q80" s="33" t="str">
        <f t="shared" si="20"/>
        <v/>
      </c>
    </row>
    <row r="81" spans="2:17" x14ac:dyDescent="0.25">
      <c r="B81" s="9">
        <v>68</v>
      </c>
      <c r="C81" s="35">
        <v>15000</v>
      </c>
      <c r="D81" s="3"/>
      <c r="E81" s="9" t="str">
        <f t="shared" si="12"/>
        <v/>
      </c>
      <c r="F81" s="54" t="str">
        <f t="shared" si="21"/>
        <v/>
      </c>
      <c r="G81" s="73" t="str">
        <f t="shared" si="13"/>
        <v/>
      </c>
      <c r="H81" s="56" t="str">
        <f t="shared" si="14"/>
        <v/>
      </c>
      <c r="I81" s="57" t="str">
        <f t="shared" si="15"/>
        <v/>
      </c>
      <c r="J81" s="58" t="str">
        <f t="shared" si="16"/>
        <v/>
      </c>
      <c r="L81" s="31" t="str">
        <f t="shared" si="17"/>
        <v/>
      </c>
      <c r="M81" s="32" t="str">
        <f t="shared" si="22"/>
        <v/>
      </c>
      <c r="N81" s="32" t="str">
        <f t="shared" si="18"/>
        <v/>
      </c>
      <c r="O81" s="32" t="str">
        <f t="shared" si="19"/>
        <v/>
      </c>
      <c r="P81" s="32" t="str">
        <f t="shared" si="20"/>
        <v/>
      </c>
      <c r="Q81" s="33" t="str">
        <f t="shared" si="20"/>
        <v/>
      </c>
    </row>
    <row r="82" spans="2:17" x14ac:dyDescent="0.25">
      <c r="B82" s="9">
        <v>69</v>
      </c>
      <c r="C82" s="35">
        <v>15500</v>
      </c>
      <c r="D82" s="3"/>
      <c r="E82" s="9" t="str">
        <f t="shared" si="12"/>
        <v/>
      </c>
      <c r="F82" s="54" t="str">
        <f t="shared" si="21"/>
        <v/>
      </c>
      <c r="G82" s="73" t="str">
        <f t="shared" si="13"/>
        <v/>
      </c>
      <c r="H82" s="56" t="str">
        <f t="shared" si="14"/>
        <v/>
      </c>
      <c r="I82" s="57" t="str">
        <f t="shared" si="15"/>
        <v/>
      </c>
      <c r="J82" s="58" t="str">
        <f t="shared" si="16"/>
        <v/>
      </c>
      <c r="L82" s="31" t="str">
        <f t="shared" si="17"/>
        <v/>
      </c>
      <c r="M82" s="32" t="str">
        <f t="shared" si="22"/>
        <v/>
      </c>
      <c r="N82" s="32" t="str">
        <f t="shared" si="18"/>
        <v/>
      </c>
      <c r="O82" s="32" t="str">
        <f t="shared" si="19"/>
        <v/>
      </c>
      <c r="P82" s="32" t="str">
        <f t="shared" si="20"/>
        <v/>
      </c>
      <c r="Q82" s="33" t="str">
        <f t="shared" si="20"/>
        <v/>
      </c>
    </row>
    <row r="83" spans="2:17" x14ac:dyDescent="0.25">
      <c r="B83" s="9">
        <v>70</v>
      </c>
      <c r="C83" s="35">
        <v>16000</v>
      </c>
      <c r="D83" s="3"/>
      <c r="E83" s="9" t="str">
        <f t="shared" si="12"/>
        <v/>
      </c>
      <c r="F83" s="54" t="str">
        <f t="shared" si="21"/>
        <v/>
      </c>
      <c r="G83" s="73" t="str">
        <f t="shared" si="13"/>
        <v/>
      </c>
      <c r="H83" s="56" t="str">
        <f t="shared" si="14"/>
        <v/>
      </c>
      <c r="I83" s="57" t="str">
        <f t="shared" si="15"/>
        <v/>
      </c>
      <c r="J83" s="58" t="str">
        <f t="shared" si="16"/>
        <v/>
      </c>
      <c r="L83" s="31" t="str">
        <f t="shared" si="17"/>
        <v/>
      </c>
      <c r="M83" s="32" t="str">
        <f t="shared" si="22"/>
        <v/>
      </c>
      <c r="N83" s="32" t="str">
        <f t="shared" si="18"/>
        <v/>
      </c>
      <c r="O83" s="32" t="str">
        <f t="shared" si="19"/>
        <v/>
      </c>
      <c r="P83" s="32" t="str">
        <f t="shared" si="20"/>
        <v/>
      </c>
      <c r="Q83" s="33" t="str">
        <f t="shared" si="20"/>
        <v/>
      </c>
    </row>
    <row r="84" spans="2:17" x14ac:dyDescent="0.25">
      <c r="B84" s="9">
        <v>71</v>
      </c>
      <c r="C84" s="35">
        <v>16500</v>
      </c>
      <c r="D84" s="3"/>
      <c r="E84" s="9" t="str">
        <f t="shared" si="12"/>
        <v/>
      </c>
      <c r="F84" s="54" t="str">
        <f t="shared" si="21"/>
        <v/>
      </c>
      <c r="G84" s="73" t="str">
        <f t="shared" si="13"/>
        <v/>
      </c>
      <c r="H84" s="56" t="str">
        <f t="shared" si="14"/>
        <v/>
      </c>
      <c r="I84" s="57" t="str">
        <f t="shared" si="15"/>
        <v/>
      </c>
      <c r="J84" s="58" t="str">
        <f t="shared" si="16"/>
        <v/>
      </c>
      <c r="L84" s="31" t="str">
        <f t="shared" si="17"/>
        <v/>
      </c>
      <c r="M84" s="32" t="str">
        <f t="shared" si="22"/>
        <v/>
      </c>
      <c r="N84" s="32" t="str">
        <f t="shared" si="18"/>
        <v/>
      </c>
      <c r="O84" s="32" t="str">
        <f t="shared" si="19"/>
        <v/>
      </c>
      <c r="P84" s="32" t="str">
        <f t="shared" si="20"/>
        <v/>
      </c>
      <c r="Q84" s="33" t="str">
        <f t="shared" si="20"/>
        <v/>
      </c>
    </row>
    <row r="85" spans="2:17" x14ac:dyDescent="0.25">
      <c r="B85" s="9">
        <v>72</v>
      </c>
      <c r="C85" s="35">
        <v>17000</v>
      </c>
      <c r="D85" s="3"/>
      <c r="E85" s="9" t="str">
        <f t="shared" si="12"/>
        <v/>
      </c>
      <c r="F85" s="54" t="str">
        <f t="shared" si="21"/>
        <v/>
      </c>
      <c r="G85" s="73" t="str">
        <f t="shared" si="13"/>
        <v/>
      </c>
      <c r="H85" s="56" t="str">
        <f t="shared" si="14"/>
        <v/>
      </c>
      <c r="I85" s="57" t="str">
        <f t="shared" si="15"/>
        <v/>
      </c>
      <c r="J85" s="58" t="str">
        <f t="shared" si="16"/>
        <v/>
      </c>
      <c r="L85" s="31" t="str">
        <f t="shared" si="17"/>
        <v/>
      </c>
      <c r="M85" s="32" t="str">
        <f t="shared" si="22"/>
        <v/>
      </c>
      <c r="N85" s="32" t="str">
        <f t="shared" si="18"/>
        <v/>
      </c>
      <c r="O85" s="32" t="str">
        <f t="shared" si="19"/>
        <v/>
      </c>
      <c r="P85" s="32" t="str">
        <f t="shared" si="20"/>
        <v/>
      </c>
      <c r="Q85" s="33" t="str">
        <f t="shared" si="20"/>
        <v/>
      </c>
    </row>
    <row r="86" spans="2:17" x14ac:dyDescent="0.25">
      <c r="B86" s="9">
        <v>73</v>
      </c>
      <c r="C86" s="35">
        <v>17500</v>
      </c>
      <c r="D86" s="3"/>
      <c r="E86" s="9" t="str">
        <f t="shared" si="12"/>
        <v/>
      </c>
      <c r="F86" s="54" t="str">
        <f t="shared" si="21"/>
        <v/>
      </c>
      <c r="G86" s="73" t="str">
        <f t="shared" si="13"/>
        <v/>
      </c>
      <c r="H86" s="56" t="str">
        <f t="shared" si="14"/>
        <v/>
      </c>
      <c r="I86" s="57" t="str">
        <f t="shared" si="15"/>
        <v/>
      </c>
      <c r="J86" s="58" t="str">
        <f t="shared" si="16"/>
        <v/>
      </c>
      <c r="L86" s="31" t="str">
        <f t="shared" si="17"/>
        <v/>
      </c>
      <c r="M86" s="32" t="str">
        <f t="shared" si="22"/>
        <v/>
      </c>
      <c r="N86" s="32" t="str">
        <f t="shared" si="18"/>
        <v/>
      </c>
      <c r="O86" s="32" t="str">
        <f t="shared" si="19"/>
        <v/>
      </c>
      <c r="P86" s="32" t="str">
        <f t="shared" si="20"/>
        <v/>
      </c>
      <c r="Q86" s="33" t="str">
        <f t="shared" si="20"/>
        <v/>
      </c>
    </row>
    <row r="87" spans="2:17" x14ac:dyDescent="0.25">
      <c r="B87" s="9">
        <v>74</v>
      </c>
      <c r="C87" s="35">
        <v>18000</v>
      </c>
      <c r="D87" s="3"/>
      <c r="E87" s="9" t="str">
        <f t="shared" si="12"/>
        <v/>
      </c>
      <c r="F87" s="54" t="str">
        <f t="shared" si="21"/>
        <v/>
      </c>
      <c r="G87" s="73" t="str">
        <f t="shared" si="13"/>
        <v/>
      </c>
      <c r="H87" s="56" t="str">
        <f t="shared" si="14"/>
        <v/>
      </c>
      <c r="I87" s="57" t="str">
        <f t="shared" si="15"/>
        <v/>
      </c>
      <c r="J87" s="58" t="str">
        <f t="shared" si="16"/>
        <v/>
      </c>
      <c r="L87" s="31" t="str">
        <f t="shared" si="17"/>
        <v/>
      </c>
      <c r="M87" s="32" t="str">
        <f t="shared" si="22"/>
        <v/>
      </c>
      <c r="N87" s="32" t="str">
        <f t="shared" si="18"/>
        <v/>
      </c>
      <c r="O87" s="32" t="str">
        <f t="shared" si="19"/>
        <v/>
      </c>
      <c r="P87" s="32" t="str">
        <f t="shared" si="20"/>
        <v/>
      </c>
      <c r="Q87" s="33" t="str">
        <f t="shared" si="20"/>
        <v/>
      </c>
    </row>
    <row r="88" spans="2:17" x14ac:dyDescent="0.25">
      <c r="B88" s="9">
        <v>75</v>
      </c>
      <c r="C88" s="35">
        <v>18500</v>
      </c>
      <c r="D88" s="3"/>
      <c r="E88" s="9" t="str">
        <f t="shared" si="12"/>
        <v/>
      </c>
      <c r="F88" s="54" t="str">
        <f t="shared" si="21"/>
        <v/>
      </c>
      <c r="G88" s="73" t="str">
        <f t="shared" si="13"/>
        <v/>
      </c>
      <c r="H88" s="56" t="str">
        <f t="shared" si="14"/>
        <v/>
      </c>
      <c r="I88" s="57" t="str">
        <f t="shared" si="15"/>
        <v/>
      </c>
      <c r="J88" s="58" t="str">
        <f t="shared" si="16"/>
        <v/>
      </c>
      <c r="L88" s="31" t="str">
        <f t="shared" si="17"/>
        <v/>
      </c>
      <c r="M88" s="32" t="str">
        <f t="shared" si="22"/>
        <v/>
      </c>
      <c r="N88" s="32" t="str">
        <f t="shared" si="18"/>
        <v/>
      </c>
      <c r="O88" s="32" t="str">
        <f t="shared" si="19"/>
        <v/>
      </c>
      <c r="P88" s="32" t="str">
        <f t="shared" si="20"/>
        <v/>
      </c>
      <c r="Q88" s="33" t="str">
        <f t="shared" si="20"/>
        <v/>
      </c>
    </row>
    <row r="89" spans="2:17" x14ac:dyDescent="0.25">
      <c r="B89" s="9">
        <v>76</v>
      </c>
      <c r="C89" s="35">
        <v>19000</v>
      </c>
      <c r="D89" s="3"/>
      <c r="E89" s="9" t="str">
        <f t="shared" si="12"/>
        <v/>
      </c>
      <c r="F89" s="54" t="str">
        <f t="shared" si="21"/>
        <v/>
      </c>
      <c r="G89" s="73" t="str">
        <f t="shared" si="13"/>
        <v/>
      </c>
      <c r="H89" s="56" t="str">
        <f t="shared" si="14"/>
        <v/>
      </c>
      <c r="I89" s="57" t="str">
        <f t="shared" si="15"/>
        <v/>
      </c>
      <c r="J89" s="58" t="str">
        <f t="shared" si="16"/>
        <v/>
      </c>
      <c r="L89" s="31" t="str">
        <f t="shared" si="17"/>
        <v/>
      </c>
      <c r="M89" s="32" t="str">
        <f t="shared" si="22"/>
        <v/>
      </c>
      <c r="N89" s="32" t="str">
        <f t="shared" si="18"/>
        <v/>
      </c>
      <c r="O89" s="32" t="str">
        <f t="shared" si="19"/>
        <v/>
      </c>
      <c r="P89" s="32" t="str">
        <f t="shared" si="20"/>
        <v/>
      </c>
      <c r="Q89" s="33" t="str">
        <f t="shared" si="20"/>
        <v/>
      </c>
    </row>
    <row r="90" spans="2:17" x14ac:dyDescent="0.25">
      <c r="B90" s="9">
        <v>77</v>
      </c>
      <c r="C90" s="35">
        <v>19500</v>
      </c>
      <c r="D90" s="3"/>
      <c r="E90" s="9" t="str">
        <f t="shared" si="12"/>
        <v/>
      </c>
      <c r="F90" s="54" t="str">
        <f t="shared" si="21"/>
        <v/>
      </c>
      <c r="G90" s="73" t="str">
        <f t="shared" si="13"/>
        <v/>
      </c>
      <c r="H90" s="56" t="str">
        <f t="shared" si="14"/>
        <v/>
      </c>
      <c r="I90" s="57" t="str">
        <f t="shared" si="15"/>
        <v/>
      </c>
      <c r="J90" s="58" t="str">
        <f t="shared" si="16"/>
        <v/>
      </c>
      <c r="L90" s="31" t="str">
        <f t="shared" si="17"/>
        <v/>
      </c>
      <c r="M90" s="32" t="str">
        <f t="shared" si="22"/>
        <v/>
      </c>
      <c r="N90" s="32" t="str">
        <f t="shared" si="18"/>
        <v/>
      </c>
      <c r="O90" s="32" t="str">
        <f t="shared" si="19"/>
        <v/>
      </c>
      <c r="P90" s="32" t="str">
        <f t="shared" si="20"/>
        <v/>
      </c>
      <c r="Q90" s="33" t="str">
        <f t="shared" si="20"/>
        <v/>
      </c>
    </row>
    <row r="91" spans="2:17" x14ac:dyDescent="0.25">
      <c r="B91" s="9">
        <v>78</v>
      </c>
      <c r="C91" s="35">
        <v>20000</v>
      </c>
      <c r="D91" s="3"/>
      <c r="E91" s="9" t="str">
        <f t="shared" si="12"/>
        <v/>
      </c>
      <c r="F91" s="54" t="str">
        <f t="shared" si="21"/>
        <v/>
      </c>
      <c r="G91" s="73" t="str">
        <f t="shared" si="13"/>
        <v/>
      </c>
      <c r="H91" s="56" t="str">
        <f t="shared" si="14"/>
        <v/>
      </c>
      <c r="I91" s="57" t="str">
        <f t="shared" si="15"/>
        <v/>
      </c>
      <c r="J91" s="58" t="str">
        <f t="shared" si="16"/>
        <v/>
      </c>
      <c r="L91" s="31" t="str">
        <f t="shared" si="17"/>
        <v/>
      </c>
      <c r="M91" s="32" t="str">
        <f t="shared" si="22"/>
        <v/>
      </c>
      <c r="N91" s="32" t="str">
        <f t="shared" si="18"/>
        <v/>
      </c>
      <c r="O91" s="32" t="str">
        <f t="shared" si="19"/>
        <v/>
      </c>
      <c r="P91" s="32" t="str">
        <f t="shared" si="20"/>
        <v/>
      </c>
      <c r="Q91" s="33" t="str">
        <f t="shared" si="20"/>
        <v/>
      </c>
    </row>
    <row r="92" spans="2:17" x14ac:dyDescent="0.25">
      <c r="B92" s="9">
        <v>79</v>
      </c>
      <c r="C92" s="35">
        <v>20500</v>
      </c>
      <c r="D92" s="3"/>
      <c r="E92" s="9" t="str">
        <f t="shared" si="12"/>
        <v/>
      </c>
      <c r="F92" s="54" t="str">
        <f t="shared" si="21"/>
        <v/>
      </c>
      <c r="G92" s="73" t="str">
        <f t="shared" si="13"/>
        <v/>
      </c>
      <c r="H92" s="56" t="str">
        <f t="shared" si="14"/>
        <v/>
      </c>
      <c r="I92" s="57" t="str">
        <f t="shared" si="15"/>
        <v/>
      </c>
      <c r="J92" s="58" t="str">
        <f t="shared" si="16"/>
        <v/>
      </c>
      <c r="L92" s="31" t="str">
        <f t="shared" si="17"/>
        <v/>
      </c>
      <c r="M92" s="32" t="str">
        <f t="shared" si="22"/>
        <v/>
      </c>
      <c r="N92" s="32" t="str">
        <f t="shared" si="18"/>
        <v/>
      </c>
      <c r="O92" s="32" t="str">
        <f t="shared" si="19"/>
        <v/>
      </c>
      <c r="P92" s="32" t="str">
        <f t="shared" si="20"/>
        <v/>
      </c>
      <c r="Q92" s="33" t="str">
        <f t="shared" si="20"/>
        <v/>
      </c>
    </row>
    <row r="93" spans="2:17" x14ac:dyDescent="0.25">
      <c r="B93" s="9">
        <v>80</v>
      </c>
      <c r="C93" s="35">
        <v>21000</v>
      </c>
      <c r="D93" s="3"/>
      <c r="E93" s="9" t="str">
        <f t="shared" si="12"/>
        <v/>
      </c>
      <c r="F93" s="54" t="str">
        <f t="shared" si="21"/>
        <v/>
      </c>
      <c r="G93" s="73" t="str">
        <f t="shared" si="13"/>
        <v/>
      </c>
      <c r="H93" s="56" t="str">
        <f t="shared" si="14"/>
        <v/>
      </c>
      <c r="I93" s="57" t="str">
        <f t="shared" si="15"/>
        <v/>
      </c>
      <c r="J93" s="58" t="str">
        <f t="shared" si="16"/>
        <v/>
      </c>
      <c r="L93" s="31" t="str">
        <f t="shared" si="17"/>
        <v/>
      </c>
      <c r="M93" s="32" t="str">
        <f t="shared" si="22"/>
        <v/>
      </c>
      <c r="N93" s="32" t="str">
        <f t="shared" si="18"/>
        <v/>
      </c>
      <c r="O93" s="32" t="str">
        <f t="shared" si="19"/>
        <v/>
      </c>
      <c r="P93" s="32" t="str">
        <f t="shared" si="20"/>
        <v/>
      </c>
      <c r="Q93" s="33" t="str">
        <f t="shared" si="20"/>
        <v/>
      </c>
    </row>
    <row r="94" spans="2:17" x14ac:dyDescent="0.25">
      <c r="B94" s="9">
        <v>81</v>
      </c>
      <c r="C94" s="35">
        <v>21500</v>
      </c>
      <c r="D94" s="3"/>
      <c r="E94" s="9" t="str">
        <f t="shared" si="12"/>
        <v/>
      </c>
      <c r="F94" s="54" t="str">
        <f t="shared" si="21"/>
        <v/>
      </c>
      <c r="G94" s="73" t="str">
        <f t="shared" si="13"/>
        <v/>
      </c>
      <c r="H94" s="56" t="str">
        <f t="shared" si="14"/>
        <v/>
      </c>
      <c r="I94" s="57" t="str">
        <f t="shared" si="15"/>
        <v/>
      </c>
      <c r="J94" s="58" t="str">
        <f t="shared" si="16"/>
        <v/>
      </c>
      <c r="L94" s="31" t="str">
        <f t="shared" si="17"/>
        <v/>
      </c>
      <c r="M94" s="32" t="str">
        <f t="shared" si="22"/>
        <v/>
      </c>
      <c r="N94" s="32" t="str">
        <f t="shared" si="18"/>
        <v/>
      </c>
      <c r="O94" s="32" t="str">
        <f t="shared" si="19"/>
        <v/>
      </c>
      <c r="P94" s="32" t="str">
        <f t="shared" si="20"/>
        <v/>
      </c>
      <c r="Q94" s="33" t="str">
        <f t="shared" si="20"/>
        <v/>
      </c>
    </row>
    <row r="95" spans="2:17" x14ac:dyDescent="0.25">
      <c r="B95" s="9">
        <v>82</v>
      </c>
      <c r="C95" s="35">
        <v>22000</v>
      </c>
      <c r="D95" s="3"/>
      <c r="E95" s="9" t="str">
        <f t="shared" si="12"/>
        <v/>
      </c>
      <c r="F95" s="54" t="str">
        <f t="shared" si="21"/>
        <v/>
      </c>
      <c r="G95" s="73" t="str">
        <f t="shared" si="13"/>
        <v/>
      </c>
      <c r="H95" s="56" t="str">
        <f t="shared" si="14"/>
        <v/>
      </c>
      <c r="I95" s="57" t="str">
        <f t="shared" si="15"/>
        <v/>
      </c>
      <c r="J95" s="58" t="str">
        <f t="shared" si="16"/>
        <v/>
      </c>
      <c r="L95" s="31" t="str">
        <f t="shared" si="17"/>
        <v/>
      </c>
      <c r="M95" s="32" t="str">
        <f t="shared" si="22"/>
        <v/>
      </c>
      <c r="N95" s="32" t="str">
        <f t="shared" si="18"/>
        <v/>
      </c>
      <c r="O95" s="32" t="str">
        <f t="shared" si="19"/>
        <v/>
      </c>
      <c r="P95" s="32" t="str">
        <f t="shared" si="20"/>
        <v/>
      </c>
      <c r="Q95" s="33" t="str">
        <f t="shared" si="20"/>
        <v/>
      </c>
    </row>
    <row r="96" spans="2:17" x14ac:dyDescent="0.25">
      <c r="B96" s="9">
        <v>83</v>
      </c>
      <c r="C96" s="35">
        <v>22500</v>
      </c>
      <c r="D96" s="3"/>
      <c r="E96" s="9" t="str">
        <f t="shared" si="12"/>
        <v/>
      </c>
      <c r="F96" s="54" t="str">
        <f t="shared" si="21"/>
        <v/>
      </c>
      <c r="G96" s="73" t="str">
        <f t="shared" si="13"/>
        <v/>
      </c>
      <c r="H96" s="56" t="str">
        <f t="shared" si="14"/>
        <v/>
      </c>
      <c r="I96" s="57" t="str">
        <f t="shared" si="15"/>
        <v/>
      </c>
      <c r="J96" s="58" t="str">
        <f t="shared" si="16"/>
        <v/>
      </c>
      <c r="L96" s="31" t="str">
        <f t="shared" si="17"/>
        <v/>
      </c>
      <c r="M96" s="32" t="str">
        <f t="shared" si="22"/>
        <v/>
      </c>
      <c r="N96" s="32" t="str">
        <f t="shared" si="18"/>
        <v/>
      </c>
      <c r="O96" s="32" t="str">
        <f t="shared" si="19"/>
        <v/>
      </c>
      <c r="P96" s="32" t="str">
        <f t="shared" si="20"/>
        <v/>
      </c>
      <c r="Q96" s="33" t="str">
        <f t="shared" si="20"/>
        <v/>
      </c>
    </row>
    <row r="97" spans="2:17" x14ac:dyDescent="0.25">
      <c r="B97" s="9">
        <v>84</v>
      </c>
      <c r="C97" s="35">
        <v>23000</v>
      </c>
      <c r="D97" s="3"/>
      <c r="E97" s="9" t="str">
        <f t="shared" si="12"/>
        <v/>
      </c>
      <c r="F97" s="54" t="str">
        <f t="shared" si="21"/>
        <v/>
      </c>
      <c r="G97" s="73" t="str">
        <f t="shared" si="13"/>
        <v/>
      </c>
      <c r="H97" s="56" t="str">
        <f t="shared" si="14"/>
        <v/>
      </c>
      <c r="I97" s="57" t="str">
        <f t="shared" si="15"/>
        <v/>
      </c>
      <c r="J97" s="58" t="str">
        <f t="shared" si="16"/>
        <v/>
      </c>
      <c r="L97" s="31" t="str">
        <f t="shared" si="17"/>
        <v/>
      </c>
      <c r="M97" s="32" t="str">
        <f t="shared" si="22"/>
        <v/>
      </c>
      <c r="N97" s="32" t="str">
        <f t="shared" si="18"/>
        <v/>
      </c>
      <c r="O97" s="32" t="str">
        <f t="shared" si="19"/>
        <v/>
      </c>
      <c r="P97" s="32" t="str">
        <f t="shared" si="20"/>
        <v/>
      </c>
      <c r="Q97" s="33" t="str">
        <f t="shared" si="20"/>
        <v/>
      </c>
    </row>
    <row r="98" spans="2:17" x14ac:dyDescent="0.25">
      <c r="B98" s="9">
        <v>85</v>
      </c>
      <c r="C98" s="35">
        <v>23500</v>
      </c>
      <c r="D98" s="3"/>
      <c r="E98" s="9" t="str">
        <f t="shared" si="12"/>
        <v/>
      </c>
      <c r="F98" s="54" t="str">
        <f t="shared" si="21"/>
        <v/>
      </c>
      <c r="G98" s="73" t="str">
        <f t="shared" si="13"/>
        <v/>
      </c>
      <c r="H98" s="56" t="str">
        <f t="shared" si="14"/>
        <v/>
      </c>
      <c r="I98" s="57" t="str">
        <f t="shared" si="15"/>
        <v/>
      </c>
      <c r="J98" s="58" t="str">
        <f t="shared" si="16"/>
        <v/>
      </c>
      <c r="L98" s="31" t="str">
        <f t="shared" si="17"/>
        <v/>
      </c>
      <c r="M98" s="32" t="str">
        <f t="shared" si="22"/>
        <v/>
      </c>
      <c r="N98" s="32" t="str">
        <f t="shared" si="18"/>
        <v/>
      </c>
      <c r="O98" s="32" t="str">
        <f t="shared" si="19"/>
        <v/>
      </c>
      <c r="P98" s="32" t="str">
        <f t="shared" si="20"/>
        <v/>
      </c>
      <c r="Q98" s="33" t="str">
        <f t="shared" si="20"/>
        <v/>
      </c>
    </row>
    <row r="99" spans="2:17" x14ac:dyDescent="0.25">
      <c r="B99" s="9">
        <v>86</v>
      </c>
      <c r="C99" s="35">
        <v>24000</v>
      </c>
      <c r="D99" s="3"/>
      <c r="E99" s="9" t="str">
        <f t="shared" si="12"/>
        <v/>
      </c>
      <c r="F99" s="54" t="str">
        <f t="shared" si="21"/>
        <v/>
      </c>
      <c r="G99" s="73" t="str">
        <f t="shared" si="13"/>
        <v/>
      </c>
      <c r="H99" s="56" t="str">
        <f t="shared" si="14"/>
        <v/>
      </c>
      <c r="I99" s="57" t="str">
        <f t="shared" si="15"/>
        <v/>
      </c>
      <c r="J99" s="58" t="str">
        <f t="shared" si="16"/>
        <v/>
      </c>
      <c r="L99" s="31" t="str">
        <f t="shared" si="17"/>
        <v/>
      </c>
      <c r="M99" s="32" t="str">
        <f t="shared" si="22"/>
        <v/>
      </c>
      <c r="N99" s="32" t="str">
        <f t="shared" si="18"/>
        <v/>
      </c>
      <c r="O99" s="32" t="str">
        <f t="shared" si="19"/>
        <v/>
      </c>
      <c r="P99" s="32" t="str">
        <f t="shared" si="20"/>
        <v/>
      </c>
      <c r="Q99" s="33" t="str">
        <f t="shared" si="20"/>
        <v/>
      </c>
    </row>
    <row r="100" spans="2:17" x14ac:dyDescent="0.25">
      <c r="B100" s="9">
        <v>87</v>
      </c>
      <c r="C100" s="35">
        <v>24500</v>
      </c>
      <c r="D100" s="3"/>
      <c r="E100" s="9" t="str">
        <f t="shared" si="12"/>
        <v/>
      </c>
      <c r="F100" s="54" t="str">
        <f t="shared" si="21"/>
        <v/>
      </c>
      <c r="G100" s="73" t="str">
        <f t="shared" si="13"/>
        <v/>
      </c>
      <c r="H100" s="56" t="str">
        <f t="shared" si="14"/>
        <v/>
      </c>
      <c r="I100" s="57" t="str">
        <f t="shared" si="15"/>
        <v/>
      </c>
      <c r="J100" s="58" t="str">
        <f t="shared" si="16"/>
        <v/>
      </c>
      <c r="L100" s="31" t="str">
        <f t="shared" si="17"/>
        <v/>
      </c>
      <c r="M100" s="32" t="str">
        <f t="shared" si="22"/>
        <v/>
      </c>
      <c r="N100" s="32" t="str">
        <f t="shared" si="18"/>
        <v/>
      </c>
      <c r="O100" s="32" t="str">
        <f t="shared" si="19"/>
        <v/>
      </c>
      <c r="P100" s="32" t="str">
        <f t="shared" si="20"/>
        <v/>
      </c>
      <c r="Q100" s="33" t="str">
        <f t="shared" si="20"/>
        <v/>
      </c>
    </row>
    <row r="101" spans="2:17" x14ac:dyDescent="0.25">
      <c r="B101" s="9">
        <v>88</v>
      </c>
      <c r="C101" s="35">
        <v>25000</v>
      </c>
      <c r="D101" s="3"/>
      <c r="E101" s="9" t="str">
        <f t="shared" si="12"/>
        <v/>
      </c>
      <c r="F101" s="54" t="str">
        <f t="shared" si="21"/>
        <v/>
      </c>
      <c r="G101" s="73" t="str">
        <f t="shared" si="13"/>
        <v/>
      </c>
      <c r="H101" s="56" t="str">
        <f t="shared" si="14"/>
        <v/>
      </c>
      <c r="I101" s="57" t="str">
        <f t="shared" si="15"/>
        <v/>
      </c>
      <c r="J101" s="58" t="str">
        <f t="shared" si="16"/>
        <v/>
      </c>
      <c r="L101" s="31" t="str">
        <f t="shared" si="17"/>
        <v/>
      </c>
      <c r="M101" s="32" t="str">
        <f t="shared" si="22"/>
        <v/>
      </c>
      <c r="N101" s="32" t="str">
        <f t="shared" si="18"/>
        <v/>
      </c>
      <c r="O101" s="32" t="str">
        <f t="shared" si="19"/>
        <v/>
      </c>
      <c r="P101" s="32" t="str">
        <f t="shared" si="20"/>
        <v/>
      </c>
      <c r="Q101" s="33" t="str">
        <f t="shared" si="20"/>
        <v/>
      </c>
    </row>
    <row r="102" spans="2:17" x14ac:dyDescent="0.25">
      <c r="B102" s="9">
        <v>89</v>
      </c>
      <c r="C102" s="35">
        <v>25500</v>
      </c>
      <c r="D102" s="3"/>
      <c r="E102" s="9" t="str">
        <f t="shared" si="12"/>
        <v/>
      </c>
      <c r="F102" s="54" t="str">
        <f t="shared" si="21"/>
        <v/>
      </c>
      <c r="G102" s="73" t="str">
        <f t="shared" si="13"/>
        <v/>
      </c>
      <c r="H102" s="56" t="str">
        <f t="shared" si="14"/>
        <v/>
      </c>
      <c r="I102" s="57" t="str">
        <f t="shared" si="15"/>
        <v/>
      </c>
      <c r="J102" s="58" t="str">
        <f t="shared" si="16"/>
        <v/>
      </c>
      <c r="L102" s="31" t="str">
        <f t="shared" si="17"/>
        <v/>
      </c>
      <c r="M102" s="32" t="str">
        <f t="shared" si="22"/>
        <v/>
      </c>
      <c r="N102" s="32" t="str">
        <f t="shared" si="18"/>
        <v/>
      </c>
      <c r="O102" s="32" t="str">
        <f t="shared" si="19"/>
        <v/>
      </c>
      <c r="P102" s="32" t="str">
        <f t="shared" si="20"/>
        <v/>
      </c>
      <c r="Q102" s="33" t="str">
        <f t="shared" si="20"/>
        <v/>
      </c>
    </row>
    <row r="103" spans="2:17" x14ac:dyDescent="0.25">
      <c r="B103" s="9">
        <v>90</v>
      </c>
      <c r="C103" s="35">
        <v>26000</v>
      </c>
      <c r="D103" s="3"/>
      <c r="E103" s="9" t="str">
        <f t="shared" si="12"/>
        <v/>
      </c>
      <c r="F103" s="54" t="str">
        <f t="shared" si="21"/>
        <v/>
      </c>
      <c r="G103" s="73" t="str">
        <f t="shared" si="13"/>
        <v/>
      </c>
      <c r="H103" s="56" t="str">
        <f t="shared" si="14"/>
        <v/>
      </c>
      <c r="I103" s="57" t="str">
        <f t="shared" si="15"/>
        <v/>
      </c>
      <c r="J103" s="58" t="str">
        <f t="shared" si="16"/>
        <v/>
      </c>
      <c r="L103" s="31" t="str">
        <f t="shared" si="17"/>
        <v/>
      </c>
      <c r="M103" s="32" t="str">
        <f t="shared" si="22"/>
        <v/>
      </c>
      <c r="N103" s="32" t="str">
        <f t="shared" si="18"/>
        <v/>
      </c>
      <c r="O103" s="32" t="str">
        <f t="shared" si="19"/>
        <v/>
      </c>
      <c r="P103" s="32" t="str">
        <f t="shared" si="20"/>
        <v/>
      </c>
      <c r="Q103" s="33" t="str">
        <f t="shared" si="20"/>
        <v/>
      </c>
    </row>
    <row r="104" spans="2:17" x14ac:dyDescent="0.25">
      <c r="B104" s="9">
        <v>91</v>
      </c>
      <c r="C104" s="35">
        <v>26500</v>
      </c>
      <c r="D104" s="3"/>
      <c r="E104" s="9" t="str">
        <f t="shared" si="12"/>
        <v/>
      </c>
      <c r="F104" s="54" t="str">
        <f t="shared" si="21"/>
        <v/>
      </c>
      <c r="G104" s="73" t="str">
        <f t="shared" si="13"/>
        <v/>
      </c>
      <c r="H104" s="56" t="str">
        <f t="shared" si="14"/>
        <v/>
      </c>
      <c r="I104" s="57" t="str">
        <f t="shared" si="15"/>
        <v/>
      </c>
      <c r="J104" s="58" t="str">
        <f t="shared" si="16"/>
        <v/>
      </c>
      <c r="L104" s="31" t="str">
        <f t="shared" si="17"/>
        <v/>
      </c>
      <c r="M104" s="32" t="str">
        <f t="shared" si="22"/>
        <v/>
      </c>
      <c r="N104" s="32" t="str">
        <f t="shared" si="18"/>
        <v/>
      </c>
      <c r="O104" s="32" t="str">
        <f t="shared" si="19"/>
        <v/>
      </c>
      <c r="P104" s="32" t="str">
        <f t="shared" si="20"/>
        <v/>
      </c>
      <c r="Q104" s="33" t="str">
        <f t="shared" si="20"/>
        <v/>
      </c>
    </row>
    <row r="105" spans="2:17" x14ac:dyDescent="0.25">
      <c r="B105" s="9">
        <v>92</v>
      </c>
      <c r="C105" s="35">
        <v>27000</v>
      </c>
      <c r="D105" s="3"/>
      <c r="E105" s="9" t="str">
        <f t="shared" si="12"/>
        <v/>
      </c>
      <c r="F105" s="54" t="str">
        <f t="shared" si="21"/>
        <v/>
      </c>
      <c r="G105" s="73" t="str">
        <f t="shared" si="13"/>
        <v/>
      </c>
      <c r="H105" s="56" t="str">
        <f t="shared" si="14"/>
        <v/>
      </c>
      <c r="I105" s="57" t="str">
        <f t="shared" si="15"/>
        <v/>
      </c>
      <c r="J105" s="58" t="str">
        <f t="shared" si="16"/>
        <v/>
      </c>
      <c r="L105" s="31" t="str">
        <f t="shared" si="17"/>
        <v/>
      </c>
      <c r="M105" s="32" t="str">
        <f t="shared" si="22"/>
        <v/>
      </c>
      <c r="N105" s="32" t="str">
        <f t="shared" si="18"/>
        <v/>
      </c>
      <c r="O105" s="32" t="str">
        <f t="shared" si="19"/>
        <v/>
      </c>
      <c r="P105" s="32" t="str">
        <f t="shared" si="20"/>
        <v/>
      </c>
      <c r="Q105" s="33" t="str">
        <f t="shared" si="20"/>
        <v/>
      </c>
    </row>
    <row r="106" spans="2:17" x14ac:dyDescent="0.25">
      <c r="B106" s="9">
        <v>93</v>
      </c>
      <c r="C106" s="35">
        <v>27500</v>
      </c>
      <c r="D106" s="3"/>
      <c r="E106" s="9" t="str">
        <f t="shared" si="12"/>
        <v/>
      </c>
      <c r="F106" s="54" t="str">
        <f t="shared" si="21"/>
        <v/>
      </c>
      <c r="G106" s="73" t="str">
        <f t="shared" si="13"/>
        <v/>
      </c>
      <c r="H106" s="56" t="str">
        <f t="shared" si="14"/>
        <v/>
      </c>
      <c r="I106" s="57" t="str">
        <f t="shared" si="15"/>
        <v/>
      </c>
      <c r="J106" s="58" t="str">
        <f t="shared" si="16"/>
        <v/>
      </c>
      <c r="L106" s="31" t="str">
        <f t="shared" si="17"/>
        <v/>
      </c>
      <c r="M106" s="32" t="str">
        <f t="shared" si="22"/>
        <v/>
      </c>
      <c r="N106" s="32" t="str">
        <f t="shared" si="18"/>
        <v/>
      </c>
      <c r="O106" s="32" t="str">
        <f t="shared" si="19"/>
        <v/>
      </c>
      <c r="P106" s="32" t="str">
        <f t="shared" si="20"/>
        <v/>
      </c>
      <c r="Q106" s="33" t="str">
        <f t="shared" si="20"/>
        <v/>
      </c>
    </row>
    <row r="107" spans="2:17" x14ac:dyDescent="0.25">
      <c r="B107" s="9">
        <v>94</v>
      </c>
      <c r="C107" s="35">
        <v>28000</v>
      </c>
      <c r="D107" s="3"/>
      <c r="E107" s="9" t="str">
        <f t="shared" si="12"/>
        <v/>
      </c>
      <c r="F107" s="54" t="str">
        <f t="shared" si="21"/>
        <v/>
      </c>
      <c r="G107" s="73" t="str">
        <f t="shared" si="13"/>
        <v/>
      </c>
      <c r="H107" s="56" t="str">
        <f t="shared" si="14"/>
        <v/>
      </c>
      <c r="I107" s="57" t="str">
        <f t="shared" si="15"/>
        <v/>
      </c>
      <c r="J107" s="58" t="str">
        <f t="shared" si="16"/>
        <v/>
      </c>
      <c r="L107" s="31" t="str">
        <f t="shared" si="17"/>
        <v/>
      </c>
      <c r="M107" s="32" t="str">
        <f t="shared" si="22"/>
        <v/>
      </c>
      <c r="N107" s="32" t="str">
        <f t="shared" si="18"/>
        <v/>
      </c>
      <c r="O107" s="32" t="str">
        <f t="shared" si="19"/>
        <v/>
      </c>
      <c r="P107" s="32" t="str">
        <f t="shared" si="20"/>
        <v/>
      </c>
      <c r="Q107" s="33" t="str">
        <f t="shared" si="20"/>
        <v/>
      </c>
    </row>
    <row r="108" spans="2:17" x14ac:dyDescent="0.25">
      <c r="B108" s="9">
        <v>95</v>
      </c>
      <c r="C108" s="35">
        <v>28500</v>
      </c>
      <c r="D108" s="3"/>
      <c r="E108" s="9" t="str">
        <f t="shared" si="12"/>
        <v/>
      </c>
      <c r="F108" s="54" t="str">
        <f t="shared" si="21"/>
        <v/>
      </c>
      <c r="G108" s="73" t="str">
        <f t="shared" si="13"/>
        <v/>
      </c>
      <c r="H108" s="56" t="str">
        <f t="shared" si="14"/>
        <v/>
      </c>
      <c r="I108" s="57" t="str">
        <f t="shared" si="15"/>
        <v/>
      </c>
      <c r="J108" s="58" t="str">
        <f t="shared" si="16"/>
        <v/>
      </c>
      <c r="L108" s="31" t="str">
        <f t="shared" si="17"/>
        <v/>
      </c>
      <c r="M108" s="32" t="str">
        <f t="shared" si="22"/>
        <v/>
      </c>
      <c r="N108" s="32" t="str">
        <f t="shared" si="18"/>
        <v/>
      </c>
      <c r="O108" s="32" t="str">
        <f t="shared" si="19"/>
        <v/>
      </c>
      <c r="P108" s="32" t="str">
        <f t="shared" si="20"/>
        <v/>
      </c>
      <c r="Q108" s="33" t="str">
        <f t="shared" si="20"/>
        <v/>
      </c>
    </row>
    <row r="109" spans="2:17" x14ac:dyDescent="0.25">
      <c r="B109" s="9">
        <v>96</v>
      </c>
      <c r="C109" s="35">
        <v>29000</v>
      </c>
      <c r="D109" s="3"/>
      <c r="E109" s="9" t="str">
        <f t="shared" si="12"/>
        <v/>
      </c>
      <c r="F109" s="54" t="str">
        <f t="shared" si="21"/>
        <v/>
      </c>
      <c r="G109" s="73" t="str">
        <f t="shared" si="13"/>
        <v/>
      </c>
      <c r="H109" s="56" t="str">
        <f t="shared" si="14"/>
        <v/>
      </c>
      <c r="I109" s="57" t="str">
        <f t="shared" si="15"/>
        <v/>
      </c>
      <c r="J109" s="58" t="str">
        <f t="shared" si="16"/>
        <v/>
      </c>
      <c r="L109" s="31" t="str">
        <f t="shared" si="17"/>
        <v/>
      </c>
      <c r="M109" s="32" t="str">
        <f t="shared" si="22"/>
        <v/>
      </c>
      <c r="N109" s="32" t="str">
        <f t="shared" si="18"/>
        <v/>
      </c>
      <c r="O109" s="32" t="str">
        <f t="shared" si="19"/>
        <v/>
      </c>
      <c r="P109" s="32" t="str">
        <f t="shared" si="20"/>
        <v/>
      </c>
      <c r="Q109" s="33" t="str">
        <f t="shared" si="20"/>
        <v/>
      </c>
    </row>
    <row r="110" spans="2:17" x14ac:dyDescent="0.25">
      <c r="B110" s="9">
        <v>97</v>
      </c>
      <c r="C110" s="35">
        <v>29500</v>
      </c>
      <c r="D110" s="3"/>
      <c r="E110" s="9" t="str">
        <f t="shared" si="12"/>
        <v/>
      </c>
      <c r="F110" s="54" t="str">
        <f t="shared" si="21"/>
        <v/>
      </c>
      <c r="G110" s="73" t="str">
        <f t="shared" si="13"/>
        <v/>
      </c>
      <c r="H110" s="56" t="str">
        <f t="shared" si="14"/>
        <v/>
      </c>
      <c r="I110" s="57" t="str">
        <f t="shared" si="15"/>
        <v/>
      </c>
      <c r="J110" s="58" t="str">
        <f t="shared" si="16"/>
        <v/>
      </c>
      <c r="L110" s="31" t="str">
        <f t="shared" si="17"/>
        <v/>
      </c>
      <c r="M110" s="32" t="str">
        <f t="shared" si="22"/>
        <v/>
      </c>
      <c r="N110" s="32" t="str">
        <f t="shared" si="18"/>
        <v/>
      </c>
      <c r="O110" s="32" t="str">
        <f t="shared" si="19"/>
        <v/>
      </c>
      <c r="P110" s="32" t="str">
        <f t="shared" ref="P110:Q141" si="23">IF(AJ112="","",AJ112)</f>
        <v/>
      </c>
      <c r="Q110" s="33" t="str">
        <f t="shared" si="23"/>
        <v/>
      </c>
    </row>
    <row r="111" spans="2:17" x14ac:dyDescent="0.25">
      <c r="B111" s="9">
        <v>98</v>
      </c>
      <c r="C111" s="35">
        <v>30000</v>
      </c>
      <c r="D111" s="3"/>
      <c r="E111" s="9" t="str">
        <f t="shared" si="12"/>
        <v/>
      </c>
      <c r="F111" s="54" t="str">
        <f t="shared" si="21"/>
        <v/>
      </c>
      <c r="G111" s="73" t="str">
        <f t="shared" si="13"/>
        <v/>
      </c>
      <c r="H111" s="56" t="str">
        <f t="shared" si="14"/>
        <v/>
      </c>
      <c r="I111" s="57" t="str">
        <f t="shared" si="15"/>
        <v/>
      </c>
      <c r="J111" s="58" t="str">
        <f t="shared" si="16"/>
        <v/>
      </c>
      <c r="L111" s="31" t="str">
        <f t="shared" si="17"/>
        <v/>
      </c>
      <c r="M111" s="32" t="str">
        <f t="shared" si="22"/>
        <v/>
      </c>
      <c r="N111" s="32" t="str">
        <f t="shared" si="18"/>
        <v/>
      </c>
      <c r="O111" s="32" t="str">
        <f t="shared" si="19"/>
        <v/>
      </c>
      <c r="P111" s="32" t="str">
        <f t="shared" si="23"/>
        <v/>
      </c>
      <c r="Q111" s="33" t="str">
        <f t="shared" si="23"/>
        <v/>
      </c>
    </row>
    <row r="112" spans="2:17" x14ac:dyDescent="0.25">
      <c r="B112" s="9">
        <v>99</v>
      </c>
      <c r="C112" s="35">
        <v>30500</v>
      </c>
      <c r="D112" s="3"/>
      <c r="E112" s="9" t="str">
        <f t="shared" si="12"/>
        <v/>
      </c>
      <c r="F112" s="54" t="str">
        <f t="shared" si="21"/>
        <v/>
      </c>
      <c r="G112" s="73" t="str">
        <f t="shared" si="13"/>
        <v/>
      </c>
      <c r="H112" s="56" t="str">
        <f t="shared" si="14"/>
        <v/>
      </c>
      <c r="I112" s="57" t="str">
        <f t="shared" si="15"/>
        <v/>
      </c>
      <c r="J112" s="58" t="str">
        <f t="shared" si="16"/>
        <v/>
      </c>
      <c r="L112" s="31" t="str">
        <f t="shared" si="17"/>
        <v/>
      </c>
      <c r="M112" s="32" t="str">
        <f t="shared" si="22"/>
        <v/>
      </c>
      <c r="N112" s="32" t="str">
        <f t="shared" si="18"/>
        <v/>
      </c>
      <c r="O112" s="32" t="str">
        <f t="shared" si="19"/>
        <v/>
      </c>
      <c r="P112" s="32" t="str">
        <f t="shared" si="23"/>
        <v/>
      </c>
      <c r="Q112" s="33" t="str">
        <f t="shared" si="23"/>
        <v/>
      </c>
    </row>
    <row r="113" spans="2:17" x14ac:dyDescent="0.25">
      <c r="B113" s="9">
        <v>100</v>
      </c>
      <c r="C113" s="35">
        <v>31000</v>
      </c>
      <c r="D113" s="3"/>
      <c r="E113" s="9" t="str">
        <f t="shared" si="12"/>
        <v/>
      </c>
      <c r="F113" s="54" t="str">
        <f t="shared" si="21"/>
        <v/>
      </c>
      <c r="G113" s="73" t="str">
        <f t="shared" si="13"/>
        <v/>
      </c>
      <c r="H113" s="56" t="str">
        <f t="shared" si="14"/>
        <v/>
      </c>
      <c r="I113" s="57" t="str">
        <f t="shared" si="15"/>
        <v/>
      </c>
      <c r="J113" s="58" t="str">
        <f t="shared" si="16"/>
        <v/>
      </c>
      <c r="L113" s="31" t="str">
        <f t="shared" si="17"/>
        <v/>
      </c>
      <c r="M113" s="32" t="str">
        <f t="shared" si="22"/>
        <v/>
      </c>
      <c r="N113" s="32" t="str">
        <f t="shared" si="18"/>
        <v/>
      </c>
      <c r="O113" s="32" t="str">
        <f t="shared" si="19"/>
        <v/>
      </c>
      <c r="P113" s="32" t="str">
        <f t="shared" si="23"/>
        <v/>
      </c>
      <c r="Q113" s="33" t="str">
        <f t="shared" si="23"/>
        <v/>
      </c>
    </row>
    <row r="114" spans="2:17" x14ac:dyDescent="0.25">
      <c r="B114" s="9">
        <v>101</v>
      </c>
      <c r="C114" s="35">
        <v>31500</v>
      </c>
      <c r="D114" s="3"/>
      <c r="E114" s="9" t="str">
        <f t="shared" si="12"/>
        <v/>
      </c>
      <c r="F114" s="54" t="str">
        <f t="shared" si="21"/>
        <v/>
      </c>
      <c r="G114" s="73" t="str">
        <f t="shared" si="13"/>
        <v/>
      </c>
      <c r="H114" s="56" t="str">
        <f t="shared" si="14"/>
        <v/>
      </c>
      <c r="I114" s="57" t="str">
        <f t="shared" si="15"/>
        <v/>
      </c>
      <c r="J114" s="58" t="str">
        <f t="shared" si="16"/>
        <v/>
      </c>
      <c r="L114" s="31" t="str">
        <f t="shared" si="17"/>
        <v/>
      </c>
      <c r="M114" s="32" t="str">
        <f t="shared" si="22"/>
        <v/>
      </c>
      <c r="N114" s="32" t="str">
        <f t="shared" si="18"/>
        <v/>
      </c>
      <c r="O114" s="32" t="str">
        <f t="shared" si="19"/>
        <v/>
      </c>
      <c r="P114" s="32" t="str">
        <f t="shared" si="23"/>
        <v/>
      </c>
      <c r="Q114" s="33" t="str">
        <f t="shared" si="23"/>
        <v/>
      </c>
    </row>
    <row r="115" spans="2:17" x14ac:dyDescent="0.25">
      <c r="B115" s="9">
        <v>102</v>
      </c>
      <c r="C115" s="35">
        <v>32000</v>
      </c>
      <c r="D115" s="3"/>
      <c r="E115" s="9" t="str">
        <f t="shared" si="12"/>
        <v/>
      </c>
      <c r="F115" s="54" t="str">
        <f t="shared" si="21"/>
        <v/>
      </c>
      <c r="G115" s="73" t="str">
        <f t="shared" si="13"/>
        <v/>
      </c>
      <c r="H115" s="56" t="str">
        <f t="shared" si="14"/>
        <v/>
      </c>
      <c r="I115" s="57" t="str">
        <f t="shared" si="15"/>
        <v/>
      </c>
      <c r="J115" s="58" t="str">
        <f t="shared" si="16"/>
        <v/>
      </c>
      <c r="L115" s="31" t="str">
        <f t="shared" si="17"/>
        <v/>
      </c>
      <c r="M115" s="32" t="str">
        <f t="shared" si="22"/>
        <v/>
      </c>
      <c r="N115" s="32" t="str">
        <f t="shared" si="18"/>
        <v/>
      </c>
      <c r="O115" s="32" t="str">
        <f t="shared" si="19"/>
        <v/>
      </c>
      <c r="P115" s="32" t="str">
        <f t="shared" si="23"/>
        <v/>
      </c>
      <c r="Q115" s="33" t="str">
        <f t="shared" si="23"/>
        <v/>
      </c>
    </row>
    <row r="116" spans="2:17" x14ac:dyDescent="0.25">
      <c r="B116" s="9">
        <v>103</v>
      </c>
      <c r="C116" s="35">
        <v>32500</v>
      </c>
      <c r="D116" s="3"/>
      <c r="E116" s="9" t="str">
        <f t="shared" si="12"/>
        <v/>
      </c>
      <c r="F116" s="54" t="str">
        <f t="shared" si="21"/>
        <v/>
      </c>
      <c r="G116" s="73" t="str">
        <f t="shared" si="13"/>
        <v/>
      </c>
      <c r="H116" s="56" t="str">
        <f t="shared" si="14"/>
        <v/>
      </c>
      <c r="I116" s="57" t="str">
        <f t="shared" si="15"/>
        <v/>
      </c>
      <c r="J116" s="58" t="str">
        <f t="shared" si="16"/>
        <v/>
      </c>
      <c r="L116" s="31" t="str">
        <f t="shared" si="17"/>
        <v/>
      </c>
      <c r="M116" s="32" t="str">
        <f t="shared" si="22"/>
        <v/>
      </c>
      <c r="N116" s="32" t="str">
        <f t="shared" si="18"/>
        <v/>
      </c>
      <c r="O116" s="32" t="str">
        <f t="shared" si="19"/>
        <v/>
      </c>
      <c r="P116" s="32" t="str">
        <f t="shared" si="23"/>
        <v/>
      </c>
      <c r="Q116" s="33" t="str">
        <f t="shared" si="23"/>
        <v/>
      </c>
    </row>
    <row r="117" spans="2:17" x14ac:dyDescent="0.25">
      <c r="B117" s="9">
        <v>104</v>
      </c>
      <c r="C117" s="35">
        <v>33000</v>
      </c>
      <c r="D117" s="3"/>
      <c r="E117" s="9" t="str">
        <f t="shared" si="12"/>
        <v/>
      </c>
      <c r="F117" s="54" t="str">
        <f t="shared" si="21"/>
        <v/>
      </c>
      <c r="G117" s="73" t="str">
        <f t="shared" si="13"/>
        <v/>
      </c>
      <c r="H117" s="56" t="str">
        <f t="shared" si="14"/>
        <v/>
      </c>
      <c r="I117" s="57" t="str">
        <f t="shared" si="15"/>
        <v/>
      </c>
      <c r="J117" s="58" t="str">
        <f t="shared" si="16"/>
        <v/>
      </c>
      <c r="L117" s="31" t="str">
        <f t="shared" si="17"/>
        <v/>
      </c>
      <c r="M117" s="32" t="str">
        <f t="shared" si="22"/>
        <v/>
      </c>
      <c r="N117" s="32" t="str">
        <f t="shared" si="18"/>
        <v/>
      </c>
      <c r="O117" s="32" t="str">
        <f t="shared" si="19"/>
        <v/>
      </c>
      <c r="P117" s="32" t="str">
        <f t="shared" si="23"/>
        <v/>
      </c>
      <c r="Q117" s="33" t="str">
        <f t="shared" si="23"/>
        <v/>
      </c>
    </row>
    <row r="118" spans="2:17" x14ac:dyDescent="0.25">
      <c r="B118" s="9">
        <v>105</v>
      </c>
      <c r="C118" s="35">
        <v>33500</v>
      </c>
      <c r="D118" s="3"/>
      <c r="E118" s="9" t="str">
        <f t="shared" si="12"/>
        <v/>
      </c>
      <c r="F118" s="54" t="str">
        <f t="shared" si="21"/>
        <v/>
      </c>
      <c r="G118" s="73" t="str">
        <f t="shared" si="13"/>
        <v/>
      </c>
      <c r="H118" s="56" t="str">
        <f t="shared" si="14"/>
        <v/>
      </c>
      <c r="I118" s="57" t="str">
        <f t="shared" si="15"/>
        <v/>
      </c>
      <c r="J118" s="58" t="str">
        <f t="shared" si="16"/>
        <v/>
      </c>
      <c r="L118" s="31" t="str">
        <f t="shared" si="17"/>
        <v/>
      </c>
      <c r="M118" s="32" t="str">
        <f t="shared" si="22"/>
        <v/>
      </c>
      <c r="N118" s="32" t="str">
        <f t="shared" si="18"/>
        <v/>
      </c>
      <c r="O118" s="32" t="str">
        <f t="shared" si="19"/>
        <v/>
      </c>
      <c r="P118" s="32" t="str">
        <f t="shared" si="23"/>
        <v/>
      </c>
      <c r="Q118" s="33" t="str">
        <f t="shared" si="23"/>
        <v/>
      </c>
    </row>
    <row r="119" spans="2:17" x14ac:dyDescent="0.25">
      <c r="B119" s="9">
        <v>106</v>
      </c>
      <c r="C119" s="35">
        <v>34000</v>
      </c>
      <c r="D119" s="3"/>
      <c r="E119" s="9" t="str">
        <f t="shared" si="12"/>
        <v/>
      </c>
      <c r="F119" s="54" t="str">
        <f t="shared" si="21"/>
        <v/>
      </c>
      <c r="G119" s="73" t="str">
        <f t="shared" si="13"/>
        <v/>
      </c>
      <c r="H119" s="56" t="str">
        <f t="shared" si="14"/>
        <v/>
      </c>
      <c r="I119" s="57" t="str">
        <f t="shared" si="15"/>
        <v/>
      </c>
      <c r="J119" s="58" t="str">
        <f t="shared" si="16"/>
        <v/>
      </c>
      <c r="L119" s="31" t="str">
        <f t="shared" si="17"/>
        <v/>
      </c>
      <c r="M119" s="32" t="str">
        <f t="shared" si="22"/>
        <v/>
      </c>
      <c r="N119" s="32" t="str">
        <f t="shared" si="18"/>
        <v/>
      </c>
      <c r="O119" s="32" t="str">
        <f t="shared" si="19"/>
        <v/>
      </c>
      <c r="P119" s="32" t="str">
        <f t="shared" si="23"/>
        <v/>
      </c>
      <c r="Q119" s="33" t="str">
        <f t="shared" si="23"/>
        <v/>
      </c>
    </row>
    <row r="120" spans="2:17" x14ac:dyDescent="0.25">
      <c r="B120" s="9">
        <v>107</v>
      </c>
      <c r="C120" s="35">
        <v>34500</v>
      </c>
      <c r="D120" s="3"/>
      <c r="E120" s="9" t="str">
        <f t="shared" si="12"/>
        <v/>
      </c>
      <c r="F120" s="54" t="str">
        <f t="shared" si="21"/>
        <v/>
      </c>
      <c r="G120" s="73" t="str">
        <f t="shared" si="13"/>
        <v/>
      </c>
      <c r="H120" s="56" t="str">
        <f t="shared" si="14"/>
        <v/>
      </c>
      <c r="I120" s="57" t="str">
        <f t="shared" si="15"/>
        <v/>
      </c>
      <c r="J120" s="58" t="str">
        <f t="shared" si="16"/>
        <v/>
      </c>
      <c r="L120" s="31" t="str">
        <f t="shared" si="17"/>
        <v/>
      </c>
      <c r="M120" s="32" t="str">
        <f t="shared" si="22"/>
        <v/>
      </c>
      <c r="N120" s="32" t="str">
        <f t="shared" si="18"/>
        <v/>
      </c>
      <c r="O120" s="32" t="str">
        <f t="shared" si="19"/>
        <v/>
      </c>
      <c r="P120" s="32" t="str">
        <f t="shared" si="23"/>
        <v/>
      </c>
      <c r="Q120" s="33" t="str">
        <f t="shared" si="23"/>
        <v/>
      </c>
    </row>
    <row r="121" spans="2:17" x14ac:dyDescent="0.25">
      <c r="B121" s="9">
        <v>108</v>
      </c>
      <c r="C121" s="35">
        <v>35000</v>
      </c>
      <c r="D121" s="3"/>
      <c r="E121" s="9" t="str">
        <f t="shared" si="12"/>
        <v/>
      </c>
      <c r="F121" s="54" t="str">
        <f t="shared" si="21"/>
        <v/>
      </c>
      <c r="G121" s="73" t="str">
        <f t="shared" si="13"/>
        <v/>
      </c>
      <c r="H121" s="56" t="str">
        <f t="shared" si="14"/>
        <v/>
      </c>
      <c r="I121" s="57" t="str">
        <f t="shared" si="15"/>
        <v/>
      </c>
      <c r="J121" s="58" t="str">
        <f t="shared" si="16"/>
        <v/>
      </c>
      <c r="L121" s="31" t="str">
        <f t="shared" si="17"/>
        <v/>
      </c>
      <c r="M121" s="32" t="str">
        <f t="shared" si="22"/>
        <v/>
      </c>
      <c r="N121" s="32" t="str">
        <f t="shared" si="18"/>
        <v/>
      </c>
      <c r="O121" s="32" t="str">
        <f t="shared" si="19"/>
        <v/>
      </c>
      <c r="P121" s="32" t="str">
        <f t="shared" si="23"/>
        <v/>
      </c>
      <c r="Q121" s="33" t="str">
        <f t="shared" si="23"/>
        <v/>
      </c>
    </row>
    <row r="122" spans="2:17" x14ac:dyDescent="0.25">
      <c r="B122" s="9">
        <v>109</v>
      </c>
      <c r="C122" s="35">
        <v>35500</v>
      </c>
      <c r="D122" s="3"/>
      <c r="E122" s="9" t="str">
        <f t="shared" si="12"/>
        <v/>
      </c>
      <c r="F122" s="54" t="str">
        <f t="shared" si="21"/>
        <v/>
      </c>
      <c r="G122" s="73" t="str">
        <f t="shared" si="13"/>
        <v/>
      </c>
      <c r="H122" s="56" t="str">
        <f t="shared" si="14"/>
        <v/>
      </c>
      <c r="I122" s="57" t="str">
        <f t="shared" si="15"/>
        <v/>
      </c>
      <c r="J122" s="58" t="str">
        <f t="shared" si="16"/>
        <v/>
      </c>
      <c r="L122" s="31" t="str">
        <f t="shared" si="17"/>
        <v/>
      </c>
      <c r="M122" s="32" t="str">
        <f t="shared" si="22"/>
        <v/>
      </c>
      <c r="N122" s="32" t="str">
        <f t="shared" si="18"/>
        <v/>
      </c>
      <c r="O122" s="32" t="str">
        <f t="shared" si="19"/>
        <v/>
      </c>
      <c r="P122" s="32" t="str">
        <f t="shared" si="23"/>
        <v/>
      </c>
      <c r="Q122" s="33" t="str">
        <f t="shared" si="23"/>
        <v/>
      </c>
    </row>
    <row r="123" spans="2:17" x14ac:dyDescent="0.25">
      <c r="B123" s="9">
        <v>110</v>
      </c>
      <c r="C123" s="35">
        <v>36000</v>
      </c>
      <c r="D123" s="3"/>
      <c r="E123" s="9" t="str">
        <f t="shared" si="12"/>
        <v/>
      </c>
      <c r="F123" s="54" t="str">
        <f t="shared" si="21"/>
        <v/>
      </c>
      <c r="G123" s="73" t="str">
        <f t="shared" si="13"/>
        <v/>
      </c>
      <c r="H123" s="56" t="str">
        <f t="shared" si="14"/>
        <v/>
      </c>
      <c r="I123" s="57" t="str">
        <f t="shared" si="15"/>
        <v/>
      </c>
      <c r="J123" s="58" t="str">
        <f t="shared" si="16"/>
        <v/>
      </c>
      <c r="L123" s="31" t="str">
        <f t="shared" si="17"/>
        <v/>
      </c>
      <c r="M123" s="32" t="str">
        <f t="shared" si="22"/>
        <v/>
      </c>
      <c r="N123" s="32" t="str">
        <f t="shared" si="18"/>
        <v/>
      </c>
      <c r="O123" s="32" t="str">
        <f t="shared" si="19"/>
        <v/>
      </c>
      <c r="P123" s="32" t="str">
        <f t="shared" si="23"/>
        <v/>
      </c>
      <c r="Q123" s="33" t="str">
        <f t="shared" si="23"/>
        <v/>
      </c>
    </row>
    <row r="124" spans="2:17" x14ac:dyDescent="0.25">
      <c r="B124" s="9">
        <v>111</v>
      </c>
      <c r="C124" s="35">
        <v>36500</v>
      </c>
      <c r="D124" s="3"/>
      <c r="E124" s="9" t="str">
        <f t="shared" si="12"/>
        <v/>
      </c>
      <c r="F124" s="54" t="str">
        <f t="shared" si="21"/>
        <v/>
      </c>
      <c r="G124" s="73" t="str">
        <f t="shared" si="13"/>
        <v/>
      </c>
      <c r="H124" s="56" t="str">
        <f t="shared" si="14"/>
        <v/>
      </c>
      <c r="I124" s="57" t="str">
        <f t="shared" si="15"/>
        <v/>
      </c>
      <c r="J124" s="58" t="str">
        <f t="shared" si="16"/>
        <v/>
      </c>
      <c r="L124" s="31" t="str">
        <f t="shared" si="17"/>
        <v/>
      </c>
      <c r="M124" s="32" t="str">
        <f t="shared" si="22"/>
        <v/>
      </c>
      <c r="N124" s="32" t="str">
        <f t="shared" si="18"/>
        <v/>
      </c>
      <c r="O124" s="32" t="str">
        <f t="shared" si="19"/>
        <v/>
      </c>
      <c r="P124" s="32" t="str">
        <f t="shared" si="23"/>
        <v/>
      </c>
      <c r="Q124" s="33" t="str">
        <f t="shared" si="23"/>
        <v/>
      </c>
    </row>
    <row r="125" spans="2:17" x14ac:dyDescent="0.25">
      <c r="B125" s="9">
        <v>112</v>
      </c>
      <c r="C125" s="35">
        <v>37000</v>
      </c>
      <c r="D125" s="3"/>
      <c r="E125" s="9" t="str">
        <f t="shared" si="12"/>
        <v/>
      </c>
      <c r="F125" s="54" t="str">
        <f t="shared" si="21"/>
        <v/>
      </c>
      <c r="G125" s="73" t="str">
        <f t="shared" si="13"/>
        <v/>
      </c>
      <c r="H125" s="56" t="str">
        <f t="shared" si="14"/>
        <v/>
      </c>
      <c r="I125" s="57" t="str">
        <f t="shared" si="15"/>
        <v/>
      </c>
      <c r="J125" s="58" t="str">
        <f t="shared" si="16"/>
        <v/>
      </c>
      <c r="L125" s="31" t="str">
        <f t="shared" si="17"/>
        <v/>
      </c>
      <c r="M125" s="32" t="str">
        <f t="shared" si="22"/>
        <v/>
      </c>
      <c r="N125" s="32" t="str">
        <f t="shared" si="18"/>
        <v/>
      </c>
      <c r="O125" s="32" t="str">
        <f t="shared" si="19"/>
        <v/>
      </c>
      <c r="P125" s="32" t="str">
        <f t="shared" si="23"/>
        <v/>
      </c>
      <c r="Q125" s="33" t="str">
        <f t="shared" si="23"/>
        <v/>
      </c>
    </row>
    <row r="126" spans="2:17" x14ac:dyDescent="0.25">
      <c r="B126" s="9">
        <v>113</v>
      </c>
      <c r="C126" s="35">
        <v>37500</v>
      </c>
      <c r="D126" s="3"/>
      <c r="E126" s="9" t="str">
        <f t="shared" si="12"/>
        <v/>
      </c>
      <c r="F126" s="54" t="str">
        <f t="shared" si="21"/>
        <v/>
      </c>
      <c r="G126" s="73" t="str">
        <f t="shared" si="13"/>
        <v/>
      </c>
      <c r="H126" s="56" t="str">
        <f t="shared" si="14"/>
        <v/>
      </c>
      <c r="I126" s="57" t="str">
        <f t="shared" si="15"/>
        <v/>
      </c>
      <c r="J126" s="58" t="str">
        <f t="shared" si="16"/>
        <v/>
      </c>
      <c r="L126" s="31" t="str">
        <f t="shared" si="17"/>
        <v/>
      </c>
      <c r="M126" s="32" t="str">
        <f t="shared" si="22"/>
        <v/>
      </c>
      <c r="N126" s="32" t="str">
        <f t="shared" si="18"/>
        <v/>
      </c>
      <c r="O126" s="32" t="str">
        <f t="shared" si="19"/>
        <v/>
      </c>
      <c r="P126" s="32" t="str">
        <f t="shared" si="23"/>
        <v/>
      </c>
      <c r="Q126" s="33" t="str">
        <f t="shared" si="23"/>
        <v/>
      </c>
    </row>
    <row r="127" spans="2:17" x14ac:dyDescent="0.25">
      <c r="B127" s="9">
        <v>114</v>
      </c>
      <c r="C127" s="35">
        <v>38000</v>
      </c>
      <c r="D127" s="3"/>
      <c r="E127" s="9" t="str">
        <f t="shared" si="12"/>
        <v/>
      </c>
      <c r="F127" s="54" t="str">
        <f t="shared" si="21"/>
        <v/>
      </c>
      <c r="G127" s="73" t="str">
        <f t="shared" si="13"/>
        <v/>
      </c>
      <c r="H127" s="56" t="str">
        <f t="shared" si="14"/>
        <v/>
      </c>
      <c r="I127" s="57" t="str">
        <f t="shared" si="15"/>
        <v/>
      </c>
      <c r="J127" s="58" t="str">
        <f t="shared" si="16"/>
        <v/>
      </c>
      <c r="L127" s="31" t="str">
        <f t="shared" si="17"/>
        <v/>
      </c>
      <c r="M127" s="32" t="str">
        <f t="shared" si="22"/>
        <v/>
      </c>
      <c r="N127" s="32" t="str">
        <f t="shared" si="18"/>
        <v/>
      </c>
      <c r="O127" s="32" t="str">
        <f t="shared" si="19"/>
        <v/>
      </c>
      <c r="P127" s="32" t="str">
        <f t="shared" si="23"/>
        <v/>
      </c>
      <c r="Q127" s="33" t="str">
        <f t="shared" si="23"/>
        <v/>
      </c>
    </row>
    <row r="128" spans="2:17" x14ac:dyDescent="0.25">
      <c r="B128" s="9">
        <v>115</v>
      </c>
      <c r="C128" s="35">
        <v>38500</v>
      </c>
      <c r="D128" s="3"/>
      <c r="E128" s="9" t="str">
        <f t="shared" si="12"/>
        <v/>
      </c>
      <c r="F128" s="54" t="str">
        <f t="shared" si="21"/>
        <v/>
      </c>
      <c r="G128" s="73" t="str">
        <f t="shared" si="13"/>
        <v/>
      </c>
      <c r="H128" s="56" t="str">
        <f t="shared" si="14"/>
        <v/>
      </c>
      <c r="I128" s="57" t="str">
        <f t="shared" si="15"/>
        <v/>
      </c>
      <c r="J128" s="58" t="str">
        <f t="shared" si="16"/>
        <v/>
      </c>
      <c r="L128" s="31" t="str">
        <f t="shared" si="17"/>
        <v/>
      </c>
      <c r="M128" s="32" t="str">
        <f t="shared" si="22"/>
        <v/>
      </c>
      <c r="N128" s="32" t="str">
        <f t="shared" si="18"/>
        <v/>
      </c>
      <c r="O128" s="32" t="str">
        <f t="shared" si="19"/>
        <v/>
      </c>
      <c r="P128" s="32" t="str">
        <f t="shared" si="23"/>
        <v/>
      </c>
      <c r="Q128" s="33" t="str">
        <f t="shared" si="23"/>
        <v/>
      </c>
    </row>
    <row r="129" spans="2:17" x14ac:dyDescent="0.25">
      <c r="B129" s="9">
        <v>116</v>
      </c>
      <c r="C129" s="35">
        <v>39000</v>
      </c>
      <c r="D129" s="3"/>
      <c r="E129" s="9" t="str">
        <f t="shared" si="12"/>
        <v/>
      </c>
      <c r="F129" s="54" t="str">
        <f t="shared" si="21"/>
        <v/>
      </c>
      <c r="G129" s="73" t="str">
        <f t="shared" si="13"/>
        <v/>
      </c>
      <c r="H129" s="56" t="str">
        <f t="shared" si="14"/>
        <v/>
      </c>
      <c r="I129" s="57" t="str">
        <f t="shared" si="15"/>
        <v/>
      </c>
      <c r="J129" s="58" t="str">
        <f t="shared" si="16"/>
        <v/>
      </c>
      <c r="L129" s="31" t="str">
        <f t="shared" si="17"/>
        <v/>
      </c>
      <c r="M129" s="32" t="str">
        <f t="shared" si="22"/>
        <v/>
      </c>
      <c r="N129" s="32" t="str">
        <f t="shared" si="18"/>
        <v/>
      </c>
      <c r="O129" s="32" t="str">
        <f t="shared" si="19"/>
        <v/>
      </c>
      <c r="P129" s="32" t="str">
        <f t="shared" si="23"/>
        <v/>
      </c>
      <c r="Q129" s="33" t="str">
        <f t="shared" si="23"/>
        <v/>
      </c>
    </row>
    <row r="130" spans="2:17" x14ac:dyDescent="0.25">
      <c r="B130" s="9">
        <v>117</v>
      </c>
      <c r="C130" s="35">
        <v>39500</v>
      </c>
      <c r="D130" s="3"/>
      <c r="E130" s="9" t="str">
        <f t="shared" si="12"/>
        <v/>
      </c>
      <c r="F130" s="54" t="str">
        <f t="shared" si="21"/>
        <v/>
      </c>
      <c r="G130" s="73" t="str">
        <f t="shared" si="13"/>
        <v/>
      </c>
      <c r="H130" s="56" t="str">
        <f t="shared" si="14"/>
        <v/>
      </c>
      <c r="I130" s="57" t="str">
        <f t="shared" si="15"/>
        <v/>
      </c>
      <c r="J130" s="58" t="str">
        <f t="shared" si="16"/>
        <v/>
      </c>
      <c r="L130" s="31" t="str">
        <f t="shared" si="17"/>
        <v/>
      </c>
      <c r="M130" s="32" t="str">
        <f t="shared" si="22"/>
        <v/>
      </c>
      <c r="N130" s="32" t="str">
        <f t="shared" si="18"/>
        <v/>
      </c>
      <c r="O130" s="32" t="str">
        <f t="shared" si="19"/>
        <v/>
      </c>
      <c r="P130" s="32" t="str">
        <f t="shared" si="23"/>
        <v/>
      </c>
      <c r="Q130" s="33" t="str">
        <f t="shared" si="23"/>
        <v/>
      </c>
    </row>
    <row r="131" spans="2:17" x14ac:dyDescent="0.25">
      <c r="B131" s="9">
        <v>118</v>
      </c>
      <c r="C131" s="35">
        <v>40000</v>
      </c>
      <c r="D131" s="3"/>
      <c r="E131" s="9" t="str">
        <f t="shared" si="12"/>
        <v/>
      </c>
      <c r="F131" s="54" t="str">
        <f t="shared" si="21"/>
        <v/>
      </c>
      <c r="G131" s="73" t="str">
        <f t="shared" si="13"/>
        <v/>
      </c>
      <c r="H131" s="56" t="str">
        <f t="shared" si="14"/>
        <v/>
      </c>
      <c r="I131" s="57" t="str">
        <f t="shared" si="15"/>
        <v/>
      </c>
      <c r="J131" s="58" t="str">
        <f t="shared" si="16"/>
        <v/>
      </c>
      <c r="L131" s="31" t="str">
        <f t="shared" si="17"/>
        <v/>
      </c>
      <c r="M131" s="32" t="str">
        <f t="shared" si="22"/>
        <v/>
      </c>
      <c r="N131" s="32" t="str">
        <f t="shared" si="18"/>
        <v/>
      </c>
      <c r="O131" s="32" t="str">
        <f t="shared" si="19"/>
        <v/>
      </c>
      <c r="P131" s="32" t="str">
        <f t="shared" si="23"/>
        <v/>
      </c>
      <c r="Q131" s="33" t="str">
        <f t="shared" si="23"/>
        <v/>
      </c>
    </row>
    <row r="132" spans="2:17" x14ac:dyDescent="0.25">
      <c r="B132" s="9">
        <v>119</v>
      </c>
      <c r="C132" s="35">
        <v>40500</v>
      </c>
      <c r="D132" s="3"/>
      <c r="E132" s="9" t="str">
        <f t="shared" si="12"/>
        <v/>
      </c>
      <c r="F132" s="54" t="str">
        <f t="shared" si="21"/>
        <v/>
      </c>
      <c r="G132" s="73" t="str">
        <f t="shared" si="13"/>
        <v/>
      </c>
      <c r="H132" s="56" t="str">
        <f t="shared" si="14"/>
        <v/>
      </c>
      <c r="I132" s="57" t="str">
        <f t="shared" si="15"/>
        <v/>
      </c>
      <c r="J132" s="58" t="str">
        <f t="shared" si="16"/>
        <v/>
      </c>
      <c r="L132" s="31" t="str">
        <f t="shared" si="17"/>
        <v/>
      </c>
      <c r="M132" s="32" t="str">
        <f t="shared" si="22"/>
        <v/>
      </c>
      <c r="N132" s="32" t="str">
        <f t="shared" si="18"/>
        <v/>
      </c>
      <c r="O132" s="32" t="str">
        <f t="shared" si="19"/>
        <v/>
      </c>
      <c r="P132" s="32" t="str">
        <f t="shared" si="23"/>
        <v/>
      </c>
      <c r="Q132" s="33" t="str">
        <f t="shared" si="23"/>
        <v/>
      </c>
    </row>
    <row r="133" spans="2:17" x14ac:dyDescent="0.25">
      <c r="B133" s="9">
        <v>120</v>
      </c>
      <c r="C133" s="35">
        <v>41000</v>
      </c>
      <c r="D133" s="3"/>
      <c r="E133" s="9" t="str">
        <f t="shared" si="12"/>
        <v/>
      </c>
      <c r="F133" s="54" t="str">
        <f t="shared" si="21"/>
        <v/>
      </c>
      <c r="G133" s="73" t="str">
        <f t="shared" si="13"/>
        <v/>
      </c>
      <c r="H133" s="56" t="str">
        <f t="shared" si="14"/>
        <v/>
      </c>
      <c r="I133" s="57" t="str">
        <f t="shared" si="15"/>
        <v/>
      </c>
      <c r="J133" s="58" t="str">
        <f t="shared" si="16"/>
        <v/>
      </c>
      <c r="L133" s="31" t="str">
        <f t="shared" si="17"/>
        <v/>
      </c>
      <c r="M133" s="32" t="str">
        <f t="shared" si="22"/>
        <v/>
      </c>
      <c r="N133" s="32" t="str">
        <f t="shared" si="18"/>
        <v/>
      </c>
      <c r="O133" s="32" t="str">
        <f t="shared" si="19"/>
        <v/>
      </c>
      <c r="P133" s="32" t="str">
        <f t="shared" si="23"/>
        <v/>
      </c>
      <c r="Q133" s="33" t="str">
        <f t="shared" si="23"/>
        <v/>
      </c>
    </row>
    <row r="134" spans="2:17" x14ac:dyDescent="0.25">
      <c r="B134" s="9">
        <v>121</v>
      </c>
      <c r="C134" s="35">
        <v>41500</v>
      </c>
      <c r="D134" s="3"/>
      <c r="E134" s="9" t="str">
        <f t="shared" si="12"/>
        <v/>
      </c>
      <c r="F134" s="54" t="str">
        <f t="shared" si="21"/>
        <v/>
      </c>
      <c r="G134" s="73" t="str">
        <f t="shared" si="13"/>
        <v/>
      </c>
      <c r="H134" s="56" t="str">
        <f t="shared" si="14"/>
        <v/>
      </c>
      <c r="I134" s="57" t="str">
        <f t="shared" si="15"/>
        <v/>
      </c>
      <c r="J134" s="58" t="str">
        <f t="shared" si="16"/>
        <v/>
      </c>
      <c r="L134" s="31" t="str">
        <f t="shared" si="17"/>
        <v/>
      </c>
      <c r="M134" s="32" t="str">
        <f t="shared" si="22"/>
        <v/>
      </c>
      <c r="N134" s="32" t="str">
        <f t="shared" si="18"/>
        <v/>
      </c>
      <c r="O134" s="32" t="str">
        <f t="shared" si="19"/>
        <v/>
      </c>
      <c r="P134" s="32" t="str">
        <f t="shared" si="23"/>
        <v/>
      </c>
      <c r="Q134" s="33" t="str">
        <f t="shared" si="23"/>
        <v/>
      </c>
    </row>
    <row r="135" spans="2:17" x14ac:dyDescent="0.25">
      <c r="B135" s="9">
        <v>122</v>
      </c>
      <c r="C135" s="35">
        <v>42000</v>
      </c>
      <c r="D135" s="3"/>
      <c r="E135" s="9" t="str">
        <f t="shared" si="12"/>
        <v/>
      </c>
      <c r="F135" s="54" t="str">
        <f t="shared" si="21"/>
        <v/>
      </c>
      <c r="G135" s="73" t="str">
        <f t="shared" si="13"/>
        <v/>
      </c>
      <c r="H135" s="56" t="str">
        <f t="shared" si="14"/>
        <v/>
      </c>
      <c r="I135" s="57" t="str">
        <f t="shared" si="15"/>
        <v/>
      </c>
      <c r="J135" s="58" t="str">
        <f t="shared" si="16"/>
        <v/>
      </c>
      <c r="L135" s="31" t="str">
        <f t="shared" si="17"/>
        <v/>
      </c>
      <c r="M135" s="32" t="str">
        <f t="shared" si="22"/>
        <v/>
      </c>
      <c r="N135" s="32" t="str">
        <f t="shared" si="18"/>
        <v/>
      </c>
      <c r="O135" s="32" t="str">
        <f t="shared" si="19"/>
        <v/>
      </c>
      <c r="P135" s="32" t="str">
        <f t="shared" si="23"/>
        <v/>
      </c>
      <c r="Q135" s="33" t="str">
        <f t="shared" si="23"/>
        <v/>
      </c>
    </row>
    <row r="136" spans="2:17" x14ac:dyDescent="0.25">
      <c r="B136" s="9">
        <v>123</v>
      </c>
      <c r="C136" s="35">
        <v>42500</v>
      </c>
      <c r="D136" s="3"/>
      <c r="E136" s="9" t="str">
        <f t="shared" si="12"/>
        <v/>
      </c>
      <c r="F136" s="54" t="str">
        <f t="shared" si="21"/>
        <v/>
      </c>
      <c r="G136" s="73" t="str">
        <f t="shared" si="13"/>
        <v/>
      </c>
      <c r="H136" s="56" t="str">
        <f t="shared" si="14"/>
        <v/>
      </c>
      <c r="I136" s="57" t="str">
        <f t="shared" si="15"/>
        <v/>
      </c>
      <c r="J136" s="58" t="str">
        <f t="shared" si="16"/>
        <v/>
      </c>
      <c r="L136" s="31" t="str">
        <f t="shared" si="17"/>
        <v/>
      </c>
      <c r="M136" s="32" t="str">
        <f t="shared" si="22"/>
        <v/>
      </c>
      <c r="N136" s="32" t="str">
        <f t="shared" si="18"/>
        <v/>
      </c>
      <c r="O136" s="32" t="str">
        <f t="shared" si="19"/>
        <v/>
      </c>
      <c r="P136" s="32" t="str">
        <f t="shared" si="23"/>
        <v/>
      </c>
      <c r="Q136" s="33" t="str">
        <f t="shared" si="23"/>
        <v/>
      </c>
    </row>
    <row r="137" spans="2:17" x14ac:dyDescent="0.25">
      <c r="B137" s="9">
        <v>124</v>
      </c>
      <c r="C137" s="35">
        <v>43000</v>
      </c>
      <c r="D137" s="3"/>
      <c r="E137" s="9" t="str">
        <f t="shared" si="12"/>
        <v/>
      </c>
      <c r="F137" s="54" t="str">
        <f t="shared" si="21"/>
        <v/>
      </c>
      <c r="G137" s="73" t="str">
        <f t="shared" si="13"/>
        <v/>
      </c>
      <c r="H137" s="56" t="str">
        <f t="shared" si="14"/>
        <v/>
      </c>
      <c r="I137" s="57" t="str">
        <f t="shared" si="15"/>
        <v/>
      </c>
      <c r="J137" s="58" t="str">
        <f t="shared" si="16"/>
        <v/>
      </c>
      <c r="L137" s="31" t="str">
        <f t="shared" si="17"/>
        <v/>
      </c>
      <c r="M137" s="32" t="str">
        <f t="shared" si="22"/>
        <v/>
      </c>
      <c r="N137" s="32" t="str">
        <f t="shared" si="18"/>
        <v/>
      </c>
      <c r="O137" s="32" t="str">
        <f t="shared" si="19"/>
        <v/>
      </c>
      <c r="P137" s="32" t="str">
        <f t="shared" si="23"/>
        <v/>
      </c>
      <c r="Q137" s="33" t="str">
        <f t="shared" si="23"/>
        <v/>
      </c>
    </row>
    <row r="138" spans="2:17" x14ac:dyDescent="0.25">
      <c r="B138" s="9">
        <v>125</v>
      </c>
      <c r="C138" s="35">
        <v>43500</v>
      </c>
      <c r="D138" s="3"/>
      <c r="E138" s="9" t="str">
        <f t="shared" si="12"/>
        <v/>
      </c>
      <c r="F138" s="54" t="str">
        <f t="shared" si="21"/>
        <v/>
      </c>
      <c r="G138" s="73" t="str">
        <f t="shared" si="13"/>
        <v/>
      </c>
      <c r="H138" s="56" t="str">
        <f t="shared" si="14"/>
        <v/>
      </c>
      <c r="I138" s="57" t="str">
        <f t="shared" si="15"/>
        <v/>
      </c>
      <c r="J138" s="58" t="str">
        <f t="shared" si="16"/>
        <v/>
      </c>
      <c r="L138" s="31" t="str">
        <f t="shared" si="17"/>
        <v/>
      </c>
      <c r="M138" s="32" t="str">
        <f t="shared" si="22"/>
        <v/>
      </c>
      <c r="N138" s="32" t="str">
        <f t="shared" si="18"/>
        <v/>
      </c>
      <c r="O138" s="32" t="str">
        <f t="shared" si="19"/>
        <v/>
      </c>
      <c r="P138" s="32" t="str">
        <f t="shared" si="23"/>
        <v/>
      </c>
      <c r="Q138" s="33" t="str">
        <f t="shared" si="23"/>
        <v/>
      </c>
    </row>
    <row r="139" spans="2:17" x14ac:dyDescent="0.25">
      <c r="B139" s="9">
        <v>126</v>
      </c>
      <c r="C139" s="35">
        <v>44000</v>
      </c>
      <c r="D139" s="3"/>
      <c r="E139" s="9" t="str">
        <f t="shared" si="12"/>
        <v/>
      </c>
      <c r="F139" s="54" t="str">
        <f t="shared" si="21"/>
        <v/>
      </c>
      <c r="G139" s="73" t="str">
        <f t="shared" si="13"/>
        <v/>
      </c>
      <c r="H139" s="56" t="str">
        <f t="shared" si="14"/>
        <v/>
      </c>
      <c r="I139" s="57" t="str">
        <f t="shared" si="15"/>
        <v/>
      </c>
      <c r="J139" s="58" t="str">
        <f t="shared" si="16"/>
        <v/>
      </c>
      <c r="L139" s="31" t="str">
        <f t="shared" si="17"/>
        <v/>
      </c>
      <c r="M139" s="32" t="str">
        <f t="shared" si="22"/>
        <v/>
      </c>
      <c r="N139" s="32" t="str">
        <f t="shared" si="18"/>
        <v/>
      </c>
      <c r="O139" s="32" t="str">
        <f t="shared" si="19"/>
        <v/>
      </c>
      <c r="P139" s="32" t="str">
        <f t="shared" si="23"/>
        <v/>
      </c>
      <c r="Q139" s="33" t="str">
        <f t="shared" si="23"/>
        <v/>
      </c>
    </row>
    <row r="140" spans="2:17" x14ac:dyDescent="0.25">
      <c r="B140" s="9">
        <v>127</v>
      </c>
      <c r="C140" s="35">
        <v>44500</v>
      </c>
      <c r="D140" s="3"/>
      <c r="E140" s="9" t="str">
        <f t="shared" si="12"/>
        <v/>
      </c>
      <c r="F140" s="54" t="str">
        <f t="shared" si="21"/>
        <v/>
      </c>
      <c r="G140" s="73" t="str">
        <f t="shared" si="13"/>
        <v/>
      </c>
      <c r="H140" s="56" t="str">
        <f t="shared" si="14"/>
        <v/>
      </c>
      <c r="I140" s="57" t="str">
        <f t="shared" si="15"/>
        <v/>
      </c>
      <c r="J140" s="58" t="str">
        <f t="shared" si="16"/>
        <v/>
      </c>
      <c r="L140" s="31" t="str">
        <f t="shared" si="17"/>
        <v/>
      </c>
      <c r="M140" s="32" t="str">
        <f t="shared" si="22"/>
        <v/>
      </c>
      <c r="N140" s="32" t="str">
        <f t="shared" si="18"/>
        <v/>
      </c>
      <c r="O140" s="32" t="str">
        <f t="shared" si="19"/>
        <v/>
      </c>
      <c r="P140" s="32" t="str">
        <f t="shared" si="23"/>
        <v/>
      </c>
      <c r="Q140" s="33" t="str">
        <f t="shared" si="23"/>
        <v/>
      </c>
    </row>
    <row r="141" spans="2:17" x14ac:dyDescent="0.25">
      <c r="B141" s="9">
        <v>128</v>
      </c>
      <c r="C141" s="35">
        <v>45000</v>
      </c>
      <c r="D141" s="3"/>
      <c r="E141" s="9" t="str">
        <f t="shared" si="12"/>
        <v/>
      </c>
      <c r="F141" s="54" t="str">
        <f t="shared" si="21"/>
        <v/>
      </c>
      <c r="G141" s="73" t="str">
        <f t="shared" si="13"/>
        <v/>
      </c>
      <c r="H141" s="56" t="str">
        <f t="shared" si="14"/>
        <v/>
      </c>
      <c r="I141" s="57" t="str">
        <f t="shared" si="15"/>
        <v/>
      </c>
      <c r="J141" s="58" t="str">
        <f t="shared" si="16"/>
        <v/>
      </c>
      <c r="L141" s="31" t="str">
        <f t="shared" si="17"/>
        <v/>
      </c>
      <c r="M141" s="32" t="str">
        <f t="shared" si="22"/>
        <v/>
      </c>
      <c r="N141" s="32" t="str">
        <f t="shared" si="18"/>
        <v/>
      </c>
      <c r="O141" s="32" t="str">
        <f t="shared" si="19"/>
        <v/>
      </c>
      <c r="P141" s="32" t="str">
        <f t="shared" si="23"/>
        <v/>
      </c>
      <c r="Q141" s="33" t="str">
        <f t="shared" si="23"/>
        <v/>
      </c>
    </row>
    <row r="142" spans="2:17" x14ac:dyDescent="0.25">
      <c r="B142" s="9">
        <v>129</v>
      </c>
      <c r="C142" s="35">
        <v>45500</v>
      </c>
      <c r="D142" s="3"/>
      <c r="E142" s="9" t="str">
        <f t="shared" ref="E142:E203" si="24">IF(L142="","",ROUND(12*C$7/(2*H$7^2+2*H$6*H$7-H$6^2)*L142*1000000,0))</f>
        <v/>
      </c>
      <c r="F142" s="54" t="str">
        <f t="shared" si="21"/>
        <v/>
      </c>
      <c r="G142" s="73" t="str">
        <f t="shared" ref="G142:G203" si="25">IF(L142="","",ROUND(1.5*((N142-O142)*1000*H$7)/(C$6*C$7^2),3))</f>
        <v/>
      </c>
      <c r="H142" s="56" t="str">
        <f t="shared" ref="H142:H203" si="26">IF(L142="","",ROUND(1.5*((N142/2-O142)*1000*H$7)/(C$6*C$7^2),3))</f>
        <v/>
      </c>
      <c r="I142" s="57" t="str">
        <f t="shared" ref="I142:I203" si="27">IF(L142="","",IF(P142&lt;=0,"foute meting",ROUND(0.000001*V$4*SQRT((1000000*Q142)^2+(1000000*P142+V$5*(2*PI()*H$5)^2)^2),0)))</f>
        <v/>
      </c>
      <c r="J142" s="58" t="str">
        <f t="shared" ref="J142:J203" si="28">IF(L142="","",ROUND(ATAN(Q142/P142)/PI()*180,1))</f>
        <v/>
      </c>
      <c r="L142" s="31" t="str">
        <f t="shared" ref="L142:L203" si="29">IF(AG144&lt;=0,"",AG144)</f>
        <v/>
      </c>
      <c r="M142" s="32" t="str">
        <f t="shared" si="22"/>
        <v/>
      </c>
      <c r="N142" s="32" t="str">
        <f t="shared" ref="N142:N203" si="30">IF(AI144="","",AI144)</f>
        <v/>
      </c>
      <c r="O142" s="32" t="str">
        <f t="shared" ref="O142:O203" si="31">IF(AH144="","",AH144)</f>
        <v/>
      </c>
      <c r="P142" s="32" t="str">
        <f t="shared" ref="P142:Q173" si="32">IF(AJ144="","",AJ144)</f>
        <v/>
      </c>
      <c r="Q142" s="33" t="str">
        <f t="shared" si="32"/>
        <v/>
      </c>
    </row>
    <row r="143" spans="2:17" x14ac:dyDescent="0.25">
      <c r="B143" s="9">
        <v>130</v>
      </c>
      <c r="C143" s="35">
        <v>46000</v>
      </c>
      <c r="D143" s="3"/>
      <c r="E143" s="9" t="str">
        <f t="shared" si="24"/>
        <v/>
      </c>
      <c r="F143" s="54" t="str">
        <f t="shared" ref="F143:F203" si="33">IF(L143="","",ABS(ROUND(12*C$7/(2*(H$7/1000)^2+2*(H$6/1000)*(H$7/1000)-(H$6/1000)^2)*(M143-M$14)*1,0)))</f>
        <v/>
      </c>
      <c r="G143" s="73" t="str">
        <f t="shared" si="25"/>
        <v/>
      </c>
      <c r="H143" s="56" t="str">
        <f t="shared" si="26"/>
        <v/>
      </c>
      <c r="I143" s="57" t="str">
        <f t="shared" si="27"/>
        <v/>
      </c>
      <c r="J143" s="58" t="str">
        <f t="shared" si="28"/>
        <v/>
      </c>
      <c r="L143" s="31" t="str">
        <f t="shared" si="29"/>
        <v/>
      </c>
      <c r="M143" s="32" t="str">
        <f t="shared" ref="M143:M203" si="34">IF(AG145="","",AG145/2-AE145)</f>
        <v/>
      </c>
      <c r="N143" s="32" t="str">
        <f t="shared" si="30"/>
        <v/>
      </c>
      <c r="O143" s="32" t="str">
        <f t="shared" si="31"/>
        <v/>
      </c>
      <c r="P143" s="32" t="str">
        <f t="shared" si="32"/>
        <v/>
      </c>
      <c r="Q143" s="33" t="str">
        <f t="shared" si="32"/>
        <v/>
      </c>
    </row>
    <row r="144" spans="2:17" x14ac:dyDescent="0.25">
      <c r="B144" s="9">
        <v>131</v>
      </c>
      <c r="C144" s="35">
        <v>46500</v>
      </c>
      <c r="D144" s="3"/>
      <c r="E144" s="9" t="str">
        <f t="shared" si="24"/>
        <v/>
      </c>
      <c r="F144" s="54" t="str">
        <f t="shared" si="33"/>
        <v/>
      </c>
      <c r="G144" s="73" t="str">
        <f t="shared" si="25"/>
        <v/>
      </c>
      <c r="H144" s="56" t="str">
        <f t="shared" si="26"/>
        <v/>
      </c>
      <c r="I144" s="57" t="str">
        <f t="shared" si="27"/>
        <v/>
      </c>
      <c r="J144" s="58" t="str">
        <f t="shared" si="28"/>
        <v/>
      </c>
      <c r="L144" s="31" t="str">
        <f t="shared" si="29"/>
        <v/>
      </c>
      <c r="M144" s="32" t="str">
        <f t="shared" si="34"/>
        <v/>
      </c>
      <c r="N144" s="32" t="str">
        <f t="shared" si="30"/>
        <v/>
      </c>
      <c r="O144" s="32" t="str">
        <f t="shared" si="31"/>
        <v/>
      </c>
      <c r="P144" s="32" t="str">
        <f t="shared" si="32"/>
        <v/>
      </c>
      <c r="Q144" s="33" t="str">
        <f t="shared" si="32"/>
        <v/>
      </c>
    </row>
    <row r="145" spans="2:17" x14ac:dyDescent="0.25">
      <c r="B145" s="9">
        <v>132</v>
      </c>
      <c r="C145" s="35">
        <v>47000</v>
      </c>
      <c r="D145" s="3"/>
      <c r="E145" s="9" t="str">
        <f t="shared" si="24"/>
        <v/>
      </c>
      <c r="F145" s="54" t="str">
        <f t="shared" si="33"/>
        <v/>
      </c>
      <c r="G145" s="73" t="str">
        <f t="shared" si="25"/>
        <v/>
      </c>
      <c r="H145" s="56" t="str">
        <f t="shared" si="26"/>
        <v/>
      </c>
      <c r="I145" s="57" t="str">
        <f t="shared" si="27"/>
        <v/>
      </c>
      <c r="J145" s="58" t="str">
        <f t="shared" si="28"/>
        <v/>
      </c>
      <c r="L145" s="31" t="str">
        <f t="shared" si="29"/>
        <v/>
      </c>
      <c r="M145" s="32" t="str">
        <f t="shared" si="34"/>
        <v/>
      </c>
      <c r="N145" s="32" t="str">
        <f t="shared" si="30"/>
        <v/>
      </c>
      <c r="O145" s="32" t="str">
        <f t="shared" si="31"/>
        <v/>
      </c>
      <c r="P145" s="32" t="str">
        <f t="shared" si="32"/>
        <v/>
      </c>
      <c r="Q145" s="33" t="str">
        <f t="shared" si="32"/>
        <v/>
      </c>
    </row>
    <row r="146" spans="2:17" x14ac:dyDescent="0.25">
      <c r="B146" s="9">
        <v>133</v>
      </c>
      <c r="C146" s="35">
        <v>47500</v>
      </c>
      <c r="D146" s="3"/>
      <c r="E146" s="9" t="str">
        <f t="shared" si="24"/>
        <v/>
      </c>
      <c r="F146" s="54" t="str">
        <f t="shared" si="33"/>
        <v/>
      </c>
      <c r="G146" s="73" t="str">
        <f t="shared" si="25"/>
        <v/>
      </c>
      <c r="H146" s="56" t="str">
        <f t="shared" si="26"/>
        <v/>
      </c>
      <c r="I146" s="57" t="str">
        <f t="shared" si="27"/>
        <v/>
      </c>
      <c r="J146" s="58" t="str">
        <f t="shared" si="28"/>
        <v/>
      </c>
      <c r="L146" s="31" t="str">
        <f t="shared" si="29"/>
        <v/>
      </c>
      <c r="M146" s="32" t="str">
        <f t="shared" si="34"/>
        <v/>
      </c>
      <c r="N146" s="32" t="str">
        <f t="shared" si="30"/>
        <v/>
      </c>
      <c r="O146" s="32" t="str">
        <f t="shared" si="31"/>
        <v/>
      </c>
      <c r="P146" s="32" t="str">
        <f t="shared" si="32"/>
        <v/>
      </c>
      <c r="Q146" s="33" t="str">
        <f t="shared" si="32"/>
        <v/>
      </c>
    </row>
    <row r="147" spans="2:17" x14ac:dyDescent="0.25">
      <c r="B147" s="9">
        <v>134</v>
      </c>
      <c r="C147" s="35">
        <v>48000</v>
      </c>
      <c r="D147" s="3"/>
      <c r="E147" s="9" t="str">
        <f t="shared" si="24"/>
        <v/>
      </c>
      <c r="F147" s="54" t="str">
        <f t="shared" si="33"/>
        <v/>
      </c>
      <c r="G147" s="73" t="str">
        <f t="shared" si="25"/>
        <v/>
      </c>
      <c r="H147" s="56" t="str">
        <f t="shared" si="26"/>
        <v/>
      </c>
      <c r="I147" s="57" t="str">
        <f t="shared" si="27"/>
        <v/>
      </c>
      <c r="J147" s="58" t="str">
        <f t="shared" si="28"/>
        <v/>
      </c>
      <c r="L147" s="31" t="str">
        <f t="shared" si="29"/>
        <v/>
      </c>
      <c r="M147" s="32" t="str">
        <f t="shared" si="34"/>
        <v/>
      </c>
      <c r="N147" s="32" t="str">
        <f t="shared" si="30"/>
        <v/>
      </c>
      <c r="O147" s="32" t="str">
        <f t="shared" si="31"/>
        <v/>
      </c>
      <c r="P147" s="32" t="str">
        <f t="shared" si="32"/>
        <v/>
      </c>
      <c r="Q147" s="33" t="str">
        <f t="shared" si="32"/>
        <v/>
      </c>
    </row>
    <row r="148" spans="2:17" x14ac:dyDescent="0.25">
      <c r="B148" s="9">
        <v>135</v>
      </c>
      <c r="C148" s="35">
        <v>48500</v>
      </c>
      <c r="D148" s="3"/>
      <c r="E148" s="9" t="str">
        <f t="shared" si="24"/>
        <v/>
      </c>
      <c r="F148" s="54" t="str">
        <f t="shared" si="33"/>
        <v/>
      </c>
      <c r="G148" s="73" t="str">
        <f t="shared" si="25"/>
        <v/>
      </c>
      <c r="H148" s="56" t="str">
        <f t="shared" si="26"/>
        <v/>
      </c>
      <c r="I148" s="57" t="str">
        <f t="shared" si="27"/>
        <v/>
      </c>
      <c r="J148" s="58" t="str">
        <f t="shared" si="28"/>
        <v/>
      </c>
      <c r="L148" s="31" t="str">
        <f t="shared" si="29"/>
        <v/>
      </c>
      <c r="M148" s="32" t="str">
        <f t="shared" si="34"/>
        <v/>
      </c>
      <c r="N148" s="32" t="str">
        <f t="shared" si="30"/>
        <v/>
      </c>
      <c r="O148" s="32" t="str">
        <f t="shared" si="31"/>
        <v/>
      </c>
      <c r="P148" s="32" t="str">
        <f t="shared" si="32"/>
        <v/>
      </c>
      <c r="Q148" s="33" t="str">
        <f t="shared" si="32"/>
        <v/>
      </c>
    </row>
    <row r="149" spans="2:17" x14ac:dyDescent="0.25">
      <c r="B149" s="9">
        <v>136</v>
      </c>
      <c r="C149" s="35">
        <v>49000</v>
      </c>
      <c r="D149" s="3"/>
      <c r="E149" s="9" t="str">
        <f t="shared" si="24"/>
        <v/>
      </c>
      <c r="F149" s="54" t="str">
        <f t="shared" si="33"/>
        <v/>
      </c>
      <c r="G149" s="73" t="str">
        <f t="shared" si="25"/>
        <v/>
      </c>
      <c r="H149" s="56" t="str">
        <f t="shared" si="26"/>
        <v/>
      </c>
      <c r="I149" s="57" t="str">
        <f t="shared" si="27"/>
        <v/>
      </c>
      <c r="J149" s="58" t="str">
        <f t="shared" si="28"/>
        <v/>
      </c>
      <c r="L149" s="31" t="str">
        <f t="shared" si="29"/>
        <v/>
      </c>
      <c r="M149" s="32" t="str">
        <f t="shared" si="34"/>
        <v/>
      </c>
      <c r="N149" s="32" t="str">
        <f t="shared" si="30"/>
        <v/>
      </c>
      <c r="O149" s="32" t="str">
        <f t="shared" si="31"/>
        <v/>
      </c>
      <c r="P149" s="32" t="str">
        <f t="shared" si="32"/>
        <v/>
      </c>
      <c r="Q149" s="33" t="str">
        <f t="shared" si="32"/>
        <v/>
      </c>
    </row>
    <row r="150" spans="2:17" x14ac:dyDescent="0.25">
      <c r="B150" s="9">
        <v>137</v>
      </c>
      <c r="C150" s="35">
        <v>49500</v>
      </c>
      <c r="D150" s="3"/>
      <c r="E150" s="9" t="str">
        <f t="shared" si="24"/>
        <v/>
      </c>
      <c r="F150" s="54" t="str">
        <f t="shared" si="33"/>
        <v/>
      </c>
      <c r="G150" s="73" t="str">
        <f t="shared" si="25"/>
        <v/>
      </c>
      <c r="H150" s="56" t="str">
        <f t="shared" si="26"/>
        <v/>
      </c>
      <c r="I150" s="57" t="str">
        <f t="shared" si="27"/>
        <v/>
      </c>
      <c r="J150" s="58" t="str">
        <f t="shared" si="28"/>
        <v/>
      </c>
      <c r="L150" s="31" t="str">
        <f t="shared" si="29"/>
        <v/>
      </c>
      <c r="M150" s="32" t="str">
        <f t="shared" si="34"/>
        <v/>
      </c>
      <c r="N150" s="32" t="str">
        <f t="shared" si="30"/>
        <v/>
      </c>
      <c r="O150" s="32" t="str">
        <f t="shared" si="31"/>
        <v/>
      </c>
      <c r="P150" s="32" t="str">
        <f t="shared" si="32"/>
        <v/>
      </c>
      <c r="Q150" s="33" t="str">
        <f t="shared" si="32"/>
        <v/>
      </c>
    </row>
    <row r="151" spans="2:17" x14ac:dyDescent="0.25">
      <c r="B151" s="9">
        <v>138</v>
      </c>
      <c r="C151" s="35">
        <v>50000</v>
      </c>
      <c r="D151" s="3"/>
      <c r="E151" s="9" t="str">
        <f t="shared" si="24"/>
        <v/>
      </c>
      <c r="F151" s="54" t="str">
        <f t="shared" si="33"/>
        <v/>
      </c>
      <c r="G151" s="73" t="str">
        <f t="shared" si="25"/>
        <v/>
      </c>
      <c r="H151" s="56" t="str">
        <f t="shared" si="26"/>
        <v/>
      </c>
      <c r="I151" s="57" t="str">
        <f t="shared" si="27"/>
        <v/>
      </c>
      <c r="J151" s="58" t="str">
        <f t="shared" si="28"/>
        <v/>
      </c>
      <c r="L151" s="31" t="str">
        <f t="shared" si="29"/>
        <v/>
      </c>
      <c r="M151" s="32" t="str">
        <f t="shared" si="34"/>
        <v/>
      </c>
      <c r="N151" s="32" t="str">
        <f t="shared" si="30"/>
        <v/>
      </c>
      <c r="O151" s="32" t="str">
        <f t="shared" si="31"/>
        <v/>
      </c>
      <c r="P151" s="32" t="str">
        <f t="shared" si="32"/>
        <v/>
      </c>
      <c r="Q151" s="33" t="str">
        <f t="shared" si="32"/>
        <v/>
      </c>
    </row>
    <row r="152" spans="2:17" x14ac:dyDescent="0.25">
      <c r="B152" s="9">
        <v>139</v>
      </c>
      <c r="C152" s="35">
        <v>51000</v>
      </c>
      <c r="D152" s="3"/>
      <c r="E152" s="9" t="str">
        <f t="shared" si="24"/>
        <v/>
      </c>
      <c r="F152" s="54" t="str">
        <f t="shared" si="33"/>
        <v/>
      </c>
      <c r="G152" s="73" t="str">
        <f t="shared" si="25"/>
        <v/>
      </c>
      <c r="H152" s="56" t="str">
        <f t="shared" si="26"/>
        <v/>
      </c>
      <c r="I152" s="57" t="str">
        <f t="shared" si="27"/>
        <v/>
      </c>
      <c r="J152" s="58" t="str">
        <f t="shared" si="28"/>
        <v/>
      </c>
      <c r="L152" s="31" t="str">
        <f t="shared" si="29"/>
        <v/>
      </c>
      <c r="M152" s="32" t="str">
        <f t="shared" si="34"/>
        <v/>
      </c>
      <c r="N152" s="32" t="str">
        <f t="shared" si="30"/>
        <v/>
      </c>
      <c r="O152" s="32" t="str">
        <f t="shared" si="31"/>
        <v/>
      </c>
      <c r="P152" s="32" t="str">
        <f t="shared" si="32"/>
        <v/>
      </c>
      <c r="Q152" s="33" t="str">
        <f t="shared" si="32"/>
        <v/>
      </c>
    </row>
    <row r="153" spans="2:17" x14ac:dyDescent="0.25">
      <c r="B153" s="9">
        <v>140</v>
      </c>
      <c r="C153" s="35">
        <v>52000</v>
      </c>
      <c r="D153" s="3"/>
      <c r="E153" s="9" t="str">
        <f t="shared" si="24"/>
        <v/>
      </c>
      <c r="F153" s="54" t="str">
        <f t="shared" si="33"/>
        <v/>
      </c>
      <c r="G153" s="73" t="str">
        <f t="shared" si="25"/>
        <v/>
      </c>
      <c r="H153" s="56" t="str">
        <f t="shared" si="26"/>
        <v/>
      </c>
      <c r="I153" s="57" t="str">
        <f t="shared" si="27"/>
        <v/>
      </c>
      <c r="J153" s="58" t="str">
        <f t="shared" si="28"/>
        <v/>
      </c>
      <c r="L153" s="31" t="str">
        <f t="shared" si="29"/>
        <v/>
      </c>
      <c r="M153" s="32" t="str">
        <f t="shared" si="34"/>
        <v/>
      </c>
      <c r="N153" s="32" t="str">
        <f t="shared" si="30"/>
        <v/>
      </c>
      <c r="O153" s="32" t="str">
        <f t="shared" si="31"/>
        <v/>
      </c>
      <c r="P153" s="32" t="str">
        <f t="shared" si="32"/>
        <v/>
      </c>
      <c r="Q153" s="33" t="str">
        <f t="shared" si="32"/>
        <v/>
      </c>
    </row>
    <row r="154" spans="2:17" x14ac:dyDescent="0.25">
      <c r="B154" s="9">
        <v>141</v>
      </c>
      <c r="C154" s="35">
        <v>53000</v>
      </c>
      <c r="D154" s="3"/>
      <c r="E154" s="9" t="str">
        <f t="shared" si="24"/>
        <v/>
      </c>
      <c r="F154" s="54" t="str">
        <f t="shared" si="33"/>
        <v/>
      </c>
      <c r="G154" s="73" t="str">
        <f t="shared" si="25"/>
        <v/>
      </c>
      <c r="H154" s="56" t="str">
        <f t="shared" si="26"/>
        <v/>
      </c>
      <c r="I154" s="57" t="str">
        <f t="shared" si="27"/>
        <v/>
      </c>
      <c r="J154" s="58" t="str">
        <f t="shared" si="28"/>
        <v/>
      </c>
      <c r="L154" s="31" t="str">
        <f t="shared" si="29"/>
        <v/>
      </c>
      <c r="M154" s="32" t="str">
        <f t="shared" si="34"/>
        <v/>
      </c>
      <c r="N154" s="32" t="str">
        <f t="shared" si="30"/>
        <v/>
      </c>
      <c r="O154" s="32" t="str">
        <f t="shared" si="31"/>
        <v/>
      </c>
      <c r="P154" s="32" t="str">
        <f t="shared" si="32"/>
        <v/>
      </c>
      <c r="Q154" s="33" t="str">
        <f t="shared" si="32"/>
        <v/>
      </c>
    </row>
    <row r="155" spans="2:17" x14ac:dyDescent="0.25">
      <c r="B155" s="9">
        <v>142</v>
      </c>
      <c r="C155" s="35">
        <v>54000</v>
      </c>
      <c r="D155" s="3"/>
      <c r="E155" s="9" t="str">
        <f t="shared" si="24"/>
        <v/>
      </c>
      <c r="F155" s="54" t="str">
        <f t="shared" si="33"/>
        <v/>
      </c>
      <c r="G155" s="73" t="str">
        <f t="shared" si="25"/>
        <v/>
      </c>
      <c r="H155" s="56" t="str">
        <f t="shared" si="26"/>
        <v/>
      </c>
      <c r="I155" s="57" t="str">
        <f t="shared" si="27"/>
        <v/>
      </c>
      <c r="J155" s="58" t="str">
        <f t="shared" si="28"/>
        <v/>
      </c>
      <c r="L155" s="31" t="str">
        <f t="shared" si="29"/>
        <v/>
      </c>
      <c r="M155" s="32" t="str">
        <f t="shared" si="34"/>
        <v/>
      </c>
      <c r="N155" s="32" t="str">
        <f t="shared" si="30"/>
        <v/>
      </c>
      <c r="O155" s="32" t="str">
        <f t="shared" si="31"/>
        <v/>
      </c>
      <c r="P155" s="32" t="str">
        <f t="shared" si="32"/>
        <v/>
      </c>
      <c r="Q155" s="33" t="str">
        <f t="shared" si="32"/>
        <v/>
      </c>
    </row>
    <row r="156" spans="2:17" x14ac:dyDescent="0.25">
      <c r="B156" s="9">
        <v>143</v>
      </c>
      <c r="C156" s="35">
        <v>55000</v>
      </c>
      <c r="D156" s="3"/>
      <c r="E156" s="9" t="str">
        <f t="shared" si="24"/>
        <v/>
      </c>
      <c r="F156" s="54" t="str">
        <f t="shared" si="33"/>
        <v/>
      </c>
      <c r="G156" s="73" t="str">
        <f t="shared" si="25"/>
        <v/>
      </c>
      <c r="H156" s="56" t="str">
        <f t="shared" si="26"/>
        <v/>
      </c>
      <c r="I156" s="57" t="str">
        <f t="shared" si="27"/>
        <v/>
      </c>
      <c r="J156" s="58" t="str">
        <f t="shared" si="28"/>
        <v/>
      </c>
      <c r="L156" s="31" t="str">
        <f t="shared" si="29"/>
        <v/>
      </c>
      <c r="M156" s="32" t="str">
        <f t="shared" si="34"/>
        <v/>
      </c>
      <c r="N156" s="32" t="str">
        <f t="shared" si="30"/>
        <v/>
      </c>
      <c r="O156" s="32" t="str">
        <f t="shared" si="31"/>
        <v/>
      </c>
      <c r="P156" s="32" t="str">
        <f t="shared" si="32"/>
        <v/>
      </c>
      <c r="Q156" s="33" t="str">
        <f t="shared" si="32"/>
        <v/>
      </c>
    </row>
    <row r="157" spans="2:17" x14ac:dyDescent="0.25">
      <c r="B157" s="9">
        <v>144</v>
      </c>
      <c r="C157" s="35">
        <v>56000</v>
      </c>
      <c r="D157" s="3"/>
      <c r="E157" s="9" t="str">
        <f t="shared" si="24"/>
        <v/>
      </c>
      <c r="F157" s="54" t="str">
        <f t="shared" si="33"/>
        <v/>
      </c>
      <c r="G157" s="73" t="str">
        <f t="shared" si="25"/>
        <v/>
      </c>
      <c r="H157" s="56" t="str">
        <f t="shared" si="26"/>
        <v/>
      </c>
      <c r="I157" s="57" t="str">
        <f t="shared" si="27"/>
        <v/>
      </c>
      <c r="J157" s="58" t="str">
        <f t="shared" si="28"/>
        <v/>
      </c>
      <c r="L157" s="31" t="str">
        <f t="shared" si="29"/>
        <v/>
      </c>
      <c r="M157" s="32" t="str">
        <f t="shared" si="34"/>
        <v/>
      </c>
      <c r="N157" s="32" t="str">
        <f t="shared" si="30"/>
        <v/>
      </c>
      <c r="O157" s="32" t="str">
        <f t="shared" si="31"/>
        <v/>
      </c>
      <c r="P157" s="32" t="str">
        <f t="shared" si="32"/>
        <v/>
      </c>
      <c r="Q157" s="33" t="str">
        <f t="shared" si="32"/>
        <v/>
      </c>
    </row>
    <row r="158" spans="2:17" x14ac:dyDescent="0.25">
      <c r="B158" s="9">
        <v>145</v>
      </c>
      <c r="C158" s="35">
        <v>57000</v>
      </c>
      <c r="D158" s="3"/>
      <c r="E158" s="9" t="str">
        <f t="shared" si="24"/>
        <v/>
      </c>
      <c r="F158" s="54" t="str">
        <f t="shared" si="33"/>
        <v/>
      </c>
      <c r="G158" s="73" t="str">
        <f t="shared" si="25"/>
        <v/>
      </c>
      <c r="H158" s="56" t="str">
        <f t="shared" si="26"/>
        <v/>
      </c>
      <c r="I158" s="57" t="str">
        <f t="shared" si="27"/>
        <v/>
      </c>
      <c r="J158" s="58" t="str">
        <f t="shared" si="28"/>
        <v/>
      </c>
      <c r="L158" s="31" t="str">
        <f t="shared" si="29"/>
        <v/>
      </c>
      <c r="M158" s="32" t="str">
        <f t="shared" si="34"/>
        <v/>
      </c>
      <c r="N158" s="32" t="str">
        <f t="shared" si="30"/>
        <v/>
      </c>
      <c r="O158" s="32" t="str">
        <f t="shared" si="31"/>
        <v/>
      </c>
      <c r="P158" s="32" t="str">
        <f t="shared" si="32"/>
        <v/>
      </c>
      <c r="Q158" s="33" t="str">
        <f t="shared" si="32"/>
        <v/>
      </c>
    </row>
    <row r="159" spans="2:17" x14ac:dyDescent="0.25">
      <c r="B159" s="9">
        <v>146</v>
      </c>
      <c r="C159" s="35">
        <v>58000</v>
      </c>
      <c r="D159" s="3"/>
      <c r="E159" s="9" t="str">
        <f t="shared" si="24"/>
        <v/>
      </c>
      <c r="F159" s="54" t="str">
        <f t="shared" si="33"/>
        <v/>
      </c>
      <c r="G159" s="73" t="str">
        <f t="shared" si="25"/>
        <v/>
      </c>
      <c r="H159" s="56" t="str">
        <f t="shared" si="26"/>
        <v/>
      </c>
      <c r="I159" s="57" t="str">
        <f t="shared" si="27"/>
        <v/>
      </c>
      <c r="J159" s="58" t="str">
        <f t="shared" si="28"/>
        <v/>
      </c>
      <c r="L159" s="31" t="str">
        <f t="shared" si="29"/>
        <v/>
      </c>
      <c r="M159" s="32" t="str">
        <f t="shared" si="34"/>
        <v/>
      </c>
      <c r="N159" s="32" t="str">
        <f t="shared" si="30"/>
        <v/>
      </c>
      <c r="O159" s="32" t="str">
        <f t="shared" si="31"/>
        <v/>
      </c>
      <c r="P159" s="32" t="str">
        <f t="shared" si="32"/>
        <v/>
      </c>
      <c r="Q159" s="33" t="str">
        <f t="shared" si="32"/>
        <v/>
      </c>
    </row>
    <row r="160" spans="2:17" x14ac:dyDescent="0.25">
      <c r="B160" s="9">
        <v>147</v>
      </c>
      <c r="C160" s="35">
        <v>59000</v>
      </c>
      <c r="D160" s="3"/>
      <c r="E160" s="9" t="str">
        <f t="shared" si="24"/>
        <v/>
      </c>
      <c r="F160" s="54" t="str">
        <f t="shared" si="33"/>
        <v/>
      </c>
      <c r="G160" s="73" t="str">
        <f t="shared" si="25"/>
        <v/>
      </c>
      <c r="H160" s="56" t="str">
        <f t="shared" si="26"/>
        <v/>
      </c>
      <c r="I160" s="57" t="str">
        <f t="shared" si="27"/>
        <v/>
      </c>
      <c r="J160" s="58" t="str">
        <f t="shared" si="28"/>
        <v/>
      </c>
      <c r="L160" s="31" t="str">
        <f t="shared" si="29"/>
        <v/>
      </c>
      <c r="M160" s="32" t="str">
        <f t="shared" si="34"/>
        <v/>
      </c>
      <c r="N160" s="32" t="str">
        <f t="shared" si="30"/>
        <v/>
      </c>
      <c r="O160" s="32" t="str">
        <f t="shared" si="31"/>
        <v/>
      </c>
      <c r="P160" s="32" t="str">
        <f t="shared" si="32"/>
        <v/>
      </c>
      <c r="Q160" s="33" t="str">
        <f t="shared" si="32"/>
        <v/>
      </c>
    </row>
    <row r="161" spans="2:17" x14ac:dyDescent="0.25">
      <c r="B161" s="9">
        <v>148</v>
      </c>
      <c r="C161" s="35">
        <v>60000</v>
      </c>
      <c r="D161" s="3"/>
      <c r="E161" s="9" t="str">
        <f t="shared" si="24"/>
        <v/>
      </c>
      <c r="F161" s="54" t="str">
        <f t="shared" si="33"/>
        <v/>
      </c>
      <c r="G161" s="73" t="str">
        <f t="shared" si="25"/>
        <v/>
      </c>
      <c r="H161" s="56" t="str">
        <f t="shared" si="26"/>
        <v/>
      </c>
      <c r="I161" s="57" t="str">
        <f t="shared" si="27"/>
        <v/>
      </c>
      <c r="J161" s="58" t="str">
        <f t="shared" si="28"/>
        <v/>
      </c>
      <c r="L161" s="31" t="str">
        <f t="shared" si="29"/>
        <v/>
      </c>
      <c r="M161" s="32" t="str">
        <f t="shared" si="34"/>
        <v/>
      </c>
      <c r="N161" s="32" t="str">
        <f t="shared" si="30"/>
        <v/>
      </c>
      <c r="O161" s="32" t="str">
        <f t="shared" si="31"/>
        <v/>
      </c>
      <c r="P161" s="32" t="str">
        <f t="shared" si="32"/>
        <v/>
      </c>
      <c r="Q161" s="33" t="str">
        <f t="shared" si="32"/>
        <v/>
      </c>
    </row>
    <row r="162" spans="2:17" x14ac:dyDescent="0.25">
      <c r="B162" s="9">
        <v>149</v>
      </c>
      <c r="C162" s="35">
        <v>62000</v>
      </c>
      <c r="D162" s="3"/>
      <c r="E162" s="9" t="str">
        <f t="shared" si="24"/>
        <v/>
      </c>
      <c r="F162" s="54" t="str">
        <f t="shared" si="33"/>
        <v/>
      </c>
      <c r="G162" s="73" t="str">
        <f t="shared" si="25"/>
        <v/>
      </c>
      <c r="H162" s="56" t="str">
        <f t="shared" si="26"/>
        <v/>
      </c>
      <c r="I162" s="57" t="str">
        <f t="shared" si="27"/>
        <v/>
      </c>
      <c r="J162" s="58" t="str">
        <f t="shared" si="28"/>
        <v/>
      </c>
      <c r="L162" s="31" t="str">
        <f t="shared" si="29"/>
        <v/>
      </c>
      <c r="M162" s="32" t="str">
        <f t="shared" si="34"/>
        <v/>
      </c>
      <c r="N162" s="32" t="str">
        <f t="shared" si="30"/>
        <v/>
      </c>
      <c r="O162" s="32" t="str">
        <f t="shared" si="31"/>
        <v/>
      </c>
      <c r="P162" s="32" t="str">
        <f t="shared" si="32"/>
        <v/>
      </c>
      <c r="Q162" s="33" t="str">
        <f t="shared" si="32"/>
        <v/>
      </c>
    </row>
    <row r="163" spans="2:17" x14ac:dyDescent="0.25">
      <c r="B163" s="9">
        <v>150</v>
      </c>
      <c r="C163" s="35">
        <v>64000</v>
      </c>
      <c r="D163" s="2"/>
      <c r="E163" s="9" t="str">
        <f t="shared" si="24"/>
        <v/>
      </c>
      <c r="F163" s="54" t="str">
        <f t="shared" si="33"/>
        <v/>
      </c>
      <c r="G163" s="73" t="str">
        <f t="shared" si="25"/>
        <v/>
      </c>
      <c r="H163" s="56" t="str">
        <f t="shared" si="26"/>
        <v/>
      </c>
      <c r="I163" s="57" t="str">
        <f t="shared" si="27"/>
        <v/>
      </c>
      <c r="J163" s="58" t="str">
        <f t="shared" si="28"/>
        <v/>
      </c>
      <c r="L163" s="31" t="str">
        <f t="shared" si="29"/>
        <v/>
      </c>
      <c r="M163" s="32" t="str">
        <f t="shared" si="34"/>
        <v/>
      </c>
      <c r="N163" s="32" t="str">
        <f t="shared" si="30"/>
        <v/>
      </c>
      <c r="O163" s="32" t="str">
        <f t="shared" si="31"/>
        <v/>
      </c>
      <c r="P163" s="32" t="str">
        <f t="shared" si="32"/>
        <v/>
      </c>
      <c r="Q163" s="33" t="str">
        <f t="shared" si="32"/>
        <v/>
      </c>
    </row>
    <row r="164" spans="2:17" x14ac:dyDescent="0.25">
      <c r="B164" s="9">
        <v>151</v>
      </c>
      <c r="C164" s="35">
        <v>68000</v>
      </c>
      <c r="D164" s="2"/>
      <c r="E164" s="9" t="str">
        <f t="shared" si="24"/>
        <v/>
      </c>
      <c r="F164" s="54" t="str">
        <f t="shared" si="33"/>
        <v/>
      </c>
      <c r="G164" s="73" t="str">
        <f t="shared" si="25"/>
        <v/>
      </c>
      <c r="H164" s="56" t="str">
        <f t="shared" si="26"/>
        <v/>
      </c>
      <c r="I164" s="57" t="str">
        <f t="shared" si="27"/>
        <v/>
      </c>
      <c r="J164" s="58" t="str">
        <f t="shared" si="28"/>
        <v/>
      </c>
      <c r="L164" s="31" t="str">
        <f t="shared" si="29"/>
        <v/>
      </c>
      <c r="M164" s="32" t="str">
        <f t="shared" si="34"/>
        <v/>
      </c>
      <c r="N164" s="32" t="str">
        <f t="shared" si="30"/>
        <v/>
      </c>
      <c r="O164" s="32" t="str">
        <f t="shared" si="31"/>
        <v/>
      </c>
      <c r="P164" s="32" t="str">
        <f t="shared" si="32"/>
        <v/>
      </c>
      <c r="Q164" s="33" t="str">
        <f t="shared" si="32"/>
        <v/>
      </c>
    </row>
    <row r="165" spans="2:17" x14ac:dyDescent="0.25">
      <c r="B165" s="9">
        <v>152</v>
      </c>
      <c r="C165" s="35">
        <v>68000</v>
      </c>
      <c r="D165" s="2"/>
      <c r="E165" s="9" t="str">
        <f t="shared" si="24"/>
        <v/>
      </c>
      <c r="F165" s="54" t="str">
        <f t="shared" si="33"/>
        <v/>
      </c>
      <c r="G165" s="73" t="str">
        <f t="shared" si="25"/>
        <v/>
      </c>
      <c r="H165" s="56" t="str">
        <f t="shared" si="26"/>
        <v/>
      </c>
      <c r="I165" s="57" t="str">
        <f t="shared" si="27"/>
        <v/>
      </c>
      <c r="J165" s="58" t="str">
        <f t="shared" si="28"/>
        <v/>
      </c>
      <c r="L165" s="31" t="str">
        <f t="shared" si="29"/>
        <v/>
      </c>
      <c r="M165" s="32" t="str">
        <f t="shared" si="34"/>
        <v/>
      </c>
      <c r="N165" s="32" t="str">
        <f t="shared" si="30"/>
        <v/>
      </c>
      <c r="O165" s="32" t="str">
        <f t="shared" si="31"/>
        <v/>
      </c>
      <c r="P165" s="32" t="str">
        <f t="shared" si="32"/>
        <v/>
      </c>
      <c r="Q165" s="33" t="str">
        <f t="shared" si="32"/>
        <v/>
      </c>
    </row>
    <row r="166" spans="2:17" x14ac:dyDescent="0.25">
      <c r="B166" s="9">
        <v>153</v>
      </c>
      <c r="C166" s="35">
        <v>70000</v>
      </c>
      <c r="D166" s="2"/>
      <c r="E166" s="9" t="str">
        <f t="shared" si="24"/>
        <v/>
      </c>
      <c r="F166" s="54" t="str">
        <f t="shared" si="33"/>
        <v/>
      </c>
      <c r="G166" s="73" t="str">
        <f t="shared" si="25"/>
        <v/>
      </c>
      <c r="H166" s="56" t="str">
        <f t="shared" si="26"/>
        <v/>
      </c>
      <c r="I166" s="57" t="str">
        <f t="shared" si="27"/>
        <v/>
      </c>
      <c r="J166" s="58" t="str">
        <f t="shared" si="28"/>
        <v/>
      </c>
      <c r="L166" s="31" t="str">
        <f t="shared" si="29"/>
        <v/>
      </c>
      <c r="M166" s="32" t="str">
        <f t="shared" si="34"/>
        <v/>
      </c>
      <c r="N166" s="32" t="str">
        <f t="shared" si="30"/>
        <v/>
      </c>
      <c r="O166" s="32" t="str">
        <f t="shared" si="31"/>
        <v/>
      </c>
      <c r="P166" s="32" t="str">
        <f t="shared" si="32"/>
        <v/>
      </c>
      <c r="Q166" s="33" t="str">
        <f t="shared" si="32"/>
        <v/>
      </c>
    </row>
    <row r="167" spans="2:17" x14ac:dyDescent="0.25">
      <c r="B167" s="9">
        <v>154</v>
      </c>
      <c r="C167" s="35">
        <v>72000</v>
      </c>
      <c r="D167" s="2"/>
      <c r="E167" s="9" t="str">
        <f t="shared" si="24"/>
        <v/>
      </c>
      <c r="F167" s="54" t="str">
        <f t="shared" si="33"/>
        <v/>
      </c>
      <c r="G167" s="73" t="str">
        <f t="shared" si="25"/>
        <v/>
      </c>
      <c r="H167" s="56" t="str">
        <f t="shared" si="26"/>
        <v/>
      </c>
      <c r="I167" s="57" t="str">
        <f t="shared" si="27"/>
        <v/>
      </c>
      <c r="J167" s="58" t="str">
        <f t="shared" si="28"/>
        <v/>
      </c>
      <c r="L167" s="31" t="str">
        <f t="shared" si="29"/>
        <v/>
      </c>
      <c r="M167" s="32" t="str">
        <f t="shared" si="34"/>
        <v/>
      </c>
      <c r="N167" s="32" t="str">
        <f t="shared" si="30"/>
        <v/>
      </c>
      <c r="O167" s="32" t="str">
        <f t="shared" si="31"/>
        <v/>
      </c>
      <c r="P167" s="32" t="str">
        <f t="shared" si="32"/>
        <v/>
      </c>
      <c r="Q167" s="33" t="str">
        <f t="shared" si="32"/>
        <v/>
      </c>
    </row>
    <row r="168" spans="2:17" x14ac:dyDescent="0.25">
      <c r="B168" s="9">
        <v>155</v>
      </c>
      <c r="C168" s="35">
        <v>74000</v>
      </c>
      <c r="D168" s="2"/>
      <c r="E168" s="9" t="str">
        <f t="shared" si="24"/>
        <v/>
      </c>
      <c r="F168" s="54" t="str">
        <f t="shared" si="33"/>
        <v/>
      </c>
      <c r="G168" s="73" t="str">
        <f t="shared" si="25"/>
        <v/>
      </c>
      <c r="H168" s="56" t="str">
        <f t="shared" si="26"/>
        <v/>
      </c>
      <c r="I168" s="57" t="str">
        <f t="shared" si="27"/>
        <v/>
      </c>
      <c r="J168" s="58" t="str">
        <f t="shared" si="28"/>
        <v/>
      </c>
      <c r="L168" s="31" t="str">
        <f t="shared" si="29"/>
        <v/>
      </c>
      <c r="M168" s="32" t="str">
        <f t="shared" si="34"/>
        <v/>
      </c>
      <c r="N168" s="32" t="str">
        <f t="shared" si="30"/>
        <v/>
      </c>
      <c r="O168" s="32" t="str">
        <f t="shared" si="31"/>
        <v/>
      </c>
      <c r="P168" s="32" t="str">
        <f t="shared" si="32"/>
        <v/>
      </c>
      <c r="Q168" s="33" t="str">
        <f t="shared" si="32"/>
        <v/>
      </c>
    </row>
    <row r="169" spans="2:17" x14ac:dyDescent="0.25">
      <c r="B169" s="9">
        <v>156</v>
      </c>
      <c r="C169" s="35">
        <v>76000</v>
      </c>
      <c r="D169" s="2"/>
      <c r="E169" s="9" t="str">
        <f t="shared" si="24"/>
        <v/>
      </c>
      <c r="F169" s="54" t="str">
        <f t="shared" si="33"/>
        <v/>
      </c>
      <c r="G169" s="73" t="str">
        <f t="shared" si="25"/>
        <v/>
      </c>
      <c r="H169" s="56" t="str">
        <f t="shared" si="26"/>
        <v/>
      </c>
      <c r="I169" s="57" t="str">
        <f t="shared" si="27"/>
        <v/>
      </c>
      <c r="J169" s="58" t="str">
        <f t="shared" si="28"/>
        <v/>
      </c>
      <c r="L169" s="31" t="str">
        <f t="shared" si="29"/>
        <v/>
      </c>
      <c r="M169" s="32" t="str">
        <f t="shared" si="34"/>
        <v/>
      </c>
      <c r="N169" s="32" t="str">
        <f t="shared" si="30"/>
        <v/>
      </c>
      <c r="O169" s="32" t="str">
        <f t="shared" si="31"/>
        <v/>
      </c>
      <c r="P169" s="32" t="str">
        <f t="shared" si="32"/>
        <v/>
      </c>
      <c r="Q169" s="33" t="str">
        <f t="shared" si="32"/>
        <v/>
      </c>
    </row>
    <row r="170" spans="2:17" x14ac:dyDescent="0.25">
      <c r="B170" s="9">
        <v>157</v>
      </c>
      <c r="C170" s="35">
        <v>78000</v>
      </c>
      <c r="D170" s="2"/>
      <c r="E170" s="9" t="str">
        <f t="shared" si="24"/>
        <v/>
      </c>
      <c r="F170" s="54" t="str">
        <f t="shared" si="33"/>
        <v/>
      </c>
      <c r="G170" s="73" t="str">
        <f t="shared" si="25"/>
        <v/>
      </c>
      <c r="H170" s="56" t="str">
        <f t="shared" si="26"/>
        <v/>
      </c>
      <c r="I170" s="57" t="str">
        <f t="shared" si="27"/>
        <v/>
      </c>
      <c r="J170" s="58" t="str">
        <f t="shared" si="28"/>
        <v/>
      </c>
      <c r="L170" s="31" t="str">
        <f t="shared" si="29"/>
        <v/>
      </c>
      <c r="M170" s="32" t="str">
        <f t="shared" si="34"/>
        <v/>
      </c>
      <c r="N170" s="32" t="str">
        <f t="shared" si="30"/>
        <v/>
      </c>
      <c r="O170" s="32" t="str">
        <f t="shared" si="31"/>
        <v/>
      </c>
      <c r="P170" s="32" t="str">
        <f t="shared" si="32"/>
        <v/>
      </c>
      <c r="Q170" s="33" t="str">
        <f t="shared" si="32"/>
        <v/>
      </c>
    </row>
    <row r="171" spans="2:17" x14ac:dyDescent="0.25">
      <c r="B171" s="9">
        <v>158</v>
      </c>
      <c r="C171" s="35">
        <v>80000</v>
      </c>
      <c r="D171" s="2"/>
      <c r="E171" s="9" t="str">
        <f t="shared" si="24"/>
        <v/>
      </c>
      <c r="F171" s="54" t="str">
        <f t="shared" si="33"/>
        <v/>
      </c>
      <c r="G171" s="73" t="str">
        <f t="shared" si="25"/>
        <v/>
      </c>
      <c r="H171" s="56" t="str">
        <f t="shared" si="26"/>
        <v/>
      </c>
      <c r="I171" s="57" t="str">
        <f t="shared" si="27"/>
        <v/>
      </c>
      <c r="J171" s="58" t="str">
        <f t="shared" si="28"/>
        <v/>
      </c>
      <c r="L171" s="31" t="str">
        <f t="shared" si="29"/>
        <v/>
      </c>
      <c r="M171" s="32" t="str">
        <f t="shared" si="34"/>
        <v/>
      </c>
      <c r="N171" s="32" t="str">
        <f t="shared" si="30"/>
        <v/>
      </c>
      <c r="O171" s="32" t="str">
        <f t="shared" si="31"/>
        <v/>
      </c>
      <c r="P171" s="32" t="str">
        <f t="shared" si="32"/>
        <v/>
      </c>
      <c r="Q171" s="33" t="str">
        <f t="shared" si="32"/>
        <v/>
      </c>
    </row>
    <row r="172" spans="2:17" x14ac:dyDescent="0.25">
      <c r="B172" s="9">
        <v>159</v>
      </c>
      <c r="C172" s="35">
        <v>82000</v>
      </c>
      <c r="D172" s="2"/>
      <c r="E172" s="9" t="str">
        <f t="shared" si="24"/>
        <v/>
      </c>
      <c r="F172" s="54" t="str">
        <f t="shared" si="33"/>
        <v/>
      </c>
      <c r="G172" s="73" t="str">
        <f t="shared" si="25"/>
        <v/>
      </c>
      <c r="H172" s="56" t="str">
        <f t="shared" si="26"/>
        <v/>
      </c>
      <c r="I172" s="57" t="str">
        <f t="shared" si="27"/>
        <v/>
      </c>
      <c r="J172" s="58" t="str">
        <f t="shared" si="28"/>
        <v/>
      </c>
      <c r="L172" s="31" t="str">
        <f t="shared" si="29"/>
        <v/>
      </c>
      <c r="M172" s="32" t="str">
        <f t="shared" si="34"/>
        <v/>
      </c>
      <c r="N172" s="32" t="str">
        <f t="shared" si="30"/>
        <v/>
      </c>
      <c r="O172" s="32" t="str">
        <f t="shared" si="31"/>
        <v/>
      </c>
      <c r="P172" s="32" t="str">
        <f t="shared" si="32"/>
        <v/>
      </c>
      <c r="Q172" s="33" t="str">
        <f t="shared" si="32"/>
        <v/>
      </c>
    </row>
    <row r="173" spans="2:17" x14ac:dyDescent="0.25">
      <c r="B173" s="9">
        <v>160</v>
      </c>
      <c r="C173" s="35">
        <v>84000</v>
      </c>
      <c r="D173" s="2"/>
      <c r="E173" s="9" t="str">
        <f t="shared" si="24"/>
        <v/>
      </c>
      <c r="F173" s="54" t="str">
        <f t="shared" si="33"/>
        <v/>
      </c>
      <c r="G173" s="73" t="str">
        <f t="shared" si="25"/>
        <v/>
      </c>
      <c r="H173" s="56" t="str">
        <f t="shared" si="26"/>
        <v/>
      </c>
      <c r="I173" s="57" t="str">
        <f t="shared" si="27"/>
        <v/>
      </c>
      <c r="J173" s="58" t="str">
        <f t="shared" si="28"/>
        <v/>
      </c>
      <c r="L173" s="31" t="str">
        <f t="shared" si="29"/>
        <v/>
      </c>
      <c r="M173" s="32" t="str">
        <f t="shared" si="34"/>
        <v/>
      </c>
      <c r="N173" s="32" t="str">
        <f t="shared" si="30"/>
        <v/>
      </c>
      <c r="O173" s="32" t="str">
        <f t="shared" si="31"/>
        <v/>
      </c>
      <c r="P173" s="32" t="str">
        <f t="shared" si="32"/>
        <v/>
      </c>
      <c r="Q173" s="33" t="str">
        <f t="shared" si="32"/>
        <v/>
      </c>
    </row>
    <row r="174" spans="2:17" x14ac:dyDescent="0.25">
      <c r="B174" s="9">
        <v>161</v>
      </c>
      <c r="C174" s="35">
        <v>86000</v>
      </c>
      <c r="D174" s="2"/>
      <c r="E174" s="9" t="str">
        <f t="shared" si="24"/>
        <v/>
      </c>
      <c r="F174" s="54" t="str">
        <f t="shared" si="33"/>
        <v/>
      </c>
      <c r="G174" s="73" t="str">
        <f t="shared" si="25"/>
        <v/>
      </c>
      <c r="H174" s="56" t="str">
        <f t="shared" si="26"/>
        <v/>
      </c>
      <c r="I174" s="57" t="str">
        <f t="shared" si="27"/>
        <v/>
      </c>
      <c r="J174" s="58" t="str">
        <f t="shared" si="28"/>
        <v/>
      </c>
      <c r="L174" s="31" t="str">
        <f t="shared" si="29"/>
        <v/>
      </c>
      <c r="M174" s="32" t="str">
        <f t="shared" si="34"/>
        <v/>
      </c>
      <c r="N174" s="32" t="str">
        <f t="shared" si="30"/>
        <v/>
      </c>
      <c r="O174" s="32" t="str">
        <f t="shared" si="31"/>
        <v/>
      </c>
      <c r="P174" s="32" t="str">
        <f t="shared" ref="P174:Q203" si="35">IF(AJ176="","",AJ176)</f>
        <v/>
      </c>
      <c r="Q174" s="33" t="str">
        <f t="shared" si="35"/>
        <v/>
      </c>
    </row>
    <row r="175" spans="2:17" x14ac:dyDescent="0.25">
      <c r="B175" s="9">
        <v>162</v>
      </c>
      <c r="C175" s="35">
        <v>88000</v>
      </c>
      <c r="D175" s="2"/>
      <c r="E175" s="9" t="str">
        <f t="shared" si="24"/>
        <v/>
      </c>
      <c r="F175" s="54" t="str">
        <f t="shared" si="33"/>
        <v/>
      </c>
      <c r="G175" s="73" t="str">
        <f t="shared" si="25"/>
        <v/>
      </c>
      <c r="H175" s="56" t="str">
        <f t="shared" si="26"/>
        <v/>
      </c>
      <c r="I175" s="57" t="str">
        <f t="shared" si="27"/>
        <v/>
      </c>
      <c r="J175" s="58" t="str">
        <f t="shared" si="28"/>
        <v/>
      </c>
      <c r="L175" s="31" t="str">
        <f t="shared" si="29"/>
        <v/>
      </c>
      <c r="M175" s="32" t="str">
        <f t="shared" si="34"/>
        <v/>
      </c>
      <c r="N175" s="32" t="str">
        <f t="shared" si="30"/>
        <v/>
      </c>
      <c r="O175" s="32" t="str">
        <f t="shared" si="31"/>
        <v/>
      </c>
      <c r="P175" s="32" t="str">
        <f t="shared" si="35"/>
        <v/>
      </c>
      <c r="Q175" s="33" t="str">
        <f t="shared" si="35"/>
        <v/>
      </c>
    </row>
    <row r="176" spans="2:17" x14ac:dyDescent="0.25">
      <c r="B176" s="9">
        <v>163</v>
      </c>
      <c r="C176" s="35">
        <v>90000</v>
      </c>
      <c r="D176" s="2"/>
      <c r="E176" s="9" t="str">
        <f t="shared" si="24"/>
        <v/>
      </c>
      <c r="F176" s="54" t="str">
        <f t="shared" si="33"/>
        <v/>
      </c>
      <c r="G176" s="73" t="str">
        <f t="shared" si="25"/>
        <v/>
      </c>
      <c r="H176" s="56" t="str">
        <f t="shared" si="26"/>
        <v/>
      </c>
      <c r="I176" s="57" t="str">
        <f t="shared" si="27"/>
        <v/>
      </c>
      <c r="J176" s="58" t="str">
        <f t="shared" si="28"/>
        <v/>
      </c>
      <c r="L176" s="31" t="str">
        <f t="shared" si="29"/>
        <v/>
      </c>
      <c r="M176" s="32" t="str">
        <f t="shared" si="34"/>
        <v/>
      </c>
      <c r="N176" s="32" t="str">
        <f t="shared" si="30"/>
        <v/>
      </c>
      <c r="O176" s="32" t="str">
        <f t="shared" si="31"/>
        <v/>
      </c>
      <c r="P176" s="32" t="str">
        <f t="shared" si="35"/>
        <v/>
      </c>
      <c r="Q176" s="33" t="str">
        <f t="shared" si="35"/>
        <v/>
      </c>
    </row>
    <row r="177" spans="2:17" x14ac:dyDescent="0.25">
      <c r="B177" s="9">
        <v>164</v>
      </c>
      <c r="C177" s="35">
        <v>92000</v>
      </c>
      <c r="D177" s="2"/>
      <c r="E177" s="9" t="str">
        <f t="shared" si="24"/>
        <v/>
      </c>
      <c r="F177" s="54" t="str">
        <f t="shared" si="33"/>
        <v/>
      </c>
      <c r="G177" s="73" t="str">
        <f t="shared" si="25"/>
        <v/>
      </c>
      <c r="H177" s="56" t="str">
        <f t="shared" si="26"/>
        <v/>
      </c>
      <c r="I177" s="57" t="str">
        <f t="shared" si="27"/>
        <v/>
      </c>
      <c r="J177" s="58" t="str">
        <f t="shared" si="28"/>
        <v/>
      </c>
      <c r="L177" s="31" t="str">
        <f t="shared" si="29"/>
        <v/>
      </c>
      <c r="M177" s="32" t="str">
        <f t="shared" si="34"/>
        <v/>
      </c>
      <c r="N177" s="32" t="str">
        <f t="shared" si="30"/>
        <v/>
      </c>
      <c r="O177" s="32" t="str">
        <f t="shared" si="31"/>
        <v/>
      </c>
      <c r="P177" s="32" t="str">
        <f t="shared" si="35"/>
        <v/>
      </c>
      <c r="Q177" s="33" t="str">
        <f t="shared" si="35"/>
        <v/>
      </c>
    </row>
    <row r="178" spans="2:17" x14ac:dyDescent="0.25">
      <c r="B178" s="9">
        <v>165</v>
      </c>
      <c r="C178" s="35">
        <v>94000</v>
      </c>
      <c r="D178" s="2"/>
      <c r="E178" s="9" t="str">
        <f t="shared" si="24"/>
        <v/>
      </c>
      <c r="F178" s="54" t="str">
        <f t="shared" si="33"/>
        <v/>
      </c>
      <c r="G178" s="73" t="str">
        <f t="shared" si="25"/>
        <v/>
      </c>
      <c r="H178" s="56" t="str">
        <f t="shared" si="26"/>
        <v/>
      </c>
      <c r="I178" s="57" t="str">
        <f t="shared" si="27"/>
        <v/>
      </c>
      <c r="J178" s="58" t="str">
        <f t="shared" si="28"/>
        <v/>
      </c>
      <c r="L178" s="31" t="str">
        <f t="shared" si="29"/>
        <v/>
      </c>
      <c r="M178" s="32" t="str">
        <f t="shared" si="34"/>
        <v/>
      </c>
      <c r="N178" s="32" t="str">
        <f t="shared" si="30"/>
        <v/>
      </c>
      <c r="O178" s="32" t="str">
        <f t="shared" si="31"/>
        <v/>
      </c>
      <c r="P178" s="32" t="str">
        <f t="shared" si="35"/>
        <v/>
      </c>
      <c r="Q178" s="33" t="str">
        <f t="shared" si="35"/>
        <v/>
      </c>
    </row>
    <row r="179" spans="2:17" x14ac:dyDescent="0.25">
      <c r="B179" s="9">
        <v>166</v>
      </c>
      <c r="C179" s="35">
        <v>96000</v>
      </c>
      <c r="D179" s="2"/>
      <c r="E179" s="9" t="str">
        <f t="shared" si="24"/>
        <v/>
      </c>
      <c r="F179" s="54" t="str">
        <f t="shared" si="33"/>
        <v/>
      </c>
      <c r="G179" s="73" t="str">
        <f t="shared" si="25"/>
        <v/>
      </c>
      <c r="H179" s="56" t="str">
        <f t="shared" si="26"/>
        <v/>
      </c>
      <c r="I179" s="57" t="str">
        <f t="shared" si="27"/>
        <v/>
      </c>
      <c r="J179" s="58" t="str">
        <f t="shared" si="28"/>
        <v/>
      </c>
      <c r="L179" s="31" t="str">
        <f t="shared" si="29"/>
        <v/>
      </c>
      <c r="M179" s="32" t="str">
        <f t="shared" si="34"/>
        <v/>
      </c>
      <c r="N179" s="32" t="str">
        <f t="shared" si="30"/>
        <v/>
      </c>
      <c r="O179" s="32" t="str">
        <f t="shared" si="31"/>
        <v/>
      </c>
      <c r="P179" s="32" t="str">
        <f t="shared" si="35"/>
        <v/>
      </c>
      <c r="Q179" s="33" t="str">
        <f t="shared" si="35"/>
        <v/>
      </c>
    </row>
    <row r="180" spans="2:17" x14ac:dyDescent="0.25">
      <c r="B180" s="9">
        <v>167</v>
      </c>
      <c r="C180" s="35">
        <v>98000</v>
      </c>
      <c r="D180" s="2"/>
      <c r="E180" s="9" t="str">
        <f t="shared" si="24"/>
        <v/>
      </c>
      <c r="F180" s="54" t="str">
        <f t="shared" si="33"/>
        <v/>
      </c>
      <c r="G180" s="73" t="str">
        <f t="shared" si="25"/>
        <v/>
      </c>
      <c r="H180" s="56" t="str">
        <f t="shared" si="26"/>
        <v/>
      </c>
      <c r="I180" s="57" t="str">
        <f t="shared" si="27"/>
        <v/>
      </c>
      <c r="J180" s="58" t="str">
        <f t="shared" si="28"/>
        <v/>
      </c>
      <c r="L180" s="31" t="str">
        <f t="shared" si="29"/>
        <v/>
      </c>
      <c r="M180" s="32" t="str">
        <f t="shared" si="34"/>
        <v/>
      </c>
      <c r="N180" s="32" t="str">
        <f t="shared" si="30"/>
        <v/>
      </c>
      <c r="O180" s="32" t="str">
        <f t="shared" si="31"/>
        <v/>
      </c>
      <c r="P180" s="32" t="str">
        <f t="shared" si="35"/>
        <v/>
      </c>
      <c r="Q180" s="33" t="str">
        <f t="shared" si="35"/>
        <v/>
      </c>
    </row>
    <row r="181" spans="2:17" x14ac:dyDescent="0.25">
      <c r="B181" s="9">
        <v>168</v>
      </c>
      <c r="C181" s="35">
        <v>100000</v>
      </c>
      <c r="D181" s="2"/>
      <c r="E181" s="9" t="str">
        <f t="shared" si="24"/>
        <v/>
      </c>
      <c r="F181" s="54" t="str">
        <f t="shared" si="33"/>
        <v/>
      </c>
      <c r="G181" s="73" t="str">
        <f t="shared" si="25"/>
        <v/>
      </c>
      <c r="H181" s="56" t="str">
        <f t="shared" si="26"/>
        <v/>
      </c>
      <c r="I181" s="57" t="str">
        <f t="shared" si="27"/>
        <v/>
      </c>
      <c r="J181" s="58" t="str">
        <f t="shared" si="28"/>
        <v/>
      </c>
      <c r="L181" s="31" t="str">
        <f t="shared" si="29"/>
        <v/>
      </c>
      <c r="M181" s="32" t="str">
        <f t="shared" si="34"/>
        <v/>
      </c>
      <c r="N181" s="32" t="str">
        <f t="shared" si="30"/>
        <v/>
      </c>
      <c r="O181" s="32" t="str">
        <f t="shared" si="31"/>
        <v/>
      </c>
      <c r="P181" s="32" t="str">
        <f t="shared" si="35"/>
        <v/>
      </c>
      <c r="Q181" s="33" t="str">
        <f t="shared" si="35"/>
        <v/>
      </c>
    </row>
    <row r="182" spans="2:17" x14ac:dyDescent="0.25">
      <c r="B182" s="9">
        <v>169</v>
      </c>
      <c r="C182" s="35"/>
      <c r="D182" s="2"/>
      <c r="E182" s="9" t="str">
        <f t="shared" si="24"/>
        <v/>
      </c>
      <c r="F182" s="54" t="str">
        <f t="shared" si="33"/>
        <v/>
      </c>
      <c r="G182" s="73" t="str">
        <f t="shared" si="25"/>
        <v/>
      </c>
      <c r="H182" s="56" t="str">
        <f t="shared" si="26"/>
        <v/>
      </c>
      <c r="I182" s="57" t="str">
        <f t="shared" si="27"/>
        <v/>
      </c>
      <c r="J182" s="58" t="str">
        <f t="shared" si="28"/>
        <v/>
      </c>
      <c r="L182" s="31" t="str">
        <f t="shared" si="29"/>
        <v/>
      </c>
      <c r="M182" s="32" t="str">
        <f t="shared" si="34"/>
        <v/>
      </c>
      <c r="N182" s="32" t="str">
        <f t="shared" si="30"/>
        <v/>
      </c>
      <c r="O182" s="32" t="str">
        <f t="shared" si="31"/>
        <v/>
      </c>
      <c r="P182" s="32" t="str">
        <f t="shared" si="35"/>
        <v/>
      </c>
      <c r="Q182" s="33" t="str">
        <f t="shared" si="35"/>
        <v/>
      </c>
    </row>
    <row r="183" spans="2:17" x14ac:dyDescent="0.25">
      <c r="B183" s="9">
        <v>170</v>
      </c>
      <c r="C183" s="35"/>
      <c r="D183" s="2"/>
      <c r="E183" s="9" t="str">
        <f t="shared" si="24"/>
        <v/>
      </c>
      <c r="F183" s="54" t="str">
        <f t="shared" si="33"/>
        <v/>
      </c>
      <c r="G183" s="73" t="str">
        <f t="shared" si="25"/>
        <v/>
      </c>
      <c r="H183" s="56" t="str">
        <f t="shared" si="26"/>
        <v/>
      </c>
      <c r="I183" s="57" t="str">
        <f t="shared" si="27"/>
        <v/>
      </c>
      <c r="J183" s="58" t="str">
        <f t="shared" si="28"/>
        <v/>
      </c>
      <c r="L183" s="31" t="str">
        <f t="shared" si="29"/>
        <v/>
      </c>
      <c r="M183" s="32" t="str">
        <f t="shared" si="34"/>
        <v/>
      </c>
      <c r="N183" s="32" t="str">
        <f t="shared" si="30"/>
        <v/>
      </c>
      <c r="O183" s="32" t="str">
        <f t="shared" si="31"/>
        <v/>
      </c>
      <c r="P183" s="32" t="str">
        <f t="shared" si="35"/>
        <v/>
      </c>
      <c r="Q183" s="33" t="str">
        <f t="shared" si="35"/>
        <v/>
      </c>
    </row>
    <row r="184" spans="2:17" x14ac:dyDescent="0.25">
      <c r="B184" s="9">
        <v>171</v>
      </c>
      <c r="C184" s="35"/>
      <c r="D184" s="2"/>
      <c r="E184" s="9" t="str">
        <f t="shared" si="24"/>
        <v/>
      </c>
      <c r="F184" s="54" t="str">
        <f t="shared" si="33"/>
        <v/>
      </c>
      <c r="G184" s="73" t="str">
        <f t="shared" si="25"/>
        <v/>
      </c>
      <c r="H184" s="56" t="str">
        <f t="shared" si="26"/>
        <v/>
      </c>
      <c r="I184" s="57" t="str">
        <f t="shared" si="27"/>
        <v/>
      </c>
      <c r="J184" s="58" t="str">
        <f t="shared" si="28"/>
        <v/>
      </c>
      <c r="L184" s="31" t="str">
        <f t="shared" si="29"/>
        <v/>
      </c>
      <c r="M184" s="32" t="str">
        <f t="shared" si="34"/>
        <v/>
      </c>
      <c r="N184" s="32" t="str">
        <f t="shared" si="30"/>
        <v/>
      </c>
      <c r="O184" s="32" t="str">
        <f t="shared" si="31"/>
        <v/>
      </c>
      <c r="P184" s="32" t="str">
        <f t="shared" si="35"/>
        <v/>
      </c>
      <c r="Q184" s="33" t="str">
        <f t="shared" si="35"/>
        <v/>
      </c>
    </row>
    <row r="185" spans="2:17" x14ac:dyDescent="0.25">
      <c r="B185" s="9">
        <v>172</v>
      </c>
      <c r="C185" s="35"/>
      <c r="D185" s="2"/>
      <c r="E185" s="9" t="str">
        <f t="shared" si="24"/>
        <v/>
      </c>
      <c r="F185" s="54" t="str">
        <f t="shared" si="33"/>
        <v/>
      </c>
      <c r="G185" s="73" t="str">
        <f t="shared" si="25"/>
        <v/>
      </c>
      <c r="H185" s="56" t="str">
        <f t="shared" si="26"/>
        <v/>
      </c>
      <c r="I185" s="57" t="str">
        <f t="shared" si="27"/>
        <v/>
      </c>
      <c r="J185" s="58" t="str">
        <f t="shared" si="28"/>
        <v/>
      </c>
      <c r="L185" s="31" t="str">
        <f t="shared" si="29"/>
        <v/>
      </c>
      <c r="M185" s="32" t="str">
        <f t="shared" si="34"/>
        <v/>
      </c>
      <c r="N185" s="32" t="str">
        <f t="shared" si="30"/>
        <v/>
      </c>
      <c r="O185" s="32" t="str">
        <f t="shared" si="31"/>
        <v/>
      </c>
      <c r="P185" s="32" t="str">
        <f t="shared" si="35"/>
        <v/>
      </c>
      <c r="Q185" s="33" t="str">
        <f t="shared" si="35"/>
        <v/>
      </c>
    </row>
    <row r="186" spans="2:17" x14ac:dyDescent="0.25">
      <c r="B186" s="9">
        <v>173</v>
      </c>
      <c r="C186" s="35"/>
      <c r="D186" s="2"/>
      <c r="E186" s="9" t="str">
        <f t="shared" si="24"/>
        <v/>
      </c>
      <c r="F186" s="54" t="str">
        <f t="shared" si="33"/>
        <v/>
      </c>
      <c r="G186" s="73" t="str">
        <f t="shared" si="25"/>
        <v/>
      </c>
      <c r="H186" s="56" t="str">
        <f t="shared" si="26"/>
        <v/>
      </c>
      <c r="I186" s="57" t="str">
        <f t="shared" si="27"/>
        <v/>
      </c>
      <c r="J186" s="58" t="str">
        <f t="shared" si="28"/>
        <v/>
      </c>
      <c r="L186" s="31" t="str">
        <f t="shared" si="29"/>
        <v/>
      </c>
      <c r="M186" s="32" t="str">
        <f t="shared" si="34"/>
        <v/>
      </c>
      <c r="N186" s="32" t="str">
        <f t="shared" si="30"/>
        <v/>
      </c>
      <c r="O186" s="32" t="str">
        <f t="shared" si="31"/>
        <v/>
      </c>
      <c r="P186" s="32" t="str">
        <f t="shared" si="35"/>
        <v/>
      </c>
      <c r="Q186" s="33" t="str">
        <f t="shared" si="35"/>
        <v/>
      </c>
    </row>
    <row r="187" spans="2:17" x14ac:dyDescent="0.25">
      <c r="B187" s="9">
        <v>174</v>
      </c>
      <c r="C187" s="35"/>
      <c r="D187" s="2"/>
      <c r="E187" s="9" t="str">
        <f t="shared" si="24"/>
        <v/>
      </c>
      <c r="F187" s="54" t="str">
        <f t="shared" si="33"/>
        <v/>
      </c>
      <c r="G187" s="73" t="str">
        <f t="shared" si="25"/>
        <v/>
      </c>
      <c r="H187" s="56" t="str">
        <f t="shared" si="26"/>
        <v/>
      </c>
      <c r="I187" s="57" t="str">
        <f t="shared" si="27"/>
        <v/>
      </c>
      <c r="J187" s="58" t="str">
        <f t="shared" si="28"/>
        <v/>
      </c>
      <c r="L187" s="31" t="str">
        <f t="shared" si="29"/>
        <v/>
      </c>
      <c r="M187" s="32" t="str">
        <f t="shared" si="34"/>
        <v/>
      </c>
      <c r="N187" s="32" t="str">
        <f t="shared" si="30"/>
        <v/>
      </c>
      <c r="O187" s="32" t="str">
        <f t="shared" si="31"/>
        <v/>
      </c>
      <c r="P187" s="32" t="str">
        <f t="shared" si="35"/>
        <v/>
      </c>
      <c r="Q187" s="33" t="str">
        <f t="shared" si="35"/>
        <v/>
      </c>
    </row>
    <row r="188" spans="2:17" x14ac:dyDescent="0.25">
      <c r="B188" s="9">
        <v>175</v>
      </c>
      <c r="C188" s="35"/>
      <c r="D188" s="2"/>
      <c r="E188" s="9" t="str">
        <f t="shared" si="24"/>
        <v/>
      </c>
      <c r="F188" s="54" t="str">
        <f t="shared" si="33"/>
        <v/>
      </c>
      <c r="G188" s="73" t="str">
        <f t="shared" si="25"/>
        <v/>
      </c>
      <c r="H188" s="56" t="str">
        <f t="shared" si="26"/>
        <v/>
      </c>
      <c r="I188" s="57" t="str">
        <f t="shared" si="27"/>
        <v/>
      </c>
      <c r="J188" s="58" t="str">
        <f t="shared" si="28"/>
        <v/>
      </c>
      <c r="L188" s="31" t="str">
        <f t="shared" si="29"/>
        <v/>
      </c>
      <c r="M188" s="32" t="str">
        <f t="shared" si="34"/>
        <v/>
      </c>
      <c r="N188" s="32" t="str">
        <f t="shared" si="30"/>
        <v/>
      </c>
      <c r="O188" s="32" t="str">
        <f t="shared" si="31"/>
        <v/>
      </c>
      <c r="P188" s="32" t="str">
        <f t="shared" si="35"/>
        <v/>
      </c>
      <c r="Q188" s="33" t="str">
        <f t="shared" si="35"/>
        <v/>
      </c>
    </row>
    <row r="189" spans="2:17" x14ac:dyDescent="0.25">
      <c r="B189" s="9">
        <v>176</v>
      </c>
      <c r="C189" s="35"/>
      <c r="D189" s="2"/>
      <c r="E189" s="9" t="str">
        <f t="shared" si="24"/>
        <v/>
      </c>
      <c r="F189" s="54" t="str">
        <f t="shared" si="33"/>
        <v/>
      </c>
      <c r="G189" s="73" t="str">
        <f t="shared" si="25"/>
        <v/>
      </c>
      <c r="H189" s="56" t="str">
        <f t="shared" si="26"/>
        <v/>
      </c>
      <c r="I189" s="57" t="str">
        <f t="shared" si="27"/>
        <v/>
      </c>
      <c r="J189" s="58" t="str">
        <f t="shared" si="28"/>
        <v/>
      </c>
      <c r="L189" s="31" t="str">
        <f t="shared" si="29"/>
        <v/>
      </c>
      <c r="M189" s="32" t="str">
        <f t="shared" si="34"/>
        <v/>
      </c>
      <c r="N189" s="32" t="str">
        <f t="shared" si="30"/>
        <v/>
      </c>
      <c r="O189" s="32" t="str">
        <f t="shared" si="31"/>
        <v/>
      </c>
      <c r="P189" s="32" t="str">
        <f t="shared" si="35"/>
        <v/>
      </c>
      <c r="Q189" s="33" t="str">
        <f t="shared" si="35"/>
        <v/>
      </c>
    </row>
    <row r="190" spans="2:17" x14ac:dyDescent="0.25">
      <c r="B190" s="9">
        <v>177</v>
      </c>
      <c r="C190" s="35"/>
      <c r="D190" s="2"/>
      <c r="E190" s="9" t="str">
        <f t="shared" si="24"/>
        <v/>
      </c>
      <c r="F190" s="54" t="str">
        <f t="shared" si="33"/>
        <v/>
      </c>
      <c r="G190" s="73" t="str">
        <f t="shared" si="25"/>
        <v/>
      </c>
      <c r="H190" s="56" t="str">
        <f t="shared" si="26"/>
        <v/>
      </c>
      <c r="I190" s="57" t="str">
        <f t="shared" si="27"/>
        <v/>
      </c>
      <c r="J190" s="58" t="str">
        <f t="shared" si="28"/>
        <v/>
      </c>
      <c r="L190" s="31" t="str">
        <f t="shared" si="29"/>
        <v/>
      </c>
      <c r="M190" s="32" t="str">
        <f t="shared" si="34"/>
        <v/>
      </c>
      <c r="N190" s="32" t="str">
        <f t="shared" si="30"/>
        <v/>
      </c>
      <c r="O190" s="32" t="str">
        <f t="shared" si="31"/>
        <v/>
      </c>
      <c r="P190" s="32" t="str">
        <f t="shared" si="35"/>
        <v/>
      </c>
      <c r="Q190" s="33" t="str">
        <f t="shared" si="35"/>
        <v/>
      </c>
    </row>
    <row r="191" spans="2:17" x14ac:dyDescent="0.25">
      <c r="B191" s="9">
        <v>178</v>
      </c>
      <c r="C191" s="35"/>
      <c r="D191" s="2"/>
      <c r="E191" s="9" t="str">
        <f t="shared" si="24"/>
        <v/>
      </c>
      <c r="F191" s="54" t="str">
        <f t="shared" si="33"/>
        <v/>
      </c>
      <c r="G191" s="73" t="str">
        <f t="shared" si="25"/>
        <v/>
      </c>
      <c r="H191" s="56" t="str">
        <f t="shared" si="26"/>
        <v/>
      </c>
      <c r="I191" s="57" t="str">
        <f t="shared" si="27"/>
        <v/>
      </c>
      <c r="J191" s="58" t="str">
        <f t="shared" si="28"/>
        <v/>
      </c>
      <c r="L191" s="31" t="str">
        <f t="shared" si="29"/>
        <v/>
      </c>
      <c r="M191" s="32" t="str">
        <f t="shared" si="34"/>
        <v/>
      </c>
      <c r="N191" s="32" t="str">
        <f t="shared" si="30"/>
        <v/>
      </c>
      <c r="O191" s="32" t="str">
        <f t="shared" si="31"/>
        <v/>
      </c>
      <c r="P191" s="32" t="str">
        <f t="shared" si="35"/>
        <v/>
      </c>
      <c r="Q191" s="33" t="str">
        <f t="shared" si="35"/>
        <v/>
      </c>
    </row>
    <row r="192" spans="2:17" x14ac:dyDescent="0.25">
      <c r="B192" s="9">
        <v>179</v>
      </c>
      <c r="C192" s="35"/>
      <c r="D192" s="2"/>
      <c r="E192" s="9" t="str">
        <f t="shared" si="24"/>
        <v/>
      </c>
      <c r="F192" s="54" t="str">
        <f t="shared" si="33"/>
        <v/>
      </c>
      <c r="G192" s="73" t="str">
        <f t="shared" si="25"/>
        <v/>
      </c>
      <c r="H192" s="56" t="str">
        <f t="shared" si="26"/>
        <v/>
      </c>
      <c r="I192" s="57" t="str">
        <f t="shared" si="27"/>
        <v/>
      </c>
      <c r="J192" s="58" t="str">
        <f t="shared" si="28"/>
        <v/>
      </c>
      <c r="L192" s="31" t="str">
        <f t="shared" si="29"/>
        <v/>
      </c>
      <c r="M192" s="32" t="str">
        <f t="shared" si="34"/>
        <v/>
      </c>
      <c r="N192" s="32" t="str">
        <f t="shared" si="30"/>
        <v/>
      </c>
      <c r="O192" s="32" t="str">
        <f t="shared" si="31"/>
        <v/>
      </c>
      <c r="P192" s="32" t="str">
        <f t="shared" si="35"/>
        <v/>
      </c>
      <c r="Q192" s="33" t="str">
        <f t="shared" si="35"/>
        <v/>
      </c>
    </row>
    <row r="193" spans="2:17" x14ac:dyDescent="0.25">
      <c r="B193" s="9">
        <v>180</v>
      </c>
      <c r="C193" s="35"/>
      <c r="D193" s="2"/>
      <c r="E193" s="9" t="str">
        <f t="shared" si="24"/>
        <v/>
      </c>
      <c r="F193" s="54" t="str">
        <f t="shared" si="33"/>
        <v/>
      </c>
      <c r="G193" s="73" t="str">
        <f t="shared" si="25"/>
        <v/>
      </c>
      <c r="H193" s="56" t="str">
        <f t="shared" si="26"/>
        <v/>
      </c>
      <c r="I193" s="57" t="str">
        <f t="shared" si="27"/>
        <v/>
      </c>
      <c r="J193" s="58" t="str">
        <f t="shared" si="28"/>
        <v/>
      </c>
      <c r="L193" s="31" t="str">
        <f t="shared" si="29"/>
        <v/>
      </c>
      <c r="M193" s="32" t="str">
        <f t="shared" si="34"/>
        <v/>
      </c>
      <c r="N193" s="32" t="str">
        <f t="shared" si="30"/>
        <v/>
      </c>
      <c r="O193" s="32" t="str">
        <f t="shared" si="31"/>
        <v/>
      </c>
      <c r="P193" s="32" t="str">
        <f t="shared" si="35"/>
        <v/>
      </c>
      <c r="Q193" s="33" t="str">
        <f t="shared" si="35"/>
        <v/>
      </c>
    </row>
    <row r="194" spans="2:17" x14ac:dyDescent="0.25">
      <c r="B194" s="9">
        <v>181</v>
      </c>
      <c r="C194" s="35"/>
      <c r="D194" s="2"/>
      <c r="E194" s="9" t="str">
        <f t="shared" si="24"/>
        <v/>
      </c>
      <c r="F194" s="54" t="str">
        <f t="shared" si="33"/>
        <v/>
      </c>
      <c r="G194" s="73" t="str">
        <f t="shared" si="25"/>
        <v/>
      </c>
      <c r="H194" s="56" t="str">
        <f t="shared" si="26"/>
        <v/>
      </c>
      <c r="I194" s="57" t="str">
        <f t="shared" si="27"/>
        <v/>
      </c>
      <c r="J194" s="58" t="str">
        <f t="shared" si="28"/>
        <v/>
      </c>
      <c r="L194" s="31" t="str">
        <f t="shared" si="29"/>
        <v/>
      </c>
      <c r="M194" s="32" t="str">
        <f t="shared" si="34"/>
        <v/>
      </c>
      <c r="N194" s="32" t="str">
        <f t="shared" si="30"/>
        <v/>
      </c>
      <c r="O194" s="32" t="str">
        <f t="shared" si="31"/>
        <v/>
      </c>
      <c r="P194" s="32" t="str">
        <f t="shared" si="35"/>
        <v/>
      </c>
      <c r="Q194" s="33" t="str">
        <f t="shared" si="35"/>
        <v/>
      </c>
    </row>
    <row r="195" spans="2:17" x14ac:dyDescent="0.25">
      <c r="B195" s="9">
        <v>182</v>
      </c>
      <c r="C195" s="35"/>
      <c r="D195" s="2"/>
      <c r="E195" s="9" t="str">
        <f t="shared" si="24"/>
        <v/>
      </c>
      <c r="F195" s="54" t="str">
        <f t="shared" si="33"/>
        <v/>
      </c>
      <c r="G195" s="73" t="str">
        <f t="shared" si="25"/>
        <v/>
      </c>
      <c r="H195" s="56" t="str">
        <f t="shared" si="26"/>
        <v/>
      </c>
      <c r="I195" s="57" t="str">
        <f t="shared" si="27"/>
        <v/>
      </c>
      <c r="J195" s="58" t="str">
        <f t="shared" si="28"/>
        <v/>
      </c>
      <c r="L195" s="31" t="str">
        <f t="shared" si="29"/>
        <v/>
      </c>
      <c r="M195" s="32" t="str">
        <f t="shared" si="34"/>
        <v/>
      </c>
      <c r="N195" s="32" t="str">
        <f t="shared" si="30"/>
        <v/>
      </c>
      <c r="O195" s="32" t="str">
        <f t="shared" si="31"/>
        <v/>
      </c>
      <c r="P195" s="32" t="str">
        <f t="shared" si="35"/>
        <v/>
      </c>
      <c r="Q195" s="33" t="str">
        <f t="shared" si="35"/>
        <v/>
      </c>
    </row>
    <row r="196" spans="2:17" x14ac:dyDescent="0.25">
      <c r="B196" s="9">
        <v>183</v>
      </c>
      <c r="C196" s="35"/>
      <c r="D196" s="2"/>
      <c r="E196" s="9" t="str">
        <f t="shared" si="24"/>
        <v/>
      </c>
      <c r="F196" s="54" t="str">
        <f t="shared" si="33"/>
        <v/>
      </c>
      <c r="G196" s="73" t="str">
        <f t="shared" si="25"/>
        <v/>
      </c>
      <c r="H196" s="56" t="str">
        <f t="shared" si="26"/>
        <v/>
      </c>
      <c r="I196" s="57" t="str">
        <f t="shared" si="27"/>
        <v/>
      </c>
      <c r="J196" s="58" t="str">
        <f t="shared" si="28"/>
        <v/>
      </c>
      <c r="L196" s="31" t="str">
        <f t="shared" si="29"/>
        <v/>
      </c>
      <c r="M196" s="32" t="str">
        <f t="shared" si="34"/>
        <v/>
      </c>
      <c r="N196" s="32" t="str">
        <f t="shared" si="30"/>
        <v/>
      </c>
      <c r="O196" s="32" t="str">
        <f t="shared" si="31"/>
        <v/>
      </c>
      <c r="P196" s="32" t="str">
        <f t="shared" si="35"/>
        <v/>
      </c>
      <c r="Q196" s="33" t="str">
        <f t="shared" si="35"/>
        <v/>
      </c>
    </row>
    <row r="197" spans="2:17" x14ac:dyDescent="0.25">
      <c r="B197" s="9">
        <v>184</v>
      </c>
      <c r="C197" s="35"/>
      <c r="D197" s="2"/>
      <c r="E197" s="9" t="str">
        <f t="shared" si="24"/>
        <v/>
      </c>
      <c r="F197" s="54" t="str">
        <f t="shared" si="33"/>
        <v/>
      </c>
      <c r="G197" s="73" t="str">
        <f t="shared" si="25"/>
        <v/>
      </c>
      <c r="H197" s="56" t="str">
        <f t="shared" si="26"/>
        <v/>
      </c>
      <c r="I197" s="57" t="str">
        <f t="shared" si="27"/>
        <v/>
      </c>
      <c r="J197" s="58" t="str">
        <f t="shared" si="28"/>
        <v/>
      </c>
      <c r="L197" s="31" t="str">
        <f t="shared" si="29"/>
        <v/>
      </c>
      <c r="M197" s="32" t="str">
        <f t="shared" si="34"/>
        <v/>
      </c>
      <c r="N197" s="32" t="str">
        <f t="shared" si="30"/>
        <v/>
      </c>
      <c r="O197" s="32" t="str">
        <f t="shared" si="31"/>
        <v/>
      </c>
      <c r="P197" s="32" t="str">
        <f t="shared" si="35"/>
        <v/>
      </c>
      <c r="Q197" s="33" t="str">
        <f t="shared" si="35"/>
        <v/>
      </c>
    </row>
    <row r="198" spans="2:17" x14ac:dyDescent="0.25">
      <c r="B198" s="9">
        <v>185</v>
      </c>
      <c r="C198" s="35"/>
      <c r="D198" s="2"/>
      <c r="E198" s="9" t="str">
        <f t="shared" si="24"/>
        <v/>
      </c>
      <c r="F198" s="54" t="str">
        <f t="shared" si="33"/>
        <v/>
      </c>
      <c r="G198" s="73" t="str">
        <f t="shared" si="25"/>
        <v/>
      </c>
      <c r="H198" s="56" t="str">
        <f t="shared" si="26"/>
        <v/>
      </c>
      <c r="I198" s="57" t="str">
        <f t="shared" si="27"/>
        <v/>
      </c>
      <c r="J198" s="58" t="str">
        <f t="shared" si="28"/>
        <v/>
      </c>
      <c r="L198" s="31" t="str">
        <f t="shared" si="29"/>
        <v/>
      </c>
      <c r="M198" s="32" t="str">
        <f t="shared" si="34"/>
        <v/>
      </c>
      <c r="N198" s="32" t="str">
        <f t="shared" si="30"/>
        <v/>
      </c>
      <c r="O198" s="32" t="str">
        <f t="shared" si="31"/>
        <v/>
      </c>
      <c r="P198" s="32" t="str">
        <f t="shared" si="35"/>
        <v/>
      </c>
      <c r="Q198" s="33" t="str">
        <f t="shared" si="35"/>
        <v/>
      </c>
    </row>
    <row r="199" spans="2:17" x14ac:dyDescent="0.25">
      <c r="B199" s="9">
        <v>186</v>
      </c>
      <c r="C199" s="35"/>
      <c r="D199" s="2"/>
      <c r="E199" s="9" t="str">
        <f t="shared" si="24"/>
        <v/>
      </c>
      <c r="F199" s="54" t="str">
        <f t="shared" si="33"/>
        <v/>
      </c>
      <c r="G199" s="73" t="str">
        <f t="shared" si="25"/>
        <v/>
      </c>
      <c r="H199" s="56" t="str">
        <f t="shared" si="26"/>
        <v/>
      </c>
      <c r="I199" s="57" t="str">
        <f t="shared" si="27"/>
        <v/>
      </c>
      <c r="J199" s="58" t="str">
        <f t="shared" si="28"/>
        <v/>
      </c>
      <c r="L199" s="31" t="str">
        <f t="shared" si="29"/>
        <v/>
      </c>
      <c r="M199" s="32" t="str">
        <f t="shared" si="34"/>
        <v/>
      </c>
      <c r="N199" s="32" t="str">
        <f t="shared" si="30"/>
        <v/>
      </c>
      <c r="O199" s="32" t="str">
        <f t="shared" si="31"/>
        <v/>
      </c>
      <c r="P199" s="32" t="str">
        <f t="shared" si="35"/>
        <v/>
      </c>
      <c r="Q199" s="33" t="str">
        <f t="shared" si="35"/>
        <v/>
      </c>
    </row>
    <row r="200" spans="2:17" x14ac:dyDescent="0.25">
      <c r="B200" s="9">
        <v>187</v>
      </c>
      <c r="C200" s="35"/>
      <c r="D200" s="2"/>
      <c r="E200" s="9" t="str">
        <f t="shared" si="24"/>
        <v/>
      </c>
      <c r="F200" s="54" t="str">
        <f t="shared" si="33"/>
        <v/>
      </c>
      <c r="G200" s="73" t="str">
        <f t="shared" si="25"/>
        <v/>
      </c>
      <c r="H200" s="56" t="str">
        <f t="shared" si="26"/>
        <v/>
      </c>
      <c r="I200" s="57" t="str">
        <f t="shared" si="27"/>
        <v/>
      </c>
      <c r="J200" s="58" t="str">
        <f t="shared" si="28"/>
        <v/>
      </c>
      <c r="L200" s="31" t="str">
        <f t="shared" si="29"/>
        <v/>
      </c>
      <c r="M200" s="32" t="str">
        <f t="shared" si="34"/>
        <v/>
      </c>
      <c r="N200" s="32" t="str">
        <f t="shared" si="30"/>
        <v/>
      </c>
      <c r="O200" s="32" t="str">
        <f t="shared" si="31"/>
        <v/>
      </c>
      <c r="P200" s="32" t="str">
        <f t="shared" si="35"/>
        <v/>
      </c>
      <c r="Q200" s="33" t="str">
        <f t="shared" si="35"/>
        <v/>
      </c>
    </row>
    <row r="201" spans="2:17" x14ac:dyDescent="0.25">
      <c r="B201" s="9">
        <v>188</v>
      </c>
      <c r="C201" s="35"/>
      <c r="D201" s="2"/>
      <c r="E201" s="9" t="str">
        <f t="shared" si="24"/>
        <v/>
      </c>
      <c r="F201" s="54" t="str">
        <f t="shared" si="33"/>
        <v/>
      </c>
      <c r="G201" s="73" t="str">
        <f t="shared" si="25"/>
        <v/>
      </c>
      <c r="H201" s="56" t="str">
        <f t="shared" si="26"/>
        <v/>
      </c>
      <c r="I201" s="57" t="str">
        <f t="shared" si="27"/>
        <v/>
      </c>
      <c r="J201" s="58" t="str">
        <f t="shared" si="28"/>
        <v/>
      </c>
      <c r="L201" s="31" t="str">
        <f t="shared" si="29"/>
        <v/>
      </c>
      <c r="M201" s="32" t="str">
        <f t="shared" si="34"/>
        <v/>
      </c>
      <c r="N201" s="32" t="str">
        <f t="shared" si="30"/>
        <v/>
      </c>
      <c r="O201" s="32" t="str">
        <f t="shared" si="31"/>
        <v/>
      </c>
      <c r="P201" s="32" t="str">
        <f t="shared" si="35"/>
        <v/>
      </c>
      <c r="Q201" s="33" t="str">
        <f t="shared" si="35"/>
        <v/>
      </c>
    </row>
    <row r="202" spans="2:17" x14ac:dyDescent="0.25">
      <c r="B202" s="9">
        <v>189</v>
      </c>
      <c r="C202" s="35"/>
      <c r="D202" s="2"/>
      <c r="E202" s="9" t="str">
        <f t="shared" si="24"/>
        <v/>
      </c>
      <c r="F202" s="54" t="str">
        <f t="shared" si="33"/>
        <v/>
      </c>
      <c r="G202" s="73" t="str">
        <f t="shared" si="25"/>
        <v/>
      </c>
      <c r="H202" s="56" t="str">
        <f t="shared" si="26"/>
        <v/>
      </c>
      <c r="I202" s="57" t="str">
        <f t="shared" si="27"/>
        <v/>
      </c>
      <c r="J202" s="58" t="str">
        <f t="shared" si="28"/>
        <v/>
      </c>
      <c r="L202" s="31" t="str">
        <f t="shared" si="29"/>
        <v/>
      </c>
      <c r="M202" s="32" t="str">
        <f t="shared" si="34"/>
        <v/>
      </c>
      <c r="N202" s="32" t="str">
        <f t="shared" si="30"/>
        <v/>
      </c>
      <c r="O202" s="32" t="str">
        <f t="shared" si="31"/>
        <v/>
      </c>
      <c r="P202" s="32" t="str">
        <f t="shared" si="35"/>
        <v/>
      </c>
      <c r="Q202" s="33" t="str">
        <f t="shared" si="35"/>
        <v/>
      </c>
    </row>
    <row r="203" spans="2:17" ht="13.8" thickBot="1" x14ac:dyDescent="0.3">
      <c r="B203" s="10">
        <v>190</v>
      </c>
      <c r="C203" s="36"/>
      <c r="D203" s="2"/>
      <c r="E203" s="10" t="str">
        <f t="shared" si="24"/>
        <v/>
      </c>
      <c r="F203" s="26" t="str">
        <f t="shared" si="33"/>
        <v/>
      </c>
      <c r="G203" s="74" t="str">
        <f t="shared" si="25"/>
        <v/>
      </c>
      <c r="H203" s="60" t="str">
        <f t="shared" si="26"/>
        <v/>
      </c>
      <c r="I203" s="61" t="str">
        <f t="shared" si="27"/>
        <v/>
      </c>
      <c r="J203" s="62" t="str">
        <f t="shared" si="28"/>
        <v/>
      </c>
      <c r="L203" s="65" t="str">
        <f t="shared" si="29"/>
        <v/>
      </c>
      <c r="M203" s="66" t="str">
        <f t="shared" si="34"/>
        <v/>
      </c>
      <c r="N203" s="66" t="str">
        <f t="shared" si="30"/>
        <v/>
      </c>
      <c r="O203" s="66" t="str">
        <f t="shared" si="31"/>
        <v/>
      </c>
      <c r="P203" s="66" t="str">
        <f t="shared" si="35"/>
        <v/>
      </c>
      <c r="Q203" s="67" t="str">
        <f t="shared" si="35"/>
        <v/>
      </c>
    </row>
    <row r="204" spans="2:17" ht="13.8" thickTop="1" x14ac:dyDescent="0.25">
      <c r="B204" s="2"/>
      <c r="C204" s="2"/>
      <c r="D204" s="2"/>
      <c r="E204" s="2"/>
      <c r="F204" s="2"/>
      <c r="G204" s="43"/>
      <c r="H204" s="2"/>
    </row>
    <row r="205" spans="2:17" x14ac:dyDescent="0.25">
      <c r="B205" s="2"/>
      <c r="C205" s="2"/>
      <c r="D205" s="2"/>
      <c r="E205" s="2"/>
      <c r="F205" s="2"/>
      <c r="G205" s="43"/>
      <c r="H205" s="2"/>
    </row>
    <row r="206" spans="2:17" x14ac:dyDescent="0.25">
      <c r="B206" s="2"/>
      <c r="C206" s="2"/>
      <c r="D206" s="2"/>
      <c r="E206" s="2"/>
      <c r="F206" s="2"/>
      <c r="G206" s="43"/>
      <c r="H206" s="2"/>
    </row>
    <row r="207" spans="2:17" x14ac:dyDescent="0.25">
      <c r="B207" s="2"/>
      <c r="C207" s="2"/>
      <c r="D207" s="2"/>
      <c r="E207" s="2"/>
      <c r="F207" s="2"/>
      <c r="G207" s="43"/>
      <c r="H207" s="2"/>
    </row>
  </sheetData>
  <mergeCells count="14">
    <mergeCell ref="E8:G8"/>
    <mergeCell ref="E9:G9"/>
    <mergeCell ref="U3:V3"/>
    <mergeCell ref="E4:G4"/>
    <mergeCell ref="B11:C11"/>
    <mergeCell ref="E11:J11"/>
    <mergeCell ref="B3:C3"/>
    <mergeCell ref="E3:H3"/>
    <mergeCell ref="J3:K3"/>
    <mergeCell ref="M3:R3"/>
    <mergeCell ref="L11:Q11"/>
    <mergeCell ref="E5:G5"/>
    <mergeCell ref="E6:G6"/>
    <mergeCell ref="E7:G7"/>
  </mergeCells>
  <pageMargins left="0.75" right="0.75" top="1" bottom="1" header="0.5" footer="0.5"/>
  <pageSetup paperSize="9" orientation="portrait" verticalDpi="0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6F2EE-F694-490E-92B5-7A8557044DC7}">
  <sheetPr codeName="Blad20"/>
  <dimension ref="B1:AU207"/>
  <sheetViews>
    <sheetView topLeftCell="A16" workbookViewId="0">
      <selection activeCell="B1" sqref="B1"/>
    </sheetView>
  </sheetViews>
  <sheetFormatPr defaultRowHeight="13.2" x14ac:dyDescent="0.25"/>
  <cols>
    <col min="1" max="1" width="2" customWidth="1"/>
    <col min="4" max="4" width="4.5546875" customWidth="1"/>
    <col min="6" max="6" width="10.6640625" bestFit="1" customWidth="1"/>
    <col min="11" max="11" width="8.33203125" customWidth="1"/>
  </cols>
  <sheetData>
    <row r="1" spans="2:47" ht="12" customHeight="1" x14ac:dyDescent="0.25">
      <c r="B1" s="4"/>
      <c r="E1" s="2"/>
      <c r="F1" s="1"/>
      <c r="G1" s="2"/>
      <c r="H1" s="2"/>
      <c r="S1" t="str">
        <f>Invoer!L1</f>
        <v>versie 1.2 juli 2009</v>
      </c>
    </row>
    <row r="2" spans="2:47" ht="5.25" customHeight="1" thickBot="1" x14ac:dyDescent="0.3">
      <c r="B2" s="51"/>
      <c r="H2" s="2"/>
    </row>
    <row r="3" spans="2:47" ht="14.4" thickTop="1" thickBot="1" x14ac:dyDescent="0.3">
      <c r="B3" s="152" t="s">
        <v>22</v>
      </c>
      <c r="C3" s="154"/>
      <c r="E3" s="152" t="s">
        <v>15</v>
      </c>
      <c r="F3" s="153"/>
      <c r="G3" s="153"/>
      <c r="H3" s="154"/>
      <c r="J3" s="152" t="s">
        <v>20</v>
      </c>
      <c r="K3" s="160"/>
      <c r="M3" s="152" t="s">
        <v>31</v>
      </c>
      <c r="N3" s="153"/>
      <c r="O3" s="153"/>
      <c r="P3" s="153"/>
      <c r="Q3" s="161"/>
      <c r="R3" s="162"/>
      <c r="U3" s="152" t="s">
        <v>23</v>
      </c>
      <c r="V3" s="160"/>
    </row>
    <row r="4" spans="2:47" ht="16.2" thickTop="1" x14ac:dyDescent="0.35">
      <c r="B4" s="18" t="s">
        <v>12</v>
      </c>
      <c r="C4" s="83" t="s">
        <v>131</v>
      </c>
      <c r="E4" s="155" t="s">
        <v>35</v>
      </c>
      <c r="F4" s="146"/>
      <c r="G4" s="147"/>
      <c r="H4" s="38">
        <v>5</v>
      </c>
      <c r="J4" s="16" t="s">
        <v>11</v>
      </c>
      <c r="K4" s="20">
        <f>COUNT(G14:G203)</f>
        <v>29</v>
      </c>
      <c r="M4" s="6" t="s">
        <v>12</v>
      </c>
      <c r="N4" s="88" t="s">
        <v>54</v>
      </c>
      <c r="O4" s="15" t="s">
        <v>53</v>
      </c>
      <c r="P4" s="15" t="s">
        <v>29</v>
      </c>
      <c r="Q4" s="68" t="s">
        <v>45</v>
      </c>
      <c r="R4" s="20" t="s">
        <v>30</v>
      </c>
      <c r="U4" s="69" t="s">
        <v>7</v>
      </c>
      <c r="V4" s="21">
        <f>IF(C6="","",((H7/1000)^3-1.5*(H6/1000)^2*(H7/1000)+0.5*(H6/1000)^3)/(4*(C6/1000)*(C7/1000)^3))</f>
        <v>310.57779427726041</v>
      </c>
    </row>
    <row r="5" spans="2:47" ht="16.2" thickBot="1" x14ac:dyDescent="0.4">
      <c r="B5" s="19" t="s">
        <v>27</v>
      </c>
      <c r="C5" s="27">
        <v>1341.3</v>
      </c>
      <c r="D5" s="2"/>
      <c r="E5" s="145" t="s">
        <v>14</v>
      </c>
      <c r="F5" s="148"/>
      <c r="G5" s="147"/>
      <c r="H5" s="28">
        <v>1</v>
      </c>
      <c r="J5" s="17" t="s">
        <v>18</v>
      </c>
      <c r="K5" s="21">
        <f>IF(I15="","",ROUND(AVERAGE(I15:I16),0))</f>
        <v>3157</v>
      </c>
      <c r="M5" s="13"/>
      <c r="N5" s="12" t="s">
        <v>48</v>
      </c>
      <c r="O5" s="14" t="s">
        <v>1</v>
      </c>
      <c r="P5" s="14" t="s">
        <v>1</v>
      </c>
      <c r="Q5" s="68" t="s">
        <v>46</v>
      </c>
      <c r="R5" s="22" t="s">
        <v>10</v>
      </c>
      <c r="U5" s="69" t="s">
        <v>8</v>
      </c>
      <c r="V5" s="87">
        <f>0.573*C5/1000+0.872*H8/1000</f>
        <v>2.2509649</v>
      </c>
    </row>
    <row r="6" spans="2:47" ht="14.4" thickTop="1" thickBot="1" x14ac:dyDescent="0.3">
      <c r="B6" s="19" t="s">
        <v>5</v>
      </c>
      <c r="C6" s="27">
        <v>50.3</v>
      </c>
      <c r="D6" s="2"/>
      <c r="E6" s="145" t="s">
        <v>26</v>
      </c>
      <c r="F6" s="146"/>
      <c r="G6" s="147"/>
      <c r="H6" s="28">
        <v>0</v>
      </c>
      <c r="J6" s="17" t="s">
        <v>44</v>
      </c>
      <c r="K6" s="21">
        <f>IF(J15="","",ROUND(AVERAGE(J15:J16),0))</f>
        <v>12</v>
      </c>
      <c r="M6" s="16"/>
      <c r="N6" s="45"/>
      <c r="O6" s="45"/>
      <c r="P6" s="45"/>
      <c r="Q6" s="15"/>
      <c r="R6" s="39"/>
      <c r="U6" s="13" t="s">
        <v>57</v>
      </c>
      <c r="V6" s="98">
        <f ca="1">IF(K5="","",(OFFSET(H14,K4-1,1)+OFFSET(H14,K4-1,1))/2)</f>
        <v>137</v>
      </c>
      <c r="AB6" t="s">
        <v>84</v>
      </c>
    </row>
    <row r="7" spans="2:47" ht="16.8" thickTop="1" thickBot="1" x14ac:dyDescent="0.4">
      <c r="B7" s="19" t="s">
        <v>6</v>
      </c>
      <c r="C7" s="27">
        <v>50.4</v>
      </c>
      <c r="D7" s="2"/>
      <c r="E7" s="145" t="s">
        <v>25</v>
      </c>
      <c r="F7" s="146"/>
      <c r="G7" s="147"/>
      <c r="H7" s="28">
        <v>200</v>
      </c>
      <c r="J7" s="17" t="s">
        <v>19</v>
      </c>
      <c r="K7" s="21">
        <f ca="1">IF(K5="n/b","",OFFSET(B14,K4-1,1))</f>
        <v>700</v>
      </c>
      <c r="M7" s="13" t="str">
        <f>IF(C4="","",C4)</f>
        <v>7V</v>
      </c>
      <c r="N7" s="42">
        <f ca="1">IF(K8="","",K$8)</f>
        <v>3.1648518518518531</v>
      </c>
      <c r="O7" s="42">
        <f ca="1">K9</f>
        <v>1.6486071428571432</v>
      </c>
      <c r="P7" s="46">
        <f>K5</f>
        <v>3157</v>
      </c>
      <c r="Q7" s="46">
        <f>K6</f>
        <v>12</v>
      </c>
      <c r="R7" s="50">
        <f ca="1">K7</f>
        <v>700</v>
      </c>
      <c r="AB7" t="s">
        <v>85</v>
      </c>
    </row>
    <row r="8" spans="2:47" ht="16.8" thickTop="1" thickBot="1" x14ac:dyDescent="0.4">
      <c r="B8" s="37" t="s">
        <v>51</v>
      </c>
      <c r="C8" s="82"/>
      <c r="D8" s="2"/>
      <c r="E8" s="145" t="s">
        <v>28</v>
      </c>
      <c r="F8" s="148"/>
      <c r="G8" s="146"/>
      <c r="H8" s="28">
        <v>1700</v>
      </c>
      <c r="J8" s="17" t="s">
        <v>49</v>
      </c>
      <c r="K8" s="87">
        <f ca="1">IF(G14="","",AVERAGE(G15:OFFSET(F14,MATCH(K7,C14:C200)-2,1)))</f>
        <v>3.1648518518518531</v>
      </c>
      <c r="L8" s="135"/>
      <c r="AB8" t="s">
        <v>136</v>
      </c>
    </row>
    <row r="9" spans="2:47" ht="16.8" thickTop="1" thickBot="1" x14ac:dyDescent="0.4">
      <c r="B9" s="23" t="s">
        <v>50</v>
      </c>
      <c r="C9" s="24">
        <f>IF(C7="","",1.5*H7*(C8-H9)/(C6*C7^2))</f>
        <v>-0.11739840623680443</v>
      </c>
      <c r="D9" s="2"/>
      <c r="E9" s="149" t="s">
        <v>55</v>
      </c>
      <c r="F9" s="150"/>
      <c r="G9" s="151"/>
      <c r="H9" s="29">
        <v>50</v>
      </c>
      <c r="J9" s="23" t="s">
        <v>52</v>
      </c>
      <c r="K9" s="24">
        <f ca="1">IF(H14="","",AVERAGE(H15:OFFSET(H14,MATCH(K7,C14:C200)-1,0)))</f>
        <v>1.6486071428571432</v>
      </c>
      <c r="L9" s="135"/>
      <c r="AB9" t="s">
        <v>137</v>
      </c>
    </row>
    <row r="10" spans="2:47" ht="6.75" customHeight="1" thickTop="1" thickBot="1" x14ac:dyDescent="0.3">
      <c r="B10" s="5"/>
      <c r="C10" s="5"/>
      <c r="D10" s="2"/>
      <c r="E10" s="2"/>
      <c r="F10" s="2"/>
      <c r="G10" s="2"/>
      <c r="H10" s="2"/>
      <c r="AB10" t="s">
        <v>134</v>
      </c>
    </row>
    <row r="11" spans="2:47" ht="14.4" thickTop="1" thickBot="1" x14ac:dyDescent="0.3">
      <c r="B11" s="163" t="s">
        <v>13</v>
      </c>
      <c r="C11" s="164"/>
      <c r="D11" s="2"/>
      <c r="E11" s="152" t="s">
        <v>16</v>
      </c>
      <c r="F11" s="165"/>
      <c r="G11" s="165"/>
      <c r="H11" s="161"/>
      <c r="I11" s="161"/>
      <c r="J11" s="162"/>
      <c r="L11" s="152" t="s">
        <v>17</v>
      </c>
      <c r="M11" s="153"/>
      <c r="N11" s="153"/>
      <c r="O11" s="153"/>
      <c r="P11" s="153"/>
      <c r="Q11" s="154"/>
      <c r="AB11" t="s">
        <v>138</v>
      </c>
    </row>
    <row r="12" spans="2:47" ht="16.2" thickTop="1" x14ac:dyDescent="0.35">
      <c r="B12" s="6"/>
      <c r="C12" s="8" t="s">
        <v>9</v>
      </c>
      <c r="D12" s="3"/>
      <c r="E12" s="52" t="s">
        <v>80</v>
      </c>
      <c r="F12" s="53" t="s">
        <v>36</v>
      </c>
      <c r="G12" s="53" t="s">
        <v>81</v>
      </c>
      <c r="H12" s="55" t="s">
        <v>37</v>
      </c>
      <c r="I12" s="7" t="s">
        <v>0</v>
      </c>
      <c r="J12" s="8" t="s">
        <v>2</v>
      </c>
      <c r="K12" s="138"/>
      <c r="L12" s="7" t="s">
        <v>38</v>
      </c>
      <c r="M12" s="25" t="s">
        <v>82</v>
      </c>
      <c r="N12" s="25" t="s">
        <v>39</v>
      </c>
      <c r="O12" s="25" t="s">
        <v>43</v>
      </c>
      <c r="P12" s="25" t="s">
        <v>24</v>
      </c>
      <c r="Q12" s="8" t="s">
        <v>21</v>
      </c>
    </row>
    <row r="13" spans="2:47" ht="13.8" thickBot="1" x14ac:dyDescent="0.3">
      <c r="B13" s="13"/>
      <c r="C13" s="11" t="s">
        <v>10</v>
      </c>
      <c r="D13" s="3"/>
      <c r="E13" s="10" t="s">
        <v>4</v>
      </c>
      <c r="F13" s="26" t="s">
        <v>4</v>
      </c>
      <c r="G13" s="26" t="s">
        <v>1</v>
      </c>
      <c r="H13" s="63" t="s">
        <v>1</v>
      </c>
      <c r="I13" s="10" t="s">
        <v>1</v>
      </c>
      <c r="J13" s="11" t="s">
        <v>3</v>
      </c>
      <c r="K13" s="136"/>
      <c r="L13" s="10" t="s">
        <v>40</v>
      </c>
      <c r="M13" s="26" t="s">
        <v>40</v>
      </c>
      <c r="N13" s="26" t="s">
        <v>41</v>
      </c>
      <c r="O13" s="26" t="s">
        <v>41</v>
      </c>
      <c r="P13" s="26" t="s">
        <v>42</v>
      </c>
      <c r="Q13" s="11" t="s">
        <v>42</v>
      </c>
    </row>
    <row r="14" spans="2:47" ht="13.8" thickTop="1" x14ac:dyDescent="0.25">
      <c r="B14" s="7">
        <v>1</v>
      </c>
      <c r="C14" s="34">
        <v>0</v>
      </c>
      <c r="D14" s="3"/>
      <c r="E14" s="9">
        <f t="shared" ref="E14:E77" si="0">IF(L14="","",ROUND(12*C$7/(2*H$7^2+2*H$6*H$7-H$6^2)*L14*1000000,0))</f>
        <v>1376</v>
      </c>
      <c r="F14" s="54">
        <f>IF(L14="","",ABS(ROUND(12*C$7/(2*(H$7/1000)^2+2*(H$6/1000)*(H$7/1000)-(H$6/1000)^2)*(M14-M$14)*1,0)))</f>
        <v>0</v>
      </c>
      <c r="G14" s="73">
        <f t="shared" ref="G14:G77" si="1">IF(L14="","",ROUND(1.5*((N14-O14)*1000*H$7)/(C$6*C$7^2),3))</f>
        <v>3.052</v>
      </c>
      <c r="H14" s="56">
        <f t="shared" ref="H14:H77" si="2">IF(L14="","",ROUND(1.5*((N14/2-O14)*1000*H$7)/(C$6*C$7^2),3))</f>
        <v>1.5840000000000001</v>
      </c>
      <c r="I14" s="57">
        <f t="shared" ref="I14:I77" si="3">IF(L14="","",IF(P14&lt;=0,"foute meting",ROUND(0.000001*V$4*SQRT((1000000*Q14)^2+(1000000*P14+V$5*(2*PI()*H$5)^2)^2),0)))</f>
        <v>3152</v>
      </c>
      <c r="J14" s="58">
        <f t="shared" ref="J14:J77" si="4">IF(L14="","",ROUND(ATAN(Q14/P14)/PI()*180,1))</f>
        <v>6.6</v>
      </c>
      <c r="L14" s="31">
        <f t="shared" ref="L14:L77" si="5">IF(AG16&lt;=0,"",AG16)</f>
        <v>0.182</v>
      </c>
      <c r="M14" s="30">
        <f>IF(AG16="","",AG16/2-AE16)</f>
        <v>8.5999999999999993E-2</v>
      </c>
      <c r="N14" s="30">
        <f t="shared" ref="N14:N77" si="6">IF(AI16="","",AI16)</f>
        <v>1.2509999999999999</v>
      </c>
      <c r="O14" s="30">
        <f t="shared" ref="O14:O77" si="7">IF(AH16="","",AH16)</f>
        <v>-4.9000000000000002E-2</v>
      </c>
      <c r="P14" s="30">
        <f t="shared" ref="P14:Q45" si="8">IF(AJ16="","",AJ16)</f>
        <v>10.081</v>
      </c>
      <c r="Q14" s="59">
        <f t="shared" si="8"/>
        <v>1.1579999999999999</v>
      </c>
      <c r="AB14" t="s">
        <v>86</v>
      </c>
      <c r="AC14" t="s">
        <v>87</v>
      </c>
      <c r="AD14" t="s">
        <v>88</v>
      </c>
      <c r="AE14" t="s">
        <v>89</v>
      </c>
      <c r="AF14" t="s">
        <v>90</v>
      </c>
      <c r="AG14" t="s">
        <v>91</v>
      </c>
      <c r="AH14" t="s">
        <v>113</v>
      </c>
      <c r="AI14" t="s">
        <v>114</v>
      </c>
      <c r="AJ14" t="s">
        <v>92</v>
      </c>
      <c r="AK14" t="s">
        <v>93</v>
      </c>
      <c r="AL14" t="s">
        <v>94</v>
      </c>
      <c r="AM14" t="s">
        <v>95</v>
      </c>
      <c r="AN14" t="s">
        <v>96</v>
      </c>
      <c r="AO14" t="s">
        <v>97</v>
      </c>
      <c r="AP14" t="s">
        <v>98</v>
      </c>
      <c r="AQ14" t="s">
        <v>99</v>
      </c>
      <c r="AR14" t="s">
        <v>100</v>
      </c>
      <c r="AS14" t="s">
        <v>101</v>
      </c>
      <c r="AT14" t="s">
        <v>102</v>
      </c>
      <c r="AU14" t="s">
        <v>103</v>
      </c>
    </row>
    <row r="15" spans="2:47" x14ac:dyDescent="0.25">
      <c r="B15" s="9">
        <v>2</v>
      </c>
      <c r="C15" s="35">
        <v>10</v>
      </c>
      <c r="D15" s="3"/>
      <c r="E15" s="9">
        <f t="shared" si="0"/>
        <v>1096</v>
      </c>
      <c r="F15" s="54">
        <f t="shared" ref="F15:F78" si="9">IF(L15="","",ABS(ROUND(12*C$7/(2*(H$7/1000)^2+2*(H$6/1000)*(H$7/1000)-(H$6/1000)^2)*(M15-M$14)*1,0)))</f>
        <v>624</v>
      </c>
      <c r="G15" s="73">
        <f t="shared" si="1"/>
        <v>3.1349999999999998</v>
      </c>
      <c r="H15" s="56">
        <f t="shared" si="2"/>
        <v>1.655</v>
      </c>
      <c r="I15" s="57">
        <f t="shared" si="3"/>
        <v>3163</v>
      </c>
      <c r="J15" s="58">
        <f t="shared" si="4"/>
        <v>12.5</v>
      </c>
      <c r="L15" s="31">
        <f t="shared" si="5"/>
        <v>0.14499999999999999</v>
      </c>
      <c r="M15" s="32">
        <f t="shared" ref="M15:M78" si="10">IF(AG17="","",AG17/2-AE17)</f>
        <v>0.16849999999999998</v>
      </c>
      <c r="N15" s="32">
        <f t="shared" si="6"/>
        <v>1.26</v>
      </c>
      <c r="O15" s="32">
        <f t="shared" si="7"/>
        <v>-7.4999999999999997E-2</v>
      </c>
      <c r="P15" s="32">
        <f t="shared" si="8"/>
        <v>9.9410000000000007</v>
      </c>
      <c r="Q15" s="33">
        <f t="shared" si="8"/>
        <v>2.21</v>
      </c>
      <c r="AE15" t="s">
        <v>104</v>
      </c>
      <c r="AF15" t="s">
        <v>104</v>
      </c>
      <c r="AG15" t="s">
        <v>104</v>
      </c>
      <c r="AH15" t="s">
        <v>105</v>
      </c>
      <c r="AI15" t="s">
        <v>105</v>
      </c>
      <c r="AJ15" t="s">
        <v>106</v>
      </c>
      <c r="AK15" t="s">
        <v>106</v>
      </c>
      <c r="AL15" t="s">
        <v>107</v>
      </c>
      <c r="AN15" t="s">
        <v>106</v>
      </c>
      <c r="AO15" t="s">
        <v>106</v>
      </c>
      <c r="AP15" t="s">
        <v>108</v>
      </c>
      <c r="AQ15" t="s">
        <v>107</v>
      </c>
      <c r="AS15" t="s">
        <v>109</v>
      </c>
      <c r="AT15" t="s">
        <v>107</v>
      </c>
    </row>
    <row r="16" spans="2:47" x14ac:dyDescent="0.25">
      <c r="B16" s="9">
        <v>3</v>
      </c>
      <c r="C16" s="35">
        <v>20</v>
      </c>
      <c r="D16" s="3"/>
      <c r="E16" s="9">
        <f t="shared" si="0"/>
        <v>1089</v>
      </c>
      <c r="F16" s="54">
        <f t="shared" si="9"/>
        <v>915</v>
      </c>
      <c r="G16" s="73">
        <f t="shared" si="1"/>
        <v>3.1509999999999998</v>
      </c>
      <c r="H16" s="56">
        <f t="shared" si="2"/>
        <v>1.653</v>
      </c>
      <c r="I16" s="57">
        <f t="shared" si="3"/>
        <v>3151</v>
      </c>
      <c r="J16" s="58">
        <f t="shared" si="4"/>
        <v>12.1</v>
      </c>
      <c r="L16" s="31">
        <f t="shared" si="5"/>
        <v>0.14399999999999999</v>
      </c>
      <c r="M16" s="32">
        <f t="shared" si="10"/>
        <v>0.20700000000000002</v>
      </c>
      <c r="N16" s="32">
        <f t="shared" si="6"/>
        <v>1.276</v>
      </c>
      <c r="O16" s="32">
        <f t="shared" si="7"/>
        <v>-6.6000000000000003E-2</v>
      </c>
      <c r="P16" s="32">
        <f t="shared" si="8"/>
        <v>9.9179999999999993</v>
      </c>
      <c r="Q16" s="33">
        <f t="shared" si="8"/>
        <v>2.133</v>
      </c>
      <c r="AB16">
        <v>2</v>
      </c>
      <c r="AC16">
        <v>4</v>
      </c>
      <c r="AD16">
        <v>1</v>
      </c>
      <c r="AE16">
        <v>5.0000000000000001E-3</v>
      </c>
      <c r="AF16">
        <v>-0.17699999999999999</v>
      </c>
      <c r="AG16">
        <v>0.182</v>
      </c>
      <c r="AH16">
        <v>-4.9000000000000002E-2</v>
      </c>
      <c r="AI16">
        <v>1.2509999999999999</v>
      </c>
      <c r="AJ16">
        <v>10.081</v>
      </c>
      <c r="AK16">
        <v>1.1579999999999999</v>
      </c>
      <c r="AL16">
        <v>6.4039999999999999</v>
      </c>
      <c r="AM16">
        <v>0.113</v>
      </c>
      <c r="AN16">
        <v>10.164</v>
      </c>
      <c r="AO16">
        <v>9.4809999999999999</v>
      </c>
      <c r="AP16">
        <v>1.4E-2</v>
      </c>
      <c r="AQ16">
        <v>6.383</v>
      </c>
      <c r="AR16">
        <v>0.112</v>
      </c>
      <c r="AS16">
        <v>1</v>
      </c>
      <c r="AT16">
        <v>0</v>
      </c>
      <c r="AU16">
        <v>64</v>
      </c>
    </row>
    <row r="17" spans="2:47" x14ac:dyDescent="0.25">
      <c r="B17" s="9">
        <v>4</v>
      </c>
      <c r="C17" s="35">
        <v>30</v>
      </c>
      <c r="D17" s="3"/>
      <c r="E17" s="9">
        <f t="shared" si="0"/>
        <v>1111</v>
      </c>
      <c r="F17" s="54">
        <f t="shared" si="9"/>
        <v>1145</v>
      </c>
      <c r="G17" s="73">
        <f t="shared" si="1"/>
        <v>3.1579999999999999</v>
      </c>
      <c r="H17" s="56">
        <f t="shared" si="2"/>
        <v>1.6479999999999999</v>
      </c>
      <c r="I17" s="57">
        <f t="shared" si="3"/>
        <v>3147</v>
      </c>
      <c r="J17" s="58">
        <f t="shared" si="4"/>
        <v>11.9</v>
      </c>
      <c r="L17" s="31">
        <f t="shared" si="5"/>
        <v>0.14699999999999999</v>
      </c>
      <c r="M17" s="32">
        <f t="shared" si="10"/>
        <v>0.23749999999999999</v>
      </c>
      <c r="N17" s="32">
        <f t="shared" si="6"/>
        <v>1.286</v>
      </c>
      <c r="O17" s="32">
        <f t="shared" si="7"/>
        <v>-5.8999999999999997E-2</v>
      </c>
      <c r="P17" s="32">
        <f t="shared" si="8"/>
        <v>9.9120000000000008</v>
      </c>
      <c r="Q17" s="33">
        <f t="shared" si="8"/>
        <v>2.097</v>
      </c>
      <c r="AB17">
        <v>2</v>
      </c>
      <c r="AC17">
        <v>4</v>
      </c>
      <c r="AD17">
        <v>2</v>
      </c>
      <c r="AE17">
        <v>-9.6000000000000002E-2</v>
      </c>
      <c r="AF17">
        <v>-0.24099999999999999</v>
      </c>
      <c r="AG17">
        <v>0.14499999999999999</v>
      </c>
      <c r="AH17">
        <v>-7.4999999999999997E-2</v>
      </c>
      <c r="AI17">
        <v>1.26</v>
      </c>
      <c r="AJ17">
        <v>9.9410000000000007</v>
      </c>
      <c r="AK17">
        <v>2.21</v>
      </c>
      <c r="AL17">
        <v>12.536</v>
      </c>
      <c r="AM17">
        <v>0.222</v>
      </c>
      <c r="AN17">
        <v>10.183999999999999</v>
      </c>
      <c r="AO17">
        <v>9.5909999999999993</v>
      </c>
      <c r="AP17">
        <v>2.5999999999999999E-2</v>
      </c>
      <c r="AQ17">
        <v>11.769</v>
      </c>
      <c r="AR17">
        <v>0.20799999999999999</v>
      </c>
      <c r="AS17">
        <v>1</v>
      </c>
      <c r="AT17">
        <v>0</v>
      </c>
      <c r="AU17">
        <v>64</v>
      </c>
    </row>
    <row r="18" spans="2:47" x14ac:dyDescent="0.25">
      <c r="B18" s="9">
        <v>5</v>
      </c>
      <c r="C18" s="35">
        <v>40</v>
      </c>
      <c r="D18" s="3"/>
      <c r="E18" s="9">
        <f t="shared" si="0"/>
        <v>1058</v>
      </c>
      <c r="F18" s="54">
        <f t="shared" si="9"/>
        <v>1338</v>
      </c>
      <c r="G18" s="73">
        <f t="shared" si="1"/>
        <v>3.1629999999999998</v>
      </c>
      <c r="H18" s="56">
        <f t="shared" si="2"/>
        <v>1.647</v>
      </c>
      <c r="I18" s="57">
        <f t="shared" si="3"/>
        <v>3141</v>
      </c>
      <c r="J18" s="58">
        <f t="shared" si="4"/>
        <v>11.5</v>
      </c>
      <c r="L18" s="31">
        <f t="shared" si="5"/>
        <v>0.14000000000000001</v>
      </c>
      <c r="M18" s="32">
        <f t="shared" si="10"/>
        <v>0.26300000000000001</v>
      </c>
      <c r="N18" s="32">
        <f t="shared" si="6"/>
        <v>1.2909999999999999</v>
      </c>
      <c r="O18" s="32">
        <f t="shared" si="7"/>
        <v>-5.6000000000000001E-2</v>
      </c>
      <c r="P18" s="32">
        <f t="shared" si="8"/>
        <v>9.9109999999999996</v>
      </c>
      <c r="Q18" s="33">
        <f t="shared" si="8"/>
        <v>2.012</v>
      </c>
      <c r="AB18">
        <v>2</v>
      </c>
      <c r="AC18">
        <v>4</v>
      </c>
      <c r="AD18">
        <v>3</v>
      </c>
      <c r="AE18">
        <v>-0.13500000000000001</v>
      </c>
      <c r="AF18">
        <v>-0.27900000000000003</v>
      </c>
      <c r="AG18">
        <v>0.14399999999999999</v>
      </c>
      <c r="AH18">
        <v>-6.6000000000000003E-2</v>
      </c>
      <c r="AI18">
        <v>1.276</v>
      </c>
      <c r="AJ18">
        <v>9.9179999999999993</v>
      </c>
      <c r="AK18">
        <v>2.133</v>
      </c>
      <c r="AL18">
        <v>12.135</v>
      </c>
      <c r="AM18">
        <v>0.215</v>
      </c>
      <c r="AN18">
        <v>10.144</v>
      </c>
      <c r="AO18">
        <v>9.65</v>
      </c>
      <c r="AP18">
        <v>2.5999999999999999E-2</v>
      </c>
      <c r="AQ18">
        <v>11.499000000000001</v>
      </c>
      <c r="AR18">
        <v>0.20300000000000001</v>
      </c>
      <c r="AS18">
        <v>1</v>
      </c>
      <c r="AT18">
        <v>0</v>
      </c>
      <c r="AU18">
        <v>64</v>
      </c>
    </row>
    <row r="19" spans="2:47" x14ac:dyDescent="0.25">
      <c r="B19" s="9">
        <v>6</v>
      </c>
      <c r="C19" s="35">
        <v>50</v>
      </c>
      <c r="D19" s="3"/>
      <c r="E19" s="9">
        <f t="shared" si="0"/>
        <v>1096</v>
      </c>
      <c r="F19" s="54">
        <f t="shared" si="9"/>
        <v>1501</v>
      </c>
      <c r="G19" s="73">
        <f t="shared" si="1"/>
        <v>3.165</v>
      </c>
      <c r="H19" s="56">
        <f t="shared" si="2"/>
        <v>1.645</v>
      </c>
      <c r="I19" s="57">
        <f t="shared" si="3"/>
        <v>3137</v>
      </c>
      <c r="J19" s="58">
        <f t="shared" si="4"/>
        <v>11.7</v>
      </c>
      <c r="L19" s="31">
        <f t="shared" si="5"/>
        <v>0.14499999999999999</v>
      </c>
      <c r="M19" s="32">
        <f t="shared" si="10"/>
        <v>0.28449999999999998</v>
      </c>
      <c r="N19" s="32">
        <f t="shared" si="6"/>
        <v>1.2949999999999999</v>
      </c>
      <c r="O19" s="32">
        <f t="shared" si="7"/>
        <v>-5.2999999999999999E-2</v>
      </c>
      <c r="P19" s="32">
        <f t="shared" si="8"/>
        <v>9.89</v>
      </c>
      <c r="Q19" s="33">
        <f t="shared" si="8"/>
        <v>2.044</v>
      </c>
      <c r="AB19">
        <v>2</v>
      </c>
      <c r="AC19">
        <v>4</v>
      </c>
      <c r="AD19">
        <v>4</v>
      </c>
      <c r="AE19">
        <v>-0.16400000000000001</v>
      </c>
      <c r="AF19">
        <v>-0.31</v>
      </c>
      <c r="AG19">
        <v>0.14699999999999999</v>
      </c>
      <c r="AH19">
        <v>-5.8999999999999997E-2</v>
      </c>
      <c r="AI19">
        <v>1.286</v>
      </c>
      <c r="AJ19">
        <v>9.9120000000000008</v>
      </c>
      <c r="AK19">
        <v>2.097</v>
      </c>
      <c r="AL19">
        <v>11.948</v>
      </c>
      <c r="AM19">
        <v>0.21199999999999999</v>
      </c>
      <c r="AN19">
        <v>10.131</v>
      </c>
      <c r="AO19">
        <v>9.4550000000000001</v>
      </c>
      <c r="AP19">
        <v>2.5999999999999999E-2</v>
      </c>
      <c r="AQ19">
        <v>11.090999999999999</v>
      </c>
      <c r="AR19">
        <v>0.19600000000000001</v>
      </c>
      <c r="AS19">
        <v>1</v>
      </c>
      <c r="AT19">
        <v>0</v>
      </c>
      <c r="AU19">
        <v>64</v>
      </c>
    </row>
    <row r="20" spans="2:47" x14ac:dyDescent="0.25">
      <c r="B20" s="9">
        <v>7</v>
      </c>
      <c r="C20" s="35">
        <v>60</v>
      </c>
      <c r="D20" s="3"/>
      <c r="E20" s="9">
        <f t="shared" si="0"/>
        <v>1043</v>
      </c>
      <c r="F20" s="54">
        <f t="shared" si="9"/>
        <v>1686</v>
      </c>
      <c r="G20" s="73">
        <f t="shared" si="1"/>
        <v>3.1669999999999998</v>
      </c>
      <c r="H20" s="56">
        <f t="shared" si="2"/>
        <v>1.645</v>
      </c>
      <c r="I20" s="57">
        <f t="shared" si="3"/>
        <v>3164</v>
      </c>
      <c r="J20" s="58">
        <f t="shared" si="4"/>
        <v>11.4</v>
      </c>
      <c r="L20" s="31">
        <f t="shared" si="5"/>
        <v>0.13800000000000001</v>
      </c>
      <c r="M20" s="32">
        <f t="shared" si="10"/>
        <v>0.309</v>
      </c>
      <c r="N20" s="32">
        <f t="shared" si="6"/>
        <v>1.2969999999999999</v>
      </c>
      <c r="O20" s="32">
        <f t="shared" si="7"/>
        <v>-5.1999999999999998E-2</v>
      </c>
      <c r="P20" s="32">
        <f t="shared" si="8"/>
        <v>9.9849999999999994</v>
      </c>
      <c r="Q20" s="33">
        <f t="shared" si="8"/>
        <v>2.016</v>
      </c>
      <c r="AB20">
        <v>2</v>
      </c>
      <c r="AC20">
        <v>4</v>
      </c>
      <c r="AD20">
        <v>5</v>
      </c>
      <c r="AE20">
        <v>-0.193</v>
      </c>
      <c r="AF20">
        <v>-0.33300000000000002</v>
      </c>
      <c r="AG20">
        <v>0.14000000000000001</v>
      </c>
      <c r="AH20">
        <v>-5.6000000000000001E-2</v>
      </c>
      <c r="AI20">
        <v>1.2909999999999999</v>
      </c>
      <c r="AJ20">
        <v>9.9109999999999996</v>
      </c>
      <c r="AK20">
        <v>2.012</v>
      </c>
      <c r="AL20">
        <v>11.474</v>
      </c>
      <c r="AM20">
        <v>0.20300000000000001</v>
      </c>
      <c r="AN20">
        <v>10.113</v>
      </c>
      <c r="AO20">
        <v>9.5749999999999993</v>
      </c>
      <c r="AP20">
        <v>2.5999999999999999E-2</v>
      </c>
      <c r="AQ20">
        <v>10.818</v>
      </c>
      <c r="AR20">
        <v>0.191</v>
      </c>
      <c r="AS20">
        <v>1</v>
      </c>
      <c r="AT20">
        <v>0</v>
      </c>
      <c r="AU20">
        <v>64</v>
      </c>
    </row>
    <row r="21" spans="2:47" x14ac:dyDescent="0.25">
      <c r="B21" s="9">
        <v>8</v>
      </c>
      <c r="C21" s="35">
        <v>70</v>
      </c>
      <c r="D21" s="3"/>
      <c r="E21" s="9">
        <f t="shared" si="0"/>
        <v>1074</v>
      </c>
      <c r="F21" s="54">
        <f t="shared" si="9"/>
        <v>1837</v>
      </c>
      <c r="G21" s="73">
        <f t="shared" si="1"/>
        <v>3.1669999999999998</v>
      </c>
      <c r="H21" s="56">
        <f t="shared" si="2"/>
        <v>1.645</v>
      </c>
      <c r="I21" s="57">
        <f t="shared" si="3"/>
        <v>3152</v>
      </c>
      <c r="J21" s="58">
        <f t="shared" si="4"/>
        <v>11.6</v>
      </c>
      <c r="L21" s="31">
        <f t="shared" si="5"/>
        <v>0.14199999999999999</v>
      </c>
      <c r="M21" s="32">
        <f t="shared" si="10"/>
        <v>0.32900000000000001</v>
      </c>
      <c r="N21" s="32">
        <f t="shared" si="6"/>
        <v>1.2969999999999999</v>
      </c>
      <c r="O21" s="32">
        <f t="shared" si="7"/>
        <v>-5.1999999999999998E-2</v>
      </c>
      <c r="P21" s="32">
        <f t="shared" si="8"/>
        <v>9.9410000000000007</v>
      </c>
      <c r="Q21" s="33">
        <f t="shared" si="8"/>
        <v>2.0369999999999999</v>
      </c>
      <c r="AB21">
        <v>2</v>
      </c>
      <c r="AC21">
        <v>4</v>
      </c>
      <c r="AD21">
        <v>6</v>
      </c>
      <c r="AE21">
        <v>-0.21199999999999999</v>
      </c>
      <c r="AF21">
        <v>-0.35699999999999998</v>
      </c>
      <c r="AG21">
        <v>0.14499999999999999</v>
      </c>
      <c r="AH21">
        <v>-5.2999999999999999E-2</v>
      </c>
      <c r="AI21">
        <v>1.2949999999999999</v>
      </c>
      <c r="AJ21">
        <v>9.89</v>
      </c>
      <c r="AK21">
        <v>2.044</v>
      </c>
      <c r="AL21">
        <v>11.676</v>
      </c>
      <c r="AM21">
        <v>0.20699999999999999</v>
      </c>
      <c r="AN21">
        <v>10.099</v>
      </c>
      <c r="AO21">
        <v>9.4550000000000001</v>
      </c>
      <c r="AP21">
        <v>2.5999999999999999E-2</v>
      </c>
      <c r="AQ21">
        <v>10.868</v>
      </c>
      <c r="AR21">
        <v>0.192</v>
      </c>
      <c r="AS21">
        <v>1</v>
      </c>
      <c r="AT21">
        <v>0</v>
      </c>
      <c r="AU21">
        <v>64</v>
      </c>
    </row>
    <row r="22" spans="2:47" x14ac:dyDescent="0.25">
      <c r="B22" s="9">
        <v>9</v>
      </c>
      <c r="C22" s="35">
        <v>80</v>
      </c>
      <c r="D22" s="3"/>
      <c r="E22" s="9">
        <f t="shared" si="0"/>
        <v>1081</v>
      </c>
      <c r="F22" s="54">
        <f t="shared" si="9"/>
        <v>1992</v>
      </c>
      <c r="G22" s="73">
        <f t="shared" si="1"/>
        <v>3.1669999999999998</v>
      </c>
      <c r="H22" s="56">
        <f t="shared" si="2"/>
        <v>1.645</v>
      </c>
      <c r="I22" s="57">
        <f t="shared" si="3"/>
        <v>3171</v>
      </c>
      <c r="J22" s="58">
        <f t="shared" si="4"/>
        <v>11.6</v>
      </c>
      <c r="L22" s="31">
        <f t="shared" si="5"/>
        <v>0.14299999999999999</v>
      </c>
      <c r="M22" s="32">
        <f t="shared" si="10"/>
        <v>0.34950000000000003</v>
      </c>
      <c r="N22" s="32">
        <f t="shared" si="6"/>
        <v>1.2969999999999999</v>
      </c>
      <c r="O22" s="32">
        <f t="shared" si="7"/>
        <v>-5.1999999999999998E-2</v>
      </c>
      <c r="P22" s="32">
        <f t="shared" si="8"/>
        <v>9.9990000000000006</v>
      </c>
      <c r="Q22" s="33">
        <f t="shared" si="8"/>
        <v>2.0590000000000002</v>
      </c>
      <c r="AB22">
        <v>2</v>
      </c>
      <c r="AC22">
        <v>4</v>
      </c>
      <c r="AD22">
        <v>7</v>
      </c>
      <c r="AE22">
        <v>-0.24</v>
      </c>
      <c r="AF22">
        <v>-0.378</v>
      </c>
      <c r="AG22">
        <v>0.13800000000000001</v>
      </c>
      <c r="AH22">
        <v>-5.1999999999999998E-2</v>
      </c>
      <c r="AI22">
        <v>1.2969999999999999</v>
      </c>
      <c r="AJ22">
        <v>9.9849999999999994</v>
      </c>
      <c r="AK22">
        <v>2.016</v>
      </c>
      <c r="AL22">
        <v>11.416</v>
      </c>
      <c r="AM22">
        <v>0.20200000000000001</v>
      </c>
      <c r="AN22">
        <v>10.186999999999999</v>
      </c>
      <c r="AO22">
        <v>9.6660000000000004</v>
      </c>
      <c r="AP22">
        <v>2.5000000000000001E-2</v>
      </c>
      <c r="AQ22">
        <v>10.772</v>
      </c>
      <c r="AR22">
        <v>0.19</v>
      </c>
      <c r="AS22">
        <v>1</v>
      </c>
      <c r="AT22">
        <v>0</v>
      </c>
      <c r="AU22">
        <v>64</v>
      </c>
    </row>
    <row r="23" spans="2:47" x14ac:dyDescent="0.25">
      <c r="B23" s="9">
        <v>10</v>
      </c>
      <c r="C23" s="35">
        <v>90</v>
      </c>
      <c r="D23" s="3"/>
      <c r="E23" s="9">
        <f t="shared" si="0"/>
        <v>1066</v>
      </c>
      <c r="F23" s="54">
        <f t="shared" si="9"/>
        <v>2136</v>
      </c>
      <c r="G23" s="73">
        <f t="shared" si="1"/>
        <v>3.1669999999999998</v>
      </c>
      <c r="H23" s="56">
        <f t="shared" si="2"/>
        <v>1.645</v>
      </c>
      <c r="I23" s="57">
        <f t="shared" si="3"/>
        <v>3169</v>
      </c>
      <c r="J23" s="58">
        <f t="shared" si="4"/>
        <v>11.7</v>
      </c>
      <c r="L23" s="31">
        <f t="shared" si="5"/>
        <v>0.14099999999999999</v>
      </c>
      <c r="M23" s="32">
        <f t="shared" si="10"/>
        <v>0.36849999999999999</v>
      </c>
      <c r="N23" s="32">
        <f t="shared" si="6"/>
        <v>1.2969999999999999</v>
      </c>
      <c r="O23" s="32">
        <f t="shared" si="7"/>
        <v>-5.1999999999999998E-2</v>
      </c>
      <c r="P23" s="32">
        <f t="shared" si="8"/>
        <v>9.9939999999999998</v>
      </c>
      <c r="Q23" s="33">
        <f t="shared" si="8"/>
        <v>2.0609999999999999</v>
      </c>
      <c r="AB23">
        <v>2</v>
      </c>
      <c r="AC23">
        <v>4</v>
      </c>
      <c r="AD23">
        <v>8</v>
      </c>
      <c r="AE23">
        <v>-0.25800000000000001</v>
      </c>
      <c r="AF23">
        <v>-0.40100000000000002</v>
      </c>
      <c r="AG23">
        <v>0.14199999999999999</v>
      </c>
      <c r="AH23">
        <v>-5.1999999999999998E-2</v>
      </c>
      <c r="AI23">
        <v>1.2969999999999999</v>
      </c>
      <c r="AJ23">
        <v>9.9410000000000007</v>
      </c>
      <c r="AK23">
        <v>2.0369999999999999</v>
      </c>
      <c r="AL23">
        <v>11.583</v>
      </c>
      <c r="AM23">
        <v>0.20499999999999999</v>
      </c>
      <c r="AN23">
        <v>10.148</v>
      </c>
      <c r="AO23">
        <v>9.5359999999999996</v>
      </c>
      <c r="AP23">
        <v>2.5999999999999999E-2</v>
      </c>
      <c r="AQ23">
        <v>10.819000000000001</v>
      </c>
      <c r="AR23">
        <v>0.191</v>
      </c>
      <c r="AS23">
        <v>1</v>
      </c>
      <c r="AT23">
        <v>0</v>
      </c>
      <c r="AU23">
        <v>64</v>
      </c>
    </row>
    <row r="24" spans="2:47" x14ac:dyDescent="0.25">
      <c r="B24" s="9">
        <v>11</v>
      </c>
      <c r="C24" s="35">
        <v>100</v>
      </c>
      <c r="D24" s="3"/>
      <c r="E24" s="9">
        <f t="shared" si="0"/>
        <v>1058</v>
      </c>
      <c r="F24" s="54">
        <f t="shared" si="9"/>
        <v>2260</v>
      </c>
      <c r="G24" s="73">
        <f t="shared" si="1"/>
        <v>3.17</v>
      </c>
      <c r="H24" s="56">
        <f t="shared" si="2"/>
        <v>1.6439999999999999</v>
      </c>
      <c r="I24" s="57">
        <f t="shared" si="3"/>
        <v>3171</v>
      </c>
      <c r="J24" s="58">
        <f t="shared" si="4"/>
        <v>11.7</v>
      </c>
      <c r="L24" s="31">
        <f t="shared" si="5"/>
        <v>0.14000000000000001</v>
      </c>
      <c r="M24" s="32">
        <f t="shared" si="10"/>
        <v>0.38500000000000001</v>
      </c>
      <c r="N24" s="32">
        <f t="shared" si="6"/>
        <v>1.3</v>
      </c>
      <c r="O24" s="32">
        <f t="shared" si="7"/>
        <v>-0.05</v>
      </c>
      <c r="P24" s="32">
        <f t="shared" si="8"/>
        <v>9.9990000000000006</v>
      </c>
      <c r="Q24" s="33">
        <f t="shared" si="8"/>
        <v>2.0699999999999998</v>
      </c>
      <c r="AB24">
        <v>2</v>
      </c>
      <c r="AC24">
        <v>4</v>
      </c>
      <c r="AD24">
        <v>9</v>
      </c>
      <c r="AE24">
        <v>-0.27800000000000002</v>
      </c>
      <c r="AF24">
        <v>-0.42</v>
      </c>
      <c r="AG24">
        <v>0.14299999999999999</v>
      </c>
      <c r="AH24">
        <v>-5.1999999999999998E-2</v>
      </c>
      <c r="AI24">
        <v>1.2969999999999999</v>
      </c>
      <c r="AJ24">
        <v>9.9990000000000006</v>
      </c>
      <c r="AK24">
        <v>2.0590000000000002</v>
      </c>
      <c r="AL24">
        <v>11.635999999999999</v>
      </c>
      <c r="AM24">
        <v>0.20599999999999999</v>
      </c>
      <c r="AN24">
        <v>10.209</v>
      </c>
      <c r="AO24">
        <v>9.6310000000000002</v>
      </c>
      <c r="AP24">
        <v>2.5999999999999999E-2</v>
      </c>
      <c r="AQ24">
        <v>10.928000000000001</v>
      </c>
      <c r="AR24">
        <v>0.193</v>
      </c>
      <c r="AS24">
        <v>1</v>
      </c>
      <c r="AT24">
        <v>0</v>
      </c>
      <c r="AU24">
        <v>64</v>
      </c>
    </row>
    <row r="25" spans="2:47" x14ac:dyDescent="0.25">
      <c r="B25" s="9">
        <v>12</v>
      </c>
      <c r="C25" s="35">
        <v>125</v>
      </c>
      <c r="D25" s="3"/>
      <c r="E25" s="9">
        <f t="shared" si="0"/>
        <v>1036</v>
      </c>
      <c r="F25" s="54">
        <f t="shared" si="9"/>
        <v>2582</v>
      </c>
      <c r="G25" s="73">
        <f t="shared" si="1"/>
        <v>3.165</v>
      </c>
      <c r="H25" s="56">
        <f t="shared" si="2"/>
        <v>1.6419999999999999</v>
      </c>
      <c r="I25" s="57">
        <f t="shared" si="3"/>
        <v>3188</v>
      </c>
      <c r="J25" s="58">
        <f t="shared" si="4"/>
        <v>11.8</v>
      </c>
      <c r="L25" s="31">
        <f t="shared" si="5"/>
        <v>0.13700000000000001</v>
      </c>
      <c r="M25" s="32">
        <f t="shared" si="10"/>
        <v>0.42749999999999999</v>
      </c>
      <c r="N25" s="32">
        <f t="shared" si="6"/>
        <v>1.2969999999999999</v>
      </c>
      <c r="O25" s="32">
        <f t="shared" si="7"/>
        <v>-5.0999999999999997E-2</v>
      </c>
      <c r="P25" s="32">
        <f t="shared" si="8"/>
        <v>10.045999999999999</v>
      </c>
      <c r="Q25" s="33">
        <f t="shared" si="8"/>
        <v>2.1040000000000001</v>
      </c>
      <c r="AB25">
        <v>2</v>
      </c>
      <c r="AC25">
        <v>4</v>
      </c>
      <c r="AD25">
        <v>10</v>
      </c>
      <c r="AE25">
        <v>-0.29799999999999999</v>
      </c>
      <c r="AF25">
        <v>-0.439</v>
      </c>
      <c r="AG25">
        <v>0.14099999999999999</v>
      </c>
      <c r="AH25">
        <v>-5.1999999999999998E-2</v>
      </c>
      <c r="AI25">
        <v>1.2969999999999999</v>
      </c>
      <c r="AJ25">
        <v>9.9939999999999998</v>
      </c>
      <c r="AK25">
        <v>2.0609999999999999</v>
      </c>
      <c r="AL25">
        <v>11.653</v>
      </c>
      <c r="AM25">
        <v>0.20599999999999999</v>
      </c>
      <c r="AN25">
        <v>10.205</v>
      </c>
      <c r="AO25">
        <v>9.6349999999999998</v>
      </c>
      <c r="AP25">
        <v>2.5999999999999999E-2</v>
      </c>
      <c r="AQ25">
        <v>10.956</v>
      </c>
      <c r="AR25">
        <v>0.19400000000000001</v>
      </c>
      <c r="AS25">
        <v>1</v>
      </c>
      <c r="AT25">
        <v>0</v>
      </c>
      <c r="AU25">
        <v>64</v>
      </c>
    </row>
    <row r="26" spans="2:47" x14ac:dyDescent="0.25">
      <c r="B26" s="9">
        <v>13</v>
      </c>
      <c r="C26" s="35">
        <v>150</v>
      </c>
      <c r="D26" s="3"/>
      <c r="E26" s="9">
        <f t="shared" si="0"/>
        <v>1074</v>
      </c>
      <c r="F26" s="54">
        <f t="shared" si="9"/>
        <v>2880</v>
      </c>
      <c r="G26" s="73">
        <f t="shared" si="1"/>
        <v>3.1720000000000002</v>
      </c>
      <c r="H26" s="56">
        <f t="shared" si="2"/>
        <v>1.6459999999999999</v>
      </c>
      <c r="I26" s="57">
        <f t="shared" si="3"/>
        <v>3214</v>
      </c>
      <c r="J26" s="58">
        <f t="shared" si="4"/>
        <v>11.7</v>
      </c>
      <c r="L26" s="31">
        <f t="shared" si="5"/>
        <v>0.14199999999999999</v>
      </c>
      <c r="M26" s="32">
        <f t="shared" si="10"/>
        <v>0.46700000000000003</v>
      </c>
      <c r="N26" s="32">
        <f t="shared" si="6"/>
        <v>1.3</v>
      </c>
      <c r="O26" s="32">
        <f t="shared" si="7"/>
        <v>-5.0999999999999997E-2</v>
      </c>
      <c r="P26" s="32">
        <f t="shared" si="8"/>
        <v>10.131</v>
      </c>
      <c r="Q26" s="33">
        <f t="shared" si="8"/>
        <v>2.1030000000000002</v>
      </c>
      <c r="AB26">
        <v>2</v>
      </c>
      <c r="AC26">
        <v>4</v>
      </c>
      <c r="AD26">
        <v>11</v>
      </c>
      <c r="AE26">
        <v>-0.315</v>
      </c>
      <c r="AF26">
        <v>-0.45500000000000002</v>
      </c>
      <c r="AG26">
        <v>0.14000000000000001</v>
      </c>
      <c r="AH26">
        <v>-0.05</v>
      </c>
      <c r="AI26">
        <v>1.3</v>
      </c>
      <c r="AJ26">
        <v>9.9990000000000006</v>
      </c>
      <c r="AK26">
        <v>2.0699999999999998</v>
      </c>
      <c r="AL26">
        <v>11.699</v>
      </c>
      <c r="AM26">
        <v>0.20699999999999999</v>
      </c>
      <c r="AN26">
        <v>10.211</v>
      </c>
      <c r="AO26">
        <v>9.7289999999999992</v>
      </c>
      <c r="AP26">
        <v>2.5999999999999999E-2</v>
      </c>
      <c r="AQ26">
        <v>11.061</v>
      </c>
      <c r="AR26">
        <v>0.19500000000000001</v>
      </c>
      <c r="AS26">
        <v>1</v>
      </c>
      <c r="AT26">
        <v>0</v>
      </c>
      <c r="AU26">
        <v>64</v>
      </c>
    </row>
    <row r="27" spans="2:47" x14ac:dyDescent="0.25">
      <c r="B27" s="9">
        <v>14</v>
      </c>
      <c r="C27" s="35">
        <v>175</v>
      </c>
      <c r="D27" s="3"/>
      <c r="E27" s="9">
        <f t="shared" si="0"/>
        <v>1036</v>
      </c>
      <c r="F27" s="54">
        <f t="shared" si="9"/>
        <v>3164</v>
      </c>
      <c r="G27" s="73">
        <f t="shared" si="1"/>
        <v>3.17</v>
      </c>
      <c r="H27" s="56">
        <f t="shared" si="2"/>
        <v>1.6439999999999999</v>
      </c>
      <c r="I27" s="57">
        <f t="shared" si="3"/>
        <v>3202</v>
      </c>
      <c r="J27" s="58">
        <f t="shared" si="4"/>
        <v>11.6</v>
      </c>
      <c r="L27" s="31">
        <f t="shared" si="5"/>
        <v>0.13700000000000001</v>
      </c>
      <c r="M27" s="32">
        <f t="shared" si="10"/>
        <v>0.50449999999999995</v>
      </c>
      <c r="N27" s="32">
        <f t="shared" si="6"/>
        <v>1.3</v>
      </c>
      <c r="O27" s="32">
        <f t="shared" si="7"/>
        <v>-0.05</v>
      </c>
      <c r="P27" s="32">
        <f t="shared" si="8"/>
        <v>10.099</v>
      </c>
      <c r="Q27" s="33">
        <f t="shared" si="8"/>
        <v>2.0760000000000001</v>
      </c>
      <c r="AB27">
        <v>2</v>
      </c>
      <c r="AC27">
        <v>4</v>
      </c>
      <c r="AD27">
        <v>12</v>
      </c>
      <c r="AE27">
        <v>-0.35899999999999999</v>
      </c>
      <c r="AF27">
        <v>-0.496</v>
      </c>
      <c r="AG27">
        <v>0.13700000000000001</v>
      </c>
      <c r="AH27">
        <v>-5.0999999999999997E-2</v>
      </c>
      <c r="AI27">
        <v>1.2969999999999999</v>
      </c>
      <c r="AJ27">
        <v>10.045999999999999</v>
      </c>
      <c r="AK27">
        <v>2.1040000000000001</v>
      </c>
      <c r="AL27">
        <v>11.831</v>
      </c>
      <c r="AM27">
        <v>0.20899999999999999</v>
      </c>
      <c r="AN27">
        <v>10.263999999999999</v>
      </c>
      <c r="AO27">
        <v>9.73</v>
      </c>
      <c r="AP27">
        <v>2.5999999999999999E-2</v>
      </c>
      <c r="AQ27">
        <v>11.15</v>
      </c>
      <c r="AR27">
        <v>0.19700000000000001</v>
      </c>
      <c r="AS27">
        <v>1</v>
      </c>
      <c r="AT27">
        <v>0</v>
      </c>
      <c r="AU27">
        <v>64</v>
      </c>
    </row>
    <row r="28" spans="2:47" x14ac:dyDescent="0.25">
      <c r="B28" s="9">
        <v>15</v>
      </c>
      <c r="C28" s="35">
        <v>200</v>
      </c>
      <c r="D28" s="3"/>
      <c r="E28" s="9">
        <f t="shared" si="0"/>
        <v>1043</v>
      </c>
      <c r="F28" s="54">
        <f t="shared" si="9"/>
        <v>3440</v>
      </c>
      <c r="G28" s="73">
        <f t="shared" si="1"/>
        <v>3.17</v>
      </c>
      <c r="H28" s="56">
        <f t="shared" si="2"/>
        <v>1.6459999999999999</v>
      </c>
      <c r="I28" s="57">
        <f t="shared" si="3"/>
        <v>3210</v>
      </c>
      <c r="J28" s="58">
        <f t="shared" si="4"/>
        <v>11.8</v>
      </c>
      <c r="L28" s="31">
        <f t="shared" si="5"/>
        <v>0.13800000000000001</v>
      </c>
      <c r="M28" s="32">
        <f t="shared" si="10"/>
        <v>0.54099999999999993</v>
      </c>
      <c r="N28" s="32">
        <f t="shared" si="6"/>
        <v>1.298</v>
      </c>
      <c r="O28" s="32">
        <f t="shared" si="7"/>
        <v>-5.1999999999999998E-2</v>
      </c>
      <c r="P28" s="32">
        <f t="shared" si="8"/>
        <v>10.116</v>
      </c>
      <c r="Q28" s="33">
        <f t="shared" si="8"/>
        <v>2.1150000000000002</v>
      </c>
      <c r="AB28">
        <v>2</v>
      </c>
      <c r="AC28">
        <v>4</v>
      </c>
      <c r="AD28">
        <v>13</v>
      </c>
      <c r="AE28">
        <v>-0.39600000000000002</v>
      </c>
      <c r="AF28">
        <v>-0.53800000000000003</v>
      </c>
      <c r="AG28">
        <v>0.14199999999999999</v>
      </c>
      <c r="AH28">
        <v>-5.0999999999999997E-2</v>
      </c>
      <c r="AI28">
        <v>1.3</v>
      </c>
      <c r="AJ28">
        <v>10.131</v>
      </c>
      <c r="AK28">
        <v>2.1030000000000002</v>
      </c>
      <c r="AL28">
        <v>11.728</v>
      </c>
      <c r="AM28">
        <v>0.20799999999999999</v>
      </c>
      <c r="AN28">
        <v>10.347</v>
      </c>
      <c r="AO28">
        <v>9.6539999999999999</v>
      </c>
      <c r="AP28">
        <v>2.5999999999999999E-2</v>
      </c>
      <c r="AQ28">
        <v>10.866</v>
      </c>
      <c r="AR28">
        <v>0.192</v>
      </c>
      <c r="AS28">
        <v>1</v>
      </c>
      <c r="AT28">
        <v>0</v>
      </c>
      <c r="AU28">
        <v>64</v>
      </c>
    </row>
    <row r="29" spans="2:47" x14ac:dyDescent="0.25">
      <c r="B29" s="9">
        <v>16</v>
      </c>
      <c r="C29" s="35">
        <v>225</v>
      </c>
      <c r="D29" s="3"/>
      <c r="E29" s="9">
        <f t="shared" si="0"/>
        <v>1051</v>
      </c>
      <c r="F29" s="54">
        <f t="shared" si="9"/>
        <v>3701</v>
      </c>
      <c r="G29" s="73">
        <f t="shared" si="1"/>
        <v>3.1669999999999998</v>
      </c>
      <c r="H29" s="56">
        <f t="shared" si="2"/>
        <v>1.6439999999999999</v>
      </c>
      <c r="I29" s="57">
        <f t="shared" si="3"/>
        <v>3188</v>
      </c>
      <c r="J29" s="58">
        <f t="shared" si="4"/>
        <v>12</v>
      </c>
      <c r="L29" s="31">
        <f t="shared" si="5"/>
        <v>0.13900000000000001</v>
      </c>
      <c r="M29" s="32">
        <f t="shared" si="10"/>
        <v>0.57550000000000001</v>
      </c>
      <c r="N29" s="32">
        <f t="shared" si="6"/>
        <v>1.298</v>
      </c>
      <c r="O29" s="32">
        <f t="shared" si="7"/>
        <v>-5.0999999999999997E-2</v>
      </c>
      <c r="P29" s="32">
        <f t="shared" si="8"/>
        <v>10.042999999999999</v>
      </c>
      <c r="Q29" s="33">
        <f t="shared" si="8"/>
        <v>2.1259999999999999</v>
      </c>
      <c r="AB29">
        <v>2</v>
      </c>
      <c r="AC29">
        <v>4</v>
      </c>
      <c r="AD29">
        <v>14</v>
      </c>
      <c r="AE29">
        <v>-0.436</v>
      </c>
      <c r="AF29">
        <v>-0.57399999999999995</v>
      </c>
      <c r="AG29">
        <v>0.13700000000000001</v>
      </c>
      <c r="AH29">
        <v>-0.05</v>
      </c>
      <c r="AI29">
        <v>1.3</v>
      </c>
      <c r="AJ29">
        <v>10.099</v>
      </c>
      <c r="AK29">
        <v>2.0760000000000001</v>
      </c>
      <c r="AL29">
        <v>11.618</v>
      </c>
      <c r="AM29">
        <v>0.20599999999999999</v>
      </c>
      <c r="AN29">
        <v>10.311</v>
      </c>
      <c r="AO29">
        <v>9.7949999999999999</v>
      </c>
      <c r="AP29">
        <v>2.5999999999999999E-2</v>
      </c>
      <c r="AQ29">
        <v>10.95</v>
      </c>
      <c r="AR29">
        <v>0.193</v>
      </c>
      <c r="AS29">
        <v>1</v>
      </c>
      <c r="AT29">
        <v>0</v>
      </c>
      <c r="AU29">
        <v>64</v>
      </c>
    </row>
    <row r="30" spans="2:47" x14ac:dyDescent="0.25">
      <c r="B30" s="9">
        <v>17</v>
      </c>
      <c r="C30" s="35">
        <v>250</v>
      </c>
      <c r="D30" s="3"/>
      <c r="E30" s="9">
        <f t="shared" si="0"/>
        <v>1036</v>
      </c>
      <c r="F30" s="54">
        <f t="shared" si="9"/>
        <v>3980</v>
      </c>
      <c r="G30" s="73">
        <f t="shared" si="1"/>
        <v>3.165</v>
      </c>
      <c r="H30" s="56">
        <f t="shared" si="2"/>
        <v>1.6419999999999999</v>
      </c>
      <c r="I30" s="57">
        <f t="shared" si="3"/>
        <v>3194</v>
      </c>
      <c r="J30" s="58">
        <f t="shared" si="4"/>
        <v>11.9</v>
      </c>
      <c r="L30" s="31">
        <f t="shared" si="5"/>
        <v>0.13700000000000001</v>
      </c>
      <c r="M30" s="32">
        <f t="shared" si="10"/>
        <v>0.61250000000000004</v>
      </c>
      <c r="N30" s="32">
        <f t="shared" si="6"/>
        <v>1.2969999999999999</v>
      </c>
      <c r="O30" s="32">
        <f t="shared" si="7"/>
        <v>-5.0999999999999997E-2</v>
      </c>
      <c r="P30" s="32">
        <f t="shared" si="8"/>
        <v>10.064</v>
      </c>
      <c r="Q30" s="33">
        <f t="shared" si="8"/>
        <v>2.1139999999999999</v>
      </c>
      <c r="AB30">
        <v>2</v>
      </c>
      <c r="AC30">
        <v>4</v>
      </c>
      <c r="AD30">
        <v>15</v>
      </c>
      <c r="AE30">
        <v>-0.47199999999999998</v>
      </c>
      <c r="AF30">
        <v>-0.61099999999999999</v>
      </c>
      <c r="AG30">
        <v>0.13800000000000001</v>
      </c>
      <c r="AH30">
        <v>-5.1999999999999998E-2</v>
      </c>
      <c r="AI30">
        <v>1.298</v>
      </c>
      <c r="AJ30">
        <v>10.116</v>
      </c>
      <c r="AK30">
        <v>2.1150000000000002</v>
      </c>
      <c r="AL30">
        <v>11.811999999999999</v>
      </c>
      <c r="AM30">
        <v>0.20899999999999999</v>
      </c>
      <c r="AN30">
        <v>10.335000000000001</v>
      </c>
      <c r="AO30">
        <v>9.7040000000000006</v>
      </c>
      <c r="AP30">
        <v>2.5999999999999999E-2</v>
      </c>
      <c r="AQ30">
        <v>11.031000000000001</v>
      </c>
      <c r="AR30">
        <v>0.19500000000000001</v>
      </c>
      <c r="AS30">
        <v>1</v>
      </c>
      <c r="AT30">
        <v>0</v>
      </c>
      <c r="AU30">
        <v>64</v>
      </c>
    </row>
    <row r="31" spans="2:47" x14ac:dyDescent="0.25">
      <c r="B31" s="9">
        <v>18</v>
      </c>
      <c r="C31" s="35">
        <v>275</v>
      </c>
      <c r="D31" s="3"/>
      <c r="E31" s="9">
        <f t="shared" si="0"/>
        <v>1058</v>
      </c>
      <c r="F31" s="54">
        <f t="shared" si="9"/>
        <v>4226</v>
      </c>
      <c r="G31" s="73">
        <f t="shared" si="1"/>
        <v>3.1669999999999998</v>
      </c>
      <c r="H31" s="56">
        <f t="shared" si="2"/>
        <v>1.645</v>
      </c>
      <c r="I31" s="57">
        <f t="shared" si="3"/>
        <v>3173</v>
      </c>
      <c r="J31" s="58">
        <f t="shared" si="4"/>
        <v>12</v>
      </c>
      <c r="L31" s="31">
        <f t="shared" si="5"/>
        <v>0.14000000000000001</v>
      </c>
      <c r="M31" s="32">
        <f t="shared" si="10"/>
        <v>0.64500000000000002</v>
      </c>
      <c r="N31" s="32">
        <f t="shared" si="6"/>
        <v>1.2969999999999999</v>
      </c>
      <c r="O31" s="32">
        <f t="shared" si="7"/>
        <v>-5.1999999999999998E-2</v>
      </c>
      <c r="P31" s="32">
        <f t="shared" si="8"/>
        <v>9.9920000000000009</v>
      </c>
      <c r="Q31" s="33">
        <f t="shared" si="8"/>
        <v>2.125</v>
      </c>
      <c r="AB31">
        <v>2</v>
      </c>
      <c r="AC31">
        <v>4</v>
      </c>
      <c r="AD31">
        <v>16</v>
      </c>
      <c r="AE31">
        <v>-0.50600000000000001</v>
      </c>
      <c r="AF31">
        <v>-0.64500000000000002</v>
      </c>
      <c r="AG31">
        <v>0.13900000000000001</v>
      </c>
      <c r="AH31">
        <v>-5.0999999999999997E-2</v>
      </c>
      <c r="AI31">
        <v>1.298</v>
      </c>
      <c r="AJ31">
        <v>10.042999999999999</v>
      </c>
      <c r="AK31">
        <v>2.1259999999999999</v>
      </c>
      <c r="AL31">
        <v>11.952999999999999</v>
      </c>
      <c r="AM31">
        <v>0.21199999999999999</v>
      </c>
      <c r="AN31">
        <v>10.266</v>
      </c>
      <c r="AO31">
        <v>9.6340000000000003</v>
      </c>
      <c r="AP31">
        <v>2.5999999999999999E-2</v>
      </c>
      <c r="AQ31">
        <v>11.131</v>
      </c>
      <c r="AR31">
        <v>0.19700000000000001</v>
      </c>
      <c r="AS31">
        <v>1</v>
      </c>
      <c r="AT31">
        <v>0</v>
      </c>
      <c r="AU31">
        <v>64</v>
      </c>
    </row>
    <row r="32" spans="2:47" x14ac:dyDescent="0.25">
      <c r="B32" s="9">
        <v>19</v>
      </c>
      <c r="C32" s="35">
        <v>300</v>
      </c>
      <c r="D32" s="3"/>
      <c r="E32" s="9">
        <f t="shared" si="0"/>
        <v>1066</v>
      </c>
      <c r="F32" s="54">
        <f t="shared" si="9"/>
        <v>4494</v>
      </c>
      <c r="G32" s="73">
        <f t="shared" si="1"/>
        <v>3.1669999999999998</v>
      </c>
      <c r="H32" s="56">
        <f t="shared" si="2"/>
        <v>1.6439999999999999</v>
      </c>
      <c r="I32" s="57">
        <f t="shared" si="3"/>
        <v>3172</v>
      </c>
      <c r="J32" s="58">
        <f t="shared" si="4"/>
        <v>12.1</v>
      </c>
      <c r="L32" s="31">
        <f t="shared" si="5"/>
        <v>0.14099999999999999</v>
      </c>
      <c r="M32" s="32">
        <f t="shared" si="10"/>
        <v>0.68049999999999999</v>
      </c>
      <c r="N32" s="32">
        <f t="shared" si="6"/>
        <v>1.298</v>
      </c>
      <c r="O32" s="32">
        <f t="shared" si="7"/>
        <v>-5.0999999999999997E-2</v>
      </c>
      <c r="P32" s="32">
        <f t="shared" si="8"/>
        <v>9.9870000000000001</v>
      </c>
      <c r="Q32" s="33">
        <f t="shared" si="8"/>
        <v>2.1440000000000001</v>
      </c>
      <c r="AB32">
        <v>2</v>
      </c>
      <c r="AC32">
        <v>4</v>
      </c>
      <c r="AD32">
        <v>17</v>
      </c>
      <c r="AE32">
        <v>-0.54400000000000004</v>
      </c>
      <c r="AF32">
        <v>-0.68200000000000005</v>
      </c>
      <c r="AG32">
        <v>0.13700000000000001</v>
      </c>
      <c r="AH32">
        <v>-5.0999999999999997E-2</v>
      </c>
      <c r="AI32">
        <v>1.2969999999999999</v>
      </c>
      <c r="AJ32">
        <v>10.064</v>
      </c>
      <c r="AK32">
        <v>2.1139999999999999</v>
      </c>
      <c r="AL32">
        <v>11.861000000000001</v>
      </c>
      <c r="AM32">
        <v>0.21</v>
      </c>
      <c r="AN32">
        <v>10.284000000000001</v>
      </c>
      <c r="AO32">
        <v>9.7349999999999994</v>
      </c>
      <c r="AP32">
        <v>2.5999999999999999E-2</v>
      </c>
      <c r="AQ32">
        <v>11.169</v>
      </c>
      <c r="AR32">
        <v>0.19700000000000001</v>
      </c>
      <c r="AS32">
        <v>1</v>
      </c>
      <c r="AT32">
        <v>0</v>
      </c>
      <c r="AU32">
        <v>64</v>
      </c>
    </row>
    <row r="33" spans="2:47" x14ac:dyDescent="0.25">
      <c r="B33" s="9">
        <v>20</v>
      </c>
      <c r="C33" s="35">
        <v>325</v>
      </c>
      <c r="D33" s="3"/>
      <c r="E33" s="9">
        <f t="shared" si="0"/>
        <v>1074</v>
      </c>
      <c r="F33" s="54">
        <f t="shared" si="9"/>
        <v>4740</v>
      </c>
      <c r="G33" s="73">
        <f t="shared" si="1"/>
        <v>3.1669999999999998</v>
      </c>
      <c r="H33" s="56">
        <f t="shared" si="2"/>
        <v>1.645</v>
      </c>
      <c r="I33" s="57">
        <f t="shared" si="3"/>
        <v>3156</v>
      </c>
      <c r="J33" s="58">
        <f t="shared" si="4"/>
        <v>12.4</v>
      </c>
      <c r="L33" s="31">
        <f t="shared" si="5"/>
        <v>0.14199999999999999</v>
      </c>
      <c r="M33" s="32">
        <f t="shared" si="10"/>
        <v>0.71299999999999997</v>
      </c>
      <c r="N33" s="32">
        <f t="shared" si="6"/>
        <v>1.2969999999999999</v>
      </c>
      <c r="O33" s="32">
        <f t="shared" si="7"/>
        <v>-5.1999999999999998E-2</v>
      </c>
      <c r="P33" s="32">
        <f t="shared" si="8"/>
        <v>9.9250000000000007</v>
      </c>
      <c r="Q33" s="33">
        <f t="shared" si="8"/>
        <v>2.1800000000000002</v>
      </c>
      <c r="AB33">
        <v>2</v>
      </c>
      <c r="AC33">
        <v>4</v>
      </c>
      <c r="AD33">
        <v>18</v>
      </c>
      <c r="AE33">
        <v>-0.57499999999999996</v>
      </c>
      <c r="AF33">
        <v>-0.71499999999999997</v>
      </c>
      <c r="AG33">
        <v>0.14000000000000001</v>
      </c>
      <c r="AH33">
        <v>-5.1999999999999998E-2</v>
      </c>
      <c r="AI33">
        <v>1.2969999999999999</v>
      </c>
      <c r="AJ33">
        <v>9.9920000000000009</v>
      </c>
      <c r="AK33">
        <v>2.125</v>
      </c>
      <c r="AL33">
        <v>12.003</v>
      </c>
      <c r="AM33">
        <v>0.21299999999999999</v>
      </c>
      <c r="AN33">
        <v>10.215999999999999</v>
      </c>
      <c r="AO33">
        <v>9.5879999999999992</v>
      </c>
      <c r="AP33">
        <v>2.7E-2</v>
      </c>
      <c r="AQ33">
        <v>11.191000000000001</v>
      </c>
      <c r="AR33">
        <v>0.19800000000000001</v>
      </c>
      <c r="AS33">
        <v>1</v>
      </c>
      <c r="AT33">
        <v>0</v>
      </c>
      <c r="AU33">
        <v>64</v>
      </c>
    </row>
    <row r="34" spans="2:47" x14ac:dyDescent="0.25">
      <c r="B34" s="9">
        <v>21</v>
      </c>
      <c r="C34" s="35">
        <v>350</v>
      </c>
      <c r="D34" s="3"/>
      <c r="E34" s="9">
        <f t="shared" si="0"/>
        <v>1058</v>
      </c>
      <c r="F34" s="54">
        <f t="shared" si="9"/>
        <v>4997</v>
      </c>
      <c r="G34" s="73">
        <f t="shared" si="1"/>
        <v>3.165</v>
      </c>
      <c r="H34" s="56">
        <f t="shared" si="2"/>
        <v>1.6419999999999999</v>
      </c>
      <c r="I34" s="57">
        <f t="shared" si="3"/>
        <v>3136</v>
      </c>
      <c r="J34" s="58">
        <f t="shared" si="4"/>
        <v>12.4</v>
      </c>
      <c r="L34" s="31">
        <f t="shared" si="5"/>
        <v>0.14000000000000001</v>
      </c>
      <c r="M34" s="32">
        <f t="shared" si="10"/>
        <v>0.74700000000000011</v>
      </c>
      <c r="N34" s="32">
        <f t="shared" si="6"/>
        <v>1.2969999999999999</v>
      </c>
      <c r="O34" s="32">
        <f t="shared" si="7"/>
        <v>-5.0999999999999997E-2</v>
      </c>
      <c r="P34" s="32">
        <f t="shared" si="8"/>
        <v>9.8650000000000002</v>
      </c>
      <c r="Q34" s="33">
        <f t="shared" si="8"/>
        <v>2.16</v>
      </c>
      <c r="AB34">
        <v>2</v>
      </c>
      <c r="AC34">
        <v>4</v>
      </c>
      <c r="AD34">
        <v>19</v>
      </c>
      <c r="AE34">
        <v>-0.61</v>
      </c>
      <c r="AF34">
        <v>-0.751</v>
      </c>
      <c r="AG34">
        <v>0.14099999999999999</v>
      </c>
      <c r="AH34">
        <v>-5.0999999999999997E-2</v>
      </c>
      <c r="AI34">
        <v>1.298</v>
      </c>
      <c r="AJ34">
        <v>9.9870000000000001</v>
      </c>
      <c r="AK34">
        <v>2.1440000000000001</v>
      </c>
      <c r="AL34">
        <v>12.118</v>
      </c>
      <c r="AM34">
        <v>0.215</v>
      </c>
      <c r="AN34">
        <v>10.215</v>
      </c>
      <c r="AO34">
        <v>9.5540000000000003</v>
      </c>
      <c r="AP34">
        <v>2.7E-2</v>
      </c>
      <c r="AQ34">
        <v>11.265000000000001</v>
      </c>
      <c r="AR34">
        <v>0.19900000000000001</v>
      </c>
      <c r="AS34">
        <v>1</v>
      </c>
      <c r="AT34">
        <v>0</v>
      </c>
      <c r="AU34">
        <v>64</v>
      </c>
    </row>
    <row r="35" spans="2:47" x14ac:dyDescent="0.25">
      <c r="B35" s="9">
        <v>22</v>
      </c>
      <c r="C35" s="35">
        <v>375</v>
      </c>
      <c r="D35" s="3"/>
      <c r="E35" s="9">
        <f t="shared" si="0"/>
        <v>1081</v>
      </c>
      <c r="F35" s="54">
        <f t="shared" si="9"/>
        <v>5235</v>
      </c>
      <c r="G35" s="73">
        <f t="shared" si="1"/>
        <v>3.17</v>
      </c>
      <c r="H35" s="56">
        <f t="shared" si="2"/>
        <v>1.6459999999999999</v>
      </c>
      <c r="I35" s="57">
        <f t="shared" si="3"/>
        <v>3114</v>
      </c>
      <c r="J35" s="58">
        <f t="shared" si="4"/>
        <v>12.5</v>
      </c>
      <c r="L35" s="31">
        <f t="shared" si="5"/>
        <v>0.14299999999999999</v>
      </c>
      <c r="M35" s="32">
        <f t="shared" si="10"/>
        <v>0.77849999999999997</v>
      </c>
      <c r="N35" s="32">
        <f t="shared" si="6"/>
        <v>1.298</v>
      </c>
      <c r="O35" s="32">
        <f t="shared" si="7"/>
        <v>-5.1999999999999998E-2</v>
      </c>
      <c r="P35" s="32">
        <f t="shared" si="8"/>
        <v>9.7880000000000003</v>
      </c>
      <c r="Q35" s="33">
        <f t="shared" si="8"/>
        <v>2.17</v>
      </c>
      <c r="AB35">
        <v>2</v>
      </c>
      <c r="AC35">
        <v>4</v>
      </c>
      <c r="AD35">
        <v>20</v>
      </c>
      <c r="AE35">
        <v>-0.64200000000000002</v>
      </c>
      <c r="AF35">
        <v>-0.78300000000000003</v>
      </c>
      <c r="AG35">
        <v>0.14199999999999999</v>
      </c>
      <c r="AH35">
        <v>-5.1999999999999998E-2</v>
      </c>
      <c r="AI35">
        <v>1.2969999999999999</v>
      </c>
      <c r="AJ35">
        <v>9.9250000000000007</v>
      </c>
      <c r="AK35">
        <v>2.1800000000000002</v>
      </c>
      <c r="AL35">
        <v>12.388</v>
      </c>
      <c r="AM35">
        <v>0.22</v>
      </c>
      <c r="AN35">
        <v>10.162000000000001</v>
      </c>
      <c r="AO35">
        <v>9.5009999999999994</v>
      </c>
      <c r="AP35">
        <v>2.8000000000000001E-2</v>
      </c>
      <c r="AQ35">
        <v>11.492000000000001</v>
      </c>
      <c r="AR35">
        <v>0.20300000000000001</v>
      </c>
      <c r="AS35">
        <v>1</v>
      </c>
      <c r="AT35">
        <v>0</v>
      </c>
      <c r="AU35">
        <v>64</v>
      </c>
    </row>
    <row r="36" spans="2:47" x14ac:dyDescent="0.25">
      <c r="B36" s="9">
        <v>23</v>
      </c>
      <c r="C36" s="35">
        <v>400</v>
      </c>
      <c r="D36" s="3"/>
      <c r="E36" s="9">
        <f t="shared" si="0"/>
        <v>1074</v>
      </c>
      <c r="F36" s="54">
        <f t="shared" si="9"/>
        <v>5519</v>
      </c>
      <c r="G36" s="73">
        <f t="shared" si="1"/>
        <v>3.1669999999999998</v>
      </c>
      <c r="H36" s="56">
        <f t="shared" si="2"/>
        <v>1.645</v>
      </c>
      <c r="I36" s="57">
        <f t="shared" si="3"/>
        <v>3091</v>
      </c>
      <c r="J36" s="58">
        <f t="shared" si="4"/>
        <v>13</v>
      </c>
      <c r="L36" s="31">
        <f t="shared" si="5"/>
        <v>0.14199999999999999</v>
      </c>
      <c r="M36" s="32">
        <f t="shared" si="10"/>
        <v>0.81599999999999995</v>
      </c>
      <c r="N36" s="32">
        <f t="shared" si="6"/>
        <v>1.2969999999999999</v>
      </c>
      <c r="O36" s="32">
        <f t="shared" si="7"/>
        <v>-5.1999999999999998E-2</v>
      </c>
      <c r="P36" s="32">
        <f t="shared" si="8"/>
        <v>9.6959999999999997</v>
      </c>
      <c r="Q36" s="33">
        <f t="shared" si="8"/>
        <v>2.2429999999999999</v>
      </c>
      <c r="AB36">
        <v>2</v>
      </c>
      <c r="AC36">
        <v>4</v>
      </c>
      <c r="AD36">
        <v>21</v>
      </c>
      <c r="AE36">
        <v>-0.67700000000000005</v>
      </c>
      <c r="AF36">
        <v>-0.81599999999999995</v>
      </c>
      <c r="AG36">
        <v>0.14000000000000001</v>
      </c>
      <c r="AH36">
        <v>-5.0999999999999997E-2</v>
      </c>
      <c r="AI36">
        <v>1.2969999999999999</v>
      </c>
      <c r="AJ36">
        <v>9.8650000000000002</v>
      </c>
      <c r="AK36">
        <v>2.16</v>
      </c>
      <c r="AL36">
        <v>12.35</v>
      </c>
      <c r="AM36">
        <v>0.219</v>
      </c>
      <c r="AN36">
        <v>10.099</v>
      </c>
      <c r="AO36">
        <v>9.5289999999999999</v>
      </c>
      <c r="AP36">
        <v>2.8000000000000001E-2</v>
      </c>
      <c r="AQ36">
        <v>11.586</v>
      </c>
      <c r="AR36">
        <v>0.20499999999999999</v>
      </c>
      <c r="AS36">
        <v>1</v>
      </c>
      <c r="AT36">
        <v>0</v>
      </c>
      <c r="AU36">
        <v>64</v>
      </c>
    </row>
    <row r="37" spans="2:47" x14ac:dyDescent="0.25">
      <c r="B37" s="9">
        <v>24</v>
      </c>
      <c r="C37" s="35">
        <v>425</v>
      </c>
      <c r="D37" s="3"/>
      <c r="E37" s="9">
        <f t="shared" si="0"/>
        <v>1081</v>
      </c>
      <c r="F37" s="54">
        <f t="shared" si="9"/>
        <v>5787</v>
      </c>
      <c r="G37" s="73">
        <f t="shared" si="1"/>
        <v>3.1669999999999998</v>
      </c>
      <c r="H37" s="56">
        <f t="shared" si="2"/>
        <v>1.6419999999999999</v>
      </c>
      <c r="I37" s="57">
        <f t="shared" si="3"/>
        <v>3069</v>
      </c>
      <c r="J37" s="58">
        <f t="shared" si="4"/>
        <v>12.9</v>
      </c>
      <c r="L37" s="31">
        <f t="shared" si="5"/>
        <v>0.14299999999999999</v>
      </c>
      <c r="M37" s="32">
        <f t="shared" si="10"/>
        <v>0.85150000000000003</v>
      </c>
      <c r="N37" s="32">
        <f t="shared" si="6"/>
        <v>1.2989999999999999</v>
      </c>
      <c r="O37" s="32">
        <f t="shared" si="7"/>
        <v>-0.05</v>
      </c>
      <c r="P37" s="32">
        <f t="shared" si="8"/>
        <v>9.6340000000000003</v>
      </c>
      <c r="Q37" s="33">
        <f t="shared" si="8"/>
        <v>2.198</v>
      </c>
      <c r="AB37">
        <v>2</v>
      </c>
      <c r="AC37">
        <v>4</v>
      </c>
      <c r="AD37">
        <v>22</v>
      </c>
      <c r="AE37">
        <v>-0.70699999999999996</v>
      </c>
      <c r="AF37">
        <v>-0.85099999999999998</v>
      </c>
      <c r="AG37">
        <v>0.14299999999999999</v>
      </c>
      <c r="AH37">
        <v>-5.1999999999999998E-2</v>
      </c>
      <c r="AI37">
        <v>1.298</v>
      </c>
      <c r="AJ37">
        <v>9.7880000000000003</v>
      </c>
      <c r="AK37">
        <v>2.17</v>
      </c>
      <c r="AL37">
        <v>12.497</v>
      </c>
      <c r="AM37">
        <v>0.222</v>
      </c>
      <c r="AN37">
        <v>10.025</v>
      </c>
      <c r="AO37">
        <v>9.3350000000000009</v>
      </c>
      <c r="AP37">
        <v>2.8000000000000001E-2</v>
      </c>
      <c r="AQ37">
        <v>11.585000000000001</v>
      </c>
      <c r="AR37">
        <v>0.20499999999999999</v>
      </c>
      <c r="AS37">
        <v>1</v>
      </c>
      <c r="AT37">
        <v>0</v>
      </c>
      <c r="AU37">
        <v>64</v>
      </c>
    </row>
    <row r="38" spans="2:47" x14ac:dyDescent="0.25">
      <c r="B38" s="9">
        <v>25</v>
      </c>
      <c r="C38" s="35">
        <v>450</v>
      </c>
      <c r="D38" s="3"/>
      <c r="E38" s="9">
        <f t="shared" si="0"/>
        <v>1111</v>
      </c>
      <c r="F38" s="54">
        <f t="shared" si="9"/>
        <v>6059</v>
      </c>
      <c r="G38" s="73">
        <f t="shared" si="1"/>
        <v>3.1669999999999998</v>
      </c>
      <c r="H38" s="56">
        <f t="shared" si="2"/>
        <v>1.6419999999999999</v>
      </c>
      <c r="I38" s="57">
        <f t="shared" si="3"/>
        <v>3028</v>
      </c>
      <c r="J38" s="58">
        <f t="shared" si="4"/>
        <v>13</v>
      </c>
      <c r="L38" s="31">
        <f t="shared" si="5"/>
        <v>0.14699999999999999</v>
      </c>
      <c r="M38" s="32">
        <f t="shared" si="10"/>
        <v>0.88749999999999996</v>
      </c>
      <c r="N38" s="32">
        <f t="shared" si="6"/>
        <v>1.2989999999999999</v>
      </c>
      <c r="O38" s="32">
        <f t="shared" si="7"/>
        <v>-0.05</v>
      </c>
      <c r="P38" s="32">
        <f t="shared" si="8"/>
        <v>9.5009999999999994</v>
      </c>
      <c r="Q38" s="33">
        <f t="shared" si="8"/>
        <v>2.194</v>
      </c>
      <c r="AB38">
        <v>2</v>
      </c>
      <c r="AC38">
        <v>4</v>
      </c>
      <c r="AD38">
        <v>23</v>
      </c>
      <c r="AE38">
        <v>-0.745</v>
      </c>
      <c r="AF38">
        <v>-0.88700000000000001</v>
      </c>
      <c r="AG38">
        <v>0.14199999999999999</v>
      </c>
      <c r="AH38">
        <v>-5.1999999999999998E-2</v>
      </c>
      <c r="AI38">
        <v>1.2969999999999999</v>
      </c>
      <c r="AJ38">
        <v>9.6959999999999997</v>
      </c>
      <c r="AK38">
        <v>2.2429999999999999</v>
      </c>
      <c r="AL38">
        <v>13.026</v>
      </c>
      <c r="AM38">
        <v>0.23100000000000001</v>
      </c>
      <c r="AN38">
        <v>9.952</v>
      </c>
      <c r="AO38">
        <v>9.3789999999999996</v>
      </c>
      <c r="AP38">
        <v>0.03</v>
      </c>
      <c r="AQ38">
        <v>12.207000000000001</v>
      </c>
      <c r="AR38">
        <v>0.216</v>
      </c>
      <c r="AS38">
        <v>1</v>
      </c>
      <c r="AT38">
        <v>0</v>
      </c>
      <c r="AU38">
        <v>64</v>
      </c>
    </row>
    <row r="39" spans="2:47" x14ac:dyDescent="0.25">
      <c r="B39" s="9">
        <v>26</v>
      </c>
      <c r="C39" s="35">
        <v>475</v>
      </c>
      <c r="D39" s="3"/>
      <c r="E39" s="9">
        <f t="shared" si="0"/>
        <v>1126</v>
      </c>
      <c r="F39" s="54">
        <f t="shared" si="9"/>
        <v>6339</v>
      </c>
      <c r="G39" s="73">
        <f t="shared" si="1"/>
        <v>3.165</v>
      </c>
      <c r="H39" s="56">
        <f t="shared" si="2"/>
        <v>1.6419999999999999</v>
      </c>
      <c r="I39" s="57">
        <f t="shared" si="3"/>
        <v>2994</v>
      </c>
      <c r="J39" s="58">
        <f t="shared" si="4"/>
        <v>13.2</v>
      </c>
      <c r="L39" s="31">
        <f t="shared" si="5"/>
        <v>0.14899999999999999</v>
      </c>
      <c r="M39" s="32">
        <f t="shared" si="10"/>
        <v>0.92449999999999999</v>
      </c>
      <c r="N39" s="32">
        <f t="shared" si="6"/>
        <v>1.2969999999999999</v>
      </c>
      <c r="O39" s="32">
        <f t="shared" si="7"/>
        <v>-5.0999999999999997E-2</v>
      </c>
      <c r="P39" s="32">
        <f t="shared" si="8"/>
        <v>9.3840000000000003</v>
      </c>
      <c r="Q39" s="33">
        <f t="shared" si="8"/>
        <v>2.2050000000000001</v>
      </c>
      <c r="AB39">
        <v>2</v>
      </c>
      <c r="AC39">
        <v>4</v>
      </c>
      <c r="AD39">
        <v>24</v>
      </c>
      <c r="AE39">
        <v>-0.78</v>
      </c>
      <c r="AF39">
        <v>-0.92200000000000004</v>
      </c>
      <c r="AG39">
        <v>0.14299999999999999</v>
      </c>
      <c r="AH39">
        <v>-0.05</v>
      </c>
      <c r="AI39">
        <v>1.2989999999999999</v>
      </c>
      <c r="AJ39">
        <v>9.6340000000000003</v>
      </c>
      <c r="AK39">
        <v>2.198</v>
      </c>
      <c r="AL39">
        <v>12.853</v>
      </c>
      <c r="AM39">
        <v>0.22800000000000001</v>
      </c>
      <c r="AN39">
        <v>9.8819999999999997</v>
      </c>
      <c r="AO39">
        <v>9.3140000000000001</v>
      </c>
      <c r="AP39">
        <v>0.03</v>
      </c>
      <c r="AQ39">
        <v>12.013</v>
      </c>
      <c r="AR39">
        <v>0.21299999999999999</v>
      </c>
      <c r="AS39">
        <v>1</v>
      </c>
      <c r="AT39">
        <v>0</v>
      </c>
      <c r="AU39">
        <v>64</v>
      </c>
    </row>
    <row r="40" spans="2:47" x14ac:dyDescent="0.25">
      <c r="B40" s="9">
        <v>27</v>
      </c>
      <c r="C40" s="35">
        <v>500</v>
      </c>
      <c r="D40" s="3"/>
      <c r="E40" s="9">
        <f t="shared" si="0"/>
        <v>1119</v>
      </c>
      <c r="F40" s="54">
        <f t="shared" si="9"/>
        <v>6645</v>
      </c>
      <c r="G40" s="73">
        <f t="shared" si="1"/>
        <v>3.165</v>
      </c>
      <c r="H40" s="56">
        <f t="shared" si="2"/>
        <v>1.641</v>
      </c>
      <c r="I40" s="57">
        <f t="shared" si="3"/>
        <v>2961</v>
      </c>
      <c r="J40" s="58">
        <f t="shared" si="4"/>
        <v>13.6</v>
      </c>
      <c r="L40" s="31">
        <f t="shared" si="5"/>
        <v>0.14799999999999999</v>
      </c>
      <c r="M40" s="32">
        <f t="shared" si="10"/>
        <v>0.96499999999999997</v>
      </c>
      <c r="N40" s="32">
        <f t="shared" si="6"/>
        <v>1.298</v>
      </c>
      <c r="O40" s="32">
        <f t="shared" si="7"/>
        <v>-0.05</v>
      </c>
      <c r="P40" s="32">
        <f t="shared" si="8"/>
        <v>9.2680000000000007</v>
      </c>
      <c r="Q40" s="33">
        <f t="shared" si="8"/>
        <v>2.2370000000000001</v>
      </c>
      <c r="AB40">
        <v>2</v>
      </c>
      <c r="AC40">
        <v>4</v>
      </c>
      <c r="AD40">
        <v>25</v>
      </c>
      <c r="AE40">
        <v>-0.81399999999999995</v>
      </c>
      <c r="AF40">
        <v>-0.96099999999999997</v>
      </c>
      <c r="AG40">
        <v>0.14699999999999999</v>
      </c>
      <c r="AH40">
        <v>-0.05</v>
      </c>
      <c r="AI40">
        <v>1.2989999999999999</v>
      </c>
      <c r="AJ40">
        <v>9.5009999999999994</v>
      </c>
      <c r="AK40">
        <v>2.194</v>
      </c>
      <c r="AL40">
        <v>13.004</v>
      </c>
      <c r="AM40">
        <v>0.23100000000000001</v>
      </c>
      <c r="AN40">
        <v>9.7509999999999994</v>
      </c>
      <c r="AO40">
        <v>9.25</v>
      </c>
      <c r="AP40">
        <v>0.03</v>
      </c>
      <c r="AQ40">
        <v>12.244999999999999</v>
      </c>
      <c r="AR40">
        <v>0.217</v>
      </c>
      <c r="AS40">
        <v>1</v>
      </c>
      <c r="AT40">
        <v>0</v>
      </c>
      <c r="AU40">
        <v>64</v>
      </c>
    </row>
    <row r="41" spans="2:47" x14ac:dyDescent="0.25">
      <c r="B41" s="9">
        <v>28</v>
      </c>
      <c r="C41" s="35">
        <v>600</v>
      </c>
      <c r="D41" s="3"/>
      <c r="E41" s="9">
        <f t="shared" si="0"/>
        <v>1232</v>
      </c>
      <c r="F41" s="54">
        <f t="shared" si="9"/>
        <v>8070</v>
      </c>
      <c r="G41" s="73">
        <f t="shared" si="1"/>
        <v>3.165</v>
      </c>
      <c r="H41" s="56">
        <f t="shared" si="2"/>
        <v>1.6419999999999999</v>
      </c>
      <c r="I41" s="57">
        <f t="shared" si="3"/>
        <v>2738</v>
      </c>
      <c r="J41" s="58">
        <f t="shared" si="4"/>
        <v>14.6</v>
      </c>
      <c r="L41" s="31">
        <f t="shared" si="5"/>
        <v>0.16300000000000001</v>
      </c>
      <c r="M41" s="32">
        <f t="shared" si="10"/>
        <v>1.1535</v>
      </c>
      <c r="N41" s="32">
        <f t="shared" si="6"/>
        <v>1.2969999999999999</v>
      </c>
      <c r="O41" s="32">
        <f t="shared" si="7"/>
        <v>-5.0999999999999997E-2</v>
      </c>
      <c r="P41" s="32">
        <f t="shared" si="8"/>
        <v>8.5329999999999995</v>
      </c>
      <c r="Q41" s="33">
        <f t="shared" si="8"/>
        <v>2.2170000000000001</v>
      </c>
      <c r="AB41">
        <v>2</v>
      </c>
      <c r="AC41">
        <v>4</v>
      </c>
      <c r="AD41">
        <v>26</v>
      </c>
      <c r="AE41">
        <v>-0.85</v>
      </c>
      <c r="AF41">
        <v>-0.999</v>
      </c>
      <c r="AG41">
        <v>0.14899999999999999</v>
      </c>
      <c r="AH41">
        <v>-5.0999999999999997E-2</v>
      </c>
      <c r="AI41">
        <v>1.2969999999999999</v>
      </c>
      <c r="AJ41">
        <v>9.3840000000000003</v>
      </c>
      <c r="AK41">
        <v>2.2050000000000001</v>
      </c>
      <c r="AL41">
        <v>13.225</v>
      </c>
      <c r="AM41">
        <v>0.23499999999999999</v>
      </c>
      <c r="AN41">
        <v>9.64</v>
      </c>
      <c r="AO41">
        <v>9.0879999999999992</v>
      </c>
      <c r="AP41">
        <v>3.1E-2</v>
      </c>
      <c r="AQ41">
        <v>12.417</v>
      </c>
      <c r="AR41">
        <v>0.22</v>
      </c>
      <c r="AS41">
        <v>1</v>
      </c>
      <c r="AT41">
        <v>0</v>
      </c>
      <c r="AU41">
        <v>64</v>
      </c>
    </row>
    <row r="42" spans="2:47" x14ac:dyDescent="0.25">
      <c r="B42" s="9">
        <v>29</v>
      </c>
      <c r="C42" s="35">
        <v>700</v>
      </c>
      <c r="D42" s="3"/>
      <c r="E42" s="9">
        <f t="shared" si="0"/>
        <v>29590</v>
      </c>
      <c r="F42" s="54">
        <f t="shared" si="9"/>
        <v>35910</v>
      </c>
      <c r="G42" s="73">
        <f t="shared" si="1"/>
        <v>3.149</v>
      </c>
      <c r="H42" s="56">
        <f t="shared" si="2"/>
        <v>1.7490000000000001</v>
      </c>
      <c r="I42" s="57">
        <f t="shared" si="3"/>
        <v>137</v>
      </c>
      <c r="J42" s="58">
        <f t="shared" si="4"/>
        <v>21.5</v>
      </c>
      <c r="L42" s="31">
        <f t="shared" si="5"/>
        <v>3.9140000000000001</v>
      </c>
      <c r="M42" s="32">
        <f t="shared" si="10"/>
        <v>4.8360000000000003</v>
      </c>
      <c r="N42" s="32">
        <f t="shared" si="6"/>
        <v>1.1919999999999999</v>
      </c>
      <c r="O42" s="32">
        <f t="shared" si="7"/>
        <v>-0.14899999999999999</v>
      </c>
      <c r="P42" s="32">
        <f t="shared" si="8"/>
        <v>0.40899999999999997</v>
      </c>
      <c r="Q42" s="33">
        <f t="shared" si="8"/>
        <v>0.161</v>
      </c>
      <c r="AB42">
        <v>2</v>
      </c>
      <c r="AC42">
        <v>4</v>
      </c>
      <c r="AD42">
        <v>27</v>
      </c>
      <c r="AE42">
        <v>-0.89100000000000001</v>
      </c>
      <c r="AF42">
        <v>-1.0389999999999999</v>
      </c>
      <c r="AG42">
        <v>0.14799999999999999</v>
      </c>
      <c r="AH42">
        <v>-0.05</v>
      </c>
      <c r="AI42">
        <v>1.298</v>
      </c>
      <c r="AJ42">
        <v>9.2680000000000007</v>
      </c>
      <c r="AK42">
        <v>2.2370000000000001</v>
      </c>
      <c r="AL42">
        <v>13.571</v>
      </c>
      <c r="AM42">
        <v>0.24099999999999999</v>
      </c>
      <c r="AN42">
        <v>9.5350000000000001</v>
      </c>
      <c r="AO42">
        <v>9.0489999999999995</v>
      </c>
      <c r="AP42">
        <v>3.2000000000000001E-2</v>
      </c>
      <c r="AQ42">
        <v>12.789</v>
      </c>
      <c r="AR42">
        <v>0.22700000000000001</v>
      </c>
      <c r="AS42">
        <v>1</v>
      </c>
      <c r="AT42">
        <v>0</v>
      </c>
      <c r="AU42">
        <v>64</v>
      </c>
    </row>
    <row r="43" spans="2:47" x14ac:dyDescent="0.25">
      <c r="B43" s="9">
        <v>30</v>
      </c>
      <c r="C43" s="35">
        <v>800</v>
      </c>
      <c r="D43" s="3"/>
      <c r="E43" s="9" t="str">
        <f t="shared" si="0"/>
        <v/>
      </c>
      <c r="F43" s="54" t="str">
        <f t="shared" si="9"/>
        <v/>
      </c>
      <c r="G43" s="73" t="str">
        <f t="shared" si="1"/>
        <v/>
      </c>
      <c r="H43" s="56" t="str">
        <f t="shared" si="2"/>
        <v/>
      </c>
      <c r="I43" s="57" t="str">
        <f t="shared" si="3"/>
        <v/>
      </c>
      <c r="J43" s="58" t="str">
        <f t="shared" si="4"/>
        <v/>
      </c>
      <c r="L43" s="31" t="str">
        <f t="shared" si="5"/>
        <v/>
      </c>
      <c r="M43" s="32" t="str">
        <f t="shared" si="10"/>
        <v/>
      </c>
      <c r="N43" s="32" t="str">
        <f t="shared" si="6"/>
        <v/>
      </c>
      <c r="O43" s="32" t="str">
        <f t="shared" si="7"/>
        <v/>
      </c>
      <c r="P43" s="32" t="str">
        <f t="shared" si="8"/>
        <v/>
      </c>
      <c r="Q43" s="33" t="str">
        <f t="shared" si="8"/>
        <v/>
      </c>
      <c r="AB43">
        <v>2</v>
      </c>
      <c r="AC43">
        <v>4</v>
      </c>
      <c r="AD43">
        <v>28</v>
      </c>
      <c r="AE43">
        <v>-1.0720000000000001</v>
      </c>
      <c r="AF43">
        <v>-1.2350000000000001</v>
      </c>
      <c r="AG43">
        <v>0.16300000000000001</v>
      </c>
      <c r="AH43">
        <v>-5.0999999999999997E-2</v>
      </c>
      <c r="AI43">
        <v>1.2969999999999999</v>
      </c>
      <c r="AJ43">
        <v>8.5329999999999995</v>
      </c>
      <c r="AK43">
        <v>2.2170000000000001</v>
      </c>
      <c r="AL43">
        <v>14.561999999999999</v>
      </c>
      <c r="AM43">
        <v>0.26</v>
      </c>
      <c r="AN43">
        <v>8.8160000000000007</v>
      </c>
      <c r="AO43">
        <v>8.3510000000000009</v>
      </c>
      <c r="AP43">
        <v>3.6999999999999998E-2</v>
      </c>
      <c r="AQ43">
        <v>13.701000000000001</v>
      </c>
      <c r="AR43">
        <v>0.24399999999999999</v>
      </c>
      <c r="AS43">
        <v>1</v>
      </c>
      <c r="AT43">
        <v>0</v>
      </c>
      <c r="AU43">
        <v>64</v>
      </c>
    </row>
    <row r="44" spans="2:47" x14ac:dyDescent="0.25">
      <c r="B44" s="9">
        <v>31</v>
      </c>
      <c r="C44" s="35">
        <v>900</v>
      </c>
      <c r="D44" s="3"/>
      <c r="E44" s="9" t="str">
        <f t="shared" si="0"/>
        <v/>
      </c>
      <c r="F44" s="54" t="str">
        <f t="shared" si="9"/>
        <v/>
      </c>
      <c r="G44" s="73" t="str">
        <f t="shared" si="1"/>
        <v/>
      </c>
      <c r="H44" s="56" t="str">
        <f t="shared" si="2"/>
        <v/>
      </c>
      <c r="I44" s="57" t="str">
        <f t="shared" si="3"/>
        <v/>
      </c>
      <c r="J44" s="58" t="str">
        <f t="shared" si="4"/>
        <v/>
      </c>
      <c r="L44" s="31" t="str">
        <f t="shared" si="5"/>
        <v/>
      </c>
      <c r="M44" s="32" t="str">
        <f t="shared" si="10"/>
        <v/>
      </c>
      <c r="N44" s="32" t="str">
        <f t="shared" si="6"/>
        <v/>
      </c>
      <c r="O44" s="32" t="str">
        <f t="shared" si="7"/>
        <v/>
      </c>
      <c r="P44" s="32" t="str">
        <f t="shared" si="8"/>
        <v/>
      </c>
      <c r="Q44" s="33" t="str">
        <f t="shared" si="8"/>
        <v/>
      </c>
      <c r="AB44">
        <v>2</v>
      </c>
      <c r="AC44">
        <v>4</v>
      </c>
      <c r="AD44">
        <v>29</v>
      </c>
      <c r="AE44">
        <v>-2.879</v>
      </c>
      <c r="AF44">
        <v>-6.7930000000000001</v>
      </c>
      <c r="AG44">
        <v>3.9140000000000001</v>
      </c>
      <c r="AH44">
        <v>-0.14899999999999999</v>
      </c>
      <c r="AI44">
        <v>1.1919999999999999</v>
      </c>
      <c r="AJ44">
        <v>0.40899999999999997</v>
      </c>
      <c r="AK44">
        <v>0.161</v>
      </c>
      <c r="AL44">
        <v>21.693000000000001</v>
      </c>
      <c r="AM44">
        <v>0.39900000000000002</v>
      </c>
      <c r="AN44">
        <v>0.44</v>
      </c>
      <c r="AO44">
        <v>0.43099999999999999</v>
      </c>
      <c r="AP44">
        <v>0.80800000000000005</v>
      </c>
      <c r="AQ44">
        <v>18.606000000000002</v>
      </c>
      <c r="AR44">
        <v>0.33800000000000002</v>
      </c>
      <c r="AS44">
        <v>1</v>
      </c>
      <c r="AT44">
        <v>0</v>
      </c>
      <c r="AU44">
        <v>64</v>
      </c>
    </row>
    <row r="45" spans="2:47" x14ac:dyDescent="0.25">
      <c r="B45" s="9">
        <v>32</v>
      </c>
      <c r="C45" s="35">
        <v>1000</v>
      </c>
      <c r="D45" s="3"/>
      <c r="E45" s="9" t="str">
        <f t="shared" si="0"/>
        <v/>
      </c>
      <c r="F45" s="54" t="str">
        <f t="shared" si="9"/>
        <v/>
      </c>
      <c r="G45" s="73" t="str">
        <f t="shared" si="1"/>
        <v/>
      </c>
      <c r="H45" s="56" t="str">
        <f t="shared" si="2"/>
        <v/>
      </c>
      <c r="I45" s="57" t="str">
        <f t="shared" si="3"/>
        <v/>
      </c>
      <c r="J45" s="58" t="str">
        <f t="shared" si="4"/>
        <v/>
      </c>
      <c r="L45" s="31" t="str">
        <f t="shared" si="5"/>
        <v/>
      </c>
      <c r="M45" s="32" t="str">
        <f t="shared" si="10"/>
        <v/>
      </c>
      <c r="N45" s="32" t="str">
        <f t="shared" si="6"/>
        <v/>
      </c>
      <c r="O45" s="32" t="str">
        <f t="shared" si="7"/>
        <v/>
      </c>
      <c r="P45" s="32" t="str">
        <f t="shared" si="8"/>
        <v/>
      </c>
      <c r="Q45" s="33" t="str">
        <f t="shared" si="8"/>
        <v/>
      </c>
    </row>
    <row r="46" spans="2:47" x14ac:dyDescent="0.25">
      <c r="B46" s="9">
        <v>33</v>
      </c>
      <c r="C46" s="35">
        <v>1100</v>
      </c>
      <c r="D46" s="3"/>
      <c r="E46" s="9" t="str">
        <f t="shared" si="0"/>
        <v/>
      </c>
      <c r="F46" s="54" t="str">
        <f t="shared" si="9"/>
        <v/>
      </c>
      <c r="G46" s="73" t="str">
        <f t="shared" si="1"/>
        <v/>
      </c>
      <c r="H46" s="56" t="str">
        <f t="shared" si="2"/>
        <v/>
      </c>
      <c r="I46" s="57" t="str">
        <f t="shared" si="3"/>
        <v/>
      </c>
      <c r="J46" s="58" t="str">
        <f t="shared" si="4"/>
        <v/>
      </c>
      <c r="L46" s="31" t="str">
        <f t="shared" si="5"/>
        <v/>
      </c>
      <c r="M46" s="32" t="str">
        <f t="shared" si="10"/>
        <v/>
      </c>
      <c r="N46" s="32" t="str">
        <f t="shared" si="6"/>
        <v/>
      </c>
      <c r="O46" s="32" t="str">
        <f t="shared" si="7"/>
        <v/>
      </c>
      <c r="P46" s="32" t="str">
        <f t="shared" ref="P46:Q77" si="11">IF(AJ48="","",AJ48)</f>
        <v/>
      </c>
      <c r="Q46" s="33" t="str">
        <f t="shared" si="11"/>
        <v/>
      </c>
    </row>
    <row r="47" spans="2:47" x14ac:dyDescent="0.25">
      <c r="B47" s="9">
        <v>34</v>
      </c>
      <c r="C47" s="35">
        <v>1200</v>
      </c>
      <c r="D47" s="3"/>
      <c r="E47" s="9" t="str">
        <f t="shared" si="0"/>
        <v/>
      </c>
      <c r="F47" s="54" t="str">
        <f t="shared" si="9"/>
        <v/>
      </c>
      <c r="G47" s="73" t="str">
        <f t="shared" si="1"/>
        <v/>
      </c>
      <c r="H47" s="56" t="str">
        <f t="shared" si="2"/>
        <v/>
      </c>
      <c r="I47" s="57" t="str">
        <f t="shared" si="3"/>
        <v/>
      </c>
      <c r="J47" s="58" t="str">
        <f t="shared" si="4"/>
        <v/>
      </c>
      <c r="L47" s="31" t="str">
        <f t="shared" si="5"/>
        <v/>
      </c>
      <c r="M47" s="32" t="str">
        <f t="shared" si="10"/>
        <v/>
      </c>
      <c r="N47" s="32" t="str">
        <f t="shared" si="6"/>
        <v/>
      </c>
      <c r="O47" s="32" t="str">
        <f t="shared" si="7"/>
        <v/>
      </c>
      <c r="P47" s="32" t="str">
        <f t="shared" si="11"/>
        <v/>
      </c>
      <c r="Q47" s="33" t="str">
        <f t="shared" si="11"/>
        <v/>
      </c>
    </row>
    <row r="48" spans="2:47" x14ac:dyDescent="0.25">
      <c r="B48" s="9">
        <v>35</v>
      </c>
      <c r="C48" s="35">
        <v>1300</v>
      </c>
      <c r="D48" s="3"/>
      <c r="E48" s="9" t="str">
        <f t="shared" si="0"/>
        <v/>
      </c>
      <c r="F48" s="54" t="str">
        <f t="shared" si="9"/>
        <v/>
      </c>
      <c r="G48" s="73" t="str">
        <f t="shared" si="1"/>
        <v/>
      </c>
      <c r="H48" s="56" t="str">
        <f t="shared" si="2"/>
        <v/>
      </c>
      <c r="I48" s="57" t="str">
        <f t="shared" si="3"/>
        <v/>
      </c>
      <c r="J48" s="58" t="str">
        <f t="shared" si="4"/>
        <v/>
      </c>
      <c r="L48" s="31" t="str">
        <f t="shared" si="5"/>
        <v/>
      </c>
      <c r="M48" s="32" t="str">
        <f t="shared" si="10"/>
        <v/>
      </c>
      <c r="N48" s="32" t="str">
        <f t="shared" si="6"/>
        <v/>
      </c>
      <c r="O48" s="32" t="str">
        <f t="shared" si="7"/>
        <v/>
      </c>
      <c r="P48" s="32" t="str">
        <f t="shared" si="11"/>
        <v/>
      </c>
      <c r="Q48" s="33" t="str">
        <f t="shared" si="11"/>
        <v/>
      </c>
    </row>
    <row r="49" spans="2:17" x14ac:dyDescent="0.25">
      <c r="B49" s="9">
        <v>36</v>
      </c>
      <c r="C49" s="35">
        <v>1400</v>
      </c>
      <c r="D49" s="3"/>
      <c r="E49" s="9" t="str">
        <f t="shared" si="0"/>
        <v/>
      </c>
      <c r="F49" s="54" t="str">
        <f t="shared" si="9"/>
        <v/>
      </c>
      <c r="G49" s="73" t="str">
        <f t="shared" si="1"/>
        <v/>
      </c>
      <c r="H49" s="56" t="str">
        <f t="shared" si="2"/>
        <v/>
      </c>
      <c r="I49" s="57" t="str">
        <f t="shared" si="3"/>
        <v/>
      </c>
      <c r="J49" s="58" t="str">
        <f t="shared" si="4"/>
        <v/>
      </c>
      <c r="L49" s="31" t="str">
        <f t="shared" si="5"/>
        <v/>
      </c>
      <c r="M49" s="32" t="str">
        <f t="shared" si="10"/>
        <v/>
      </c>
      <c r="N49" s="32" t="str">
        <f t="shared" si="6"/>
        <v/>
      </c>
      <c r="O49" s="32" t="str">
        <f t="shared" si="7"/>
        <v/>
      </c>
      <c r="P49" s="32" t="str">
        <f t="shared" si="11"/>
        <v/>
      </c>
      <c r="Q49" s="33" t="str">
        <f t="shared" si="11"/>
        <v/>
      </c>
    </row>
    <row r="50" spans="2:17" x14ac:dyDescent="0.25">
      <c r="B50" s="9">
        <v>37</v>
      </c>
      <c r="C50" s="35">
        <v>1500</v>
      </c>
      <c r="D50" s="3"/>
      <c r="E50" s="9" t="str">
        <f t="shared" si="0"/>
        <v/>
      </c>
      <c r="F50" s="54" t="str">
        <f t="shared" si="9"/>
        <v/>
      </c>
      <c r="G50" s="73" t="str">
        <f t="shared" si="1"/>
        <v/>
      </c>
      <c r="H50" s="56" t="str">
        <f t="shared" si="2"/>
        <v/>
      </c>
      <c r="I50" s="57" t="str">
        <f t="shared" si="3"/>
        <v/>
      </c>
      <c r="J50" s="58" t="str">
        <f t="shared" si="4"/>
        <v/>
      </c>
      <c r="L50" s="31" t="str">
        <f t="shared" si="5"/>
        <v/>
      </c>
      <c r="M50" s="32" t="str">
        <f t="shared" si="10"/>
        <v/>
      </c>
      <c r="N50" s="32" t="str">
        <f t="shared" si="6"/>
        <v/>
      </c>
      <c r="O50" s="32" t="str">
        <f t="shared" si="7"/>
        <v/>
      </c>
      <c r="P50" s="32" t="str">
        <f t="shared" si="11"/>
        <v/>
      </c>
      <c r="Q50" s="33" t="str">
        <f t="shared" si="11"/>
        <v/>
      </c>
    </row>
    <row r="51" spans="2:17" x14ac:dyDescent="0.25">
      <c r="B51" s="9">
        <v>38</v>
      </c>
      <c r="C51" s="35">
        <v>1600</v>
      </c>
      <c r="D51" s="3"/>
      <c r="E51" s="9" t="str">
        <f t="shared" si="0"/>
        <v/>
      </c>
      <c r="F51" s="54" t="str">
        <f t="shared" si="9"/>
        <v/>
      </c>
      <c r="G51" s="73" t="str">
        <f t="shared" si="1"/>
        <v/>
      </c>
      <c r="H51" s="56" t="str">
        <f t="shared" si="2"/>
        <v/>
      </c>
      <c r="I51" s="57" t="str">
        <f t="shared" si="3"/>
        <v/>
      </c>
      <c r="J51" s="58" t="str">
        <f t="shared" si="4"/>
        <v/>
      </c>
      <c r="L51" s="31" t="str">
        <f t="shared" si="5"/>
        <v/>
      </c>
      <c r="M51" s="32" t="str">
        <f t="shared" si="10"/>
        <v/>
      </c>
      <c r="N51" s="32" t="str">
        <f t="shared" si="6"/>
        <v/>
      </c>
      <c r="O51" s="32" t="str">
        <f t="shared" si="7"/>
        <v/>
      </c>
      <c r="P51" s="32" t="str">
        <f t="shared" si="11"/>
        <v/>
      </c>
      <c r="Q51" s="33" t="str">
        <f t="shared" si="11"/>
        <v/>
      </c>
    </row>
    <row r="52" spans="2:17" x14ac:dyDescent="0.25">
      <c r="B52" s="9">
        <v>39</v>
      </c>
      <c r="C52" s="35">
        <v>1700</v>
      </c>
      <c r="D52" s="3"/>
      <c r="E52" s="9" t="str">
        <f t="shared" si="0"/>
        <v/>
      </c>
      <c r="F52" s="54" t="str">
        <f t="shared" si="9"/>
        <v/>
      </c>
      <c r="G52" s="73" t="str">
        <f t="shared" si="1"/>
        <v/>
      </c>
      <c r="H52" s="56" t="str">
        <f t="shared" si="2"/>
        <v/>
      </c>
      <c r="I52" s="57" t="str">
        <f t="shared" si="3"/>
        <v/>
      </c>
      <c r="J52" s="58" t="str">
        <f t="shared" si="4"/>
        <v/>
      </c>
      <c r="L52" s="31" t="str">
        <f t="shared" si="5"/>
        <v/>
      </c>
      <c r="M52" s="32" t="str">
        <f t="shared" si="10"/>
        <v/>
      </c>
      <c r="N52" s="32" t="str">
        <f t="shared" si="6"/>
        <v/>
      </c>
      <c r="O52" s="32" t="str">
        <f t="shared" si="7"/>
        <v/>
      </c>
      <c r="P52" s="32" t="str">
        <f t="shared" si="11"/>
        <v/>
      </c>
      <c r="Q52" s="33" t="str">
        <f t="shared" si="11"/>
        <v/>
      </c>
    </row>
    <row r="53" spans="2:17" x14ac:dyDescent="0.25">
      <c r="B53" s="9">
        <v>40</v>
      </c>
      <c r="C53" s="35">
        <v>1800</v>
      </c>
      <c r="D53" s="3"/>
      <c r="E53" s="9" t="str">
        <f t="shared" si="0"/>
        <v/>
      </c>
      <c r="F53" s="54" t="str">
        <f t="shared" si="9"/>
        <v/>
      </c>
      <c r="G53" s="73" t="str">
        <f t="shared" si="1"/>
        <v/>
      </c>
      <c r="H53" s="56" t="str">
        <f t="shared" si="2"/>
        <v/>
      </c>
      <c r="I53" s="57" t="str">
        <f t="shared" si="3"/>
        <v/>
      </c>
      <c r="J53" s="58" t="str">
        <f t="shared" si="4"/>
        <v/>
      </c>
      <c r="L53" s="31" t="str">
        <f t="shared" si="5"/>
        <v/>
      </c>
      <c r="M53" s="32" t="str">
        <f t="shared" si="10"/>
        <v/>
      </c>
      <c r="N53" s="32" t="str">
        <f t="shared" si="6"/>
        <v/>
      </c>
      <c r="O53" s="32" t="str">
        <f t="shared" si="7"/>
        <v/>
      </c>
      <c r="P53" s="32" t="str">
        <f t="shared" si="11"/>
        <v/>
      </c>
      <c r="Q53" s="33" t="str">
        <f t="shared" si="11"/>
        <v/>
      </c>
    </row>
    <row r="54" spans="2:17" x14ac:dyDescent="0.25">
      <c r="B54" s="9">
        <v>41</v>
      </c>
      <c r="C54" s="35">
        <v>1900</v>
      </c>
      <c r="D54" s="3"/>
      <c r="E54" s="9" t="str">
        <f t="shared" si="0"/>
        <v/>
      </c>
      <c r="F54" s="54" t="str">
        <f t="shared" si="9"/>
        <v/>
      </c>
      <c r="G54" s="73" t="str">
        <f t="shared" si="1"/>
        <v/>
      </c>
      <c r="H54" s="56" t="str">
        <f t="shared" si="2"/>
        <v/>
      </c>
      <c r="I54" s="57" t="str">
        <f t="shared" si="3"/>
        <v/>
      </c>
      <c r="J54" s="58" t="str">
        <f t="shared" si="4"/>
        <v/>
      </c>
      <c r="L54" s="31" t="str">
        <f t="shared" si="5"/>
        <v/>
      </c>
      <c r="M54" s="32" t="str">
        <f t="shared" si="10"/>
        <v/>
      </c>
      <c r="N54" s="32" t="str">
        <f t="shared" si="6"/>
        <v/>
      </c>
      <c r="O54" s="32" t="str">
        <f t="shared" si="7"/>
        <v/>
      </c>
      <c r="P54" s="32" t="str">
        <f t="shared" si="11"/>
        <v/>
      </c>
      <c r="Q54" s="33" t="str">
        <f t="shared" si="11"/>
        <v/>
      </c>
    </row>
    <row r="55" spans="2:17" x14ac:dyDescent="0.25">
      <c r="B55" s="9">
        <v>42</v>
      </c>
      <c r="C55" s="35">
        <v>2000</v>
      </c>
      <c r="D55" s="3"/>
      <c r="E55" s="9" t="str">
        <f t="shared" si="0"/>
        <v/>
      </c>
      <c r="F55" s="54" t="str">
        <f t="shared" si="9"/>
        <v/>
      </c>
      <c r="G55" s="73" t="str">
        <f t="shared" si="1"/>
        <v/>
      </c>
      <c r="H55" s="56" t="str">
        <f t="shared" si="2"/>
        <v/>
      </c>
      <c r="I55" s="57" t="str">
        <f t="shared" si="3"/>
        <v/>
      </c>
      <c r="J55" s="58" t="str">
        <f t="shared" si="4"/>
        <v/>
      </c>
      <c r="L55" s="31" t="str">
        <f t="shared" si="5"/>
        <v/>
      </c>
      <c r="M55" s="32" t="str">
        <f t="shared" si="10"/>
        <v/>
      </c>
      <c r="N55" s="32" t="str">
        <f t="shared" si="6"/>
        <v/>
      </c>
      <c r="O55" s="32" t="str">
        <f t="shared" si="7"/>
        <v/>
      </c>
      <c r="P55" s="32" t="str">
        <f t="shared" si="11"/>
        <v/>
      </c>
      <c r="Q55" s="33" t="str">
        <f t="shared" si="11"/>
        <v/>
      </c>
    </row>
    <row r="56" spans="2:17" x14ac:dyDescent="0.25">
      <c r="B56" s="9">
        <v>43</v>
      </c>
      <c r="C56" s="35">
        <v>2500</v>
      </c>
      <c r="D56" s="3"/>
      <c r="E56" s="9" t="str">
        <f t="shared" si="0"/>
        <v/>
      </c>
      <c r="F56" s="54" t="str">
        <f t="shared" si="9"/>
        <v/>
      </c>
      <c r="G56" s="73" t="str">
        <f t="shared" si="1"/>
        <v/>
      </c>
      <c r="H56" s="56" t="str">
        <f t="shared" si="2"/>
        <v/>
      </c>
      <c r="I56" s="57" t="str">
        <f t="shared" si="3"/>
        <v/>
      </c>
      <c r="J56" s="58" t="str">
        <f t="shared" si="4"/>
        <v/>
      </c>
      <c r="L56" s="31" t="str">
        <f t="shared" si="5"/>
        <v/>
      </c>
      <c r="M56" s="32" t="str">
        <f t="shared" si="10"/>
        <v/>
      </c>
      <c r="N56" s="32" t="str">
        <f t="shared" si="6"/>
        <v/>
      </c>
      <c r="O56" s="32" t="str">
        <f t="shared" si="7"/>
        <v/>
      </c>
      <c r="P56" s="32" t="str">
        <f t="shared" si="11"/>
        <v/>
      </c>
      <c r="Q56" s="33" t="str">
        <f t="shared" si="11"/>
        <v/>
      </c>
    </row>
    <row r="57" spans="2:17" x14ac:dyDescent="0.25">
      <c r="B57" s="9">
        <v>44</v>
      </c>
      <c r="C57" s="35">
        <v>3000</v>
      </c>
      <c r="D57" s="3"/>
      <c r="E57" s="9" t="str">
        <f t="shared" si="0"/>
        <v/>
      </c>
      <c r="F57" s="54" t="str">
        <f t="shared" si="9"/>
        <v/>
      </c>
      <c r="G57" s="73" t="str">
        <f t="shared" si="1"/>
        <v/>
      </c>
      <c r="H57" s="56" t="str">
        <f t="shared" si="2"/>
        <v/>
      </c>
      <c r="I57" s="57" t="str">
        <f t="shared" si="3"/>
        <v/>
      </c>
      <c r="J57" s="58" t="str">
        <f t="shared" si="4"/>
        <v/>
      </c>
      <c r="L57" s="31" t="str">
        <f t="shared" si="5"/>
        <v/>
      </c>
      <c r="M57" s="32" t="str">
        <f t="shared" si="10"/>
        <v/>
      </c>
      <c r="N57" s="32" t="str">
        <f t="shared" si="6"/>
        <v/>
      </c>
      <c r="O57" s="32" t="str">
        <f t="shared" si="7"/>
        <v/>
      </c>
      <c r="P57" s="32" t="str">
        <f t="shared" si="11"/>
        <v/>
      </c>
      <c r="Q57" s="33" t="str">
        <f t="shared" si="11"/>
        <v/>
      </c>
    </row>
    <row r="58" spans="2:17" x14ac:dyDescent="0.25">
      <c r="B58" s="9">
        <v>45</v>
      </c>
      <c r="C58" s="35">
        <v>3500</v>
      </c>
      <c r="D58" s="3"/>
      <c r="E58" s="9" t="str">
        <f t="shared" si="0"/>
        <v/>
      </c>
      <c r="F58" s="54" t="str">
        <f t="shared" si="9"/>
        <v/>
      </c>
      <c r="G58" s="73" t="str">
        <f t="shared" si="1"/>
        <v/>
      </c>
      <c r="H58" s="56" t="str">
        <f t="shared" si="2"/>
        <v/>
      </c>
      <c r="I58" s="57" t="str">
        <f t="shared" si="3"/>
        <v/>
      </c>
      <c r="J58" s="58" t="str">
        <f t="shared" si="4"/>
        <v/>
      </c>
      <c r="L58" s="31" t="str">
        <f t="shared" si="5"/>
        <v/>
      </c>
      <c r="M58" s="32" t="str">
        <f t="shared" si="10"/>
        <v/>
      </c>
      <c r="N58" s="32" t="str">
        <f t="shared" si="6"/>
        <v/>
      </c>
      <c r="O58" s="32" t="str">
        <f t="shared" si="7"/>
        <v/>
      </c>
      <c r="P58" s="32" t="str">
        <f t="shared" si="11"/>
        <v/>
      </c>
      <c r="Q58" s="33" t="str">
        <f t="shared" si="11"/>
        <v/>
      </c>
    </row>
    <row r="59" spans="2:17" x14ac:dyDescent="0.25">
      <c r="B59" s="9">
        <v>46</v>
      </c>
      <c r="C59" s="35">
        <v>4000</v>
      </c>
      <c r="D59" s="3"/>
      <c r="E59" s="9" t="str">
        <f t="shared" si="0"/>
        <v/>
      </c>
      <c r="F59" s="54" t="str">
        <f t="shared" si="9"/>
        <v/>
      </c>
      <c r="G59" s="73" t="str">
        <f t="shared" si="1"/>
        <v/>
      </c>
      <c r="H59" s="56" t="str">
        <f t="shared" si="2"/>
        <v/>
      </c>
      <c r="I59" s="57" t="str">
        <f t="shared" si="3"/>
        <v/>
      </c>
      <c r="J59" s="58" t="str">
        <f t="shared" si="4"/>
        <v/>
      </c>
      <c r="L59" s="31" t="str">
        <f t="shared" si="5"/>
        <v/>
      </c>
      <c r="M59" s="32" t="str">
        <f t="shared" si="10"/>
        <v/>
      </c>
      <c r="N59" s="32" t="str">
        <f t="shared" si="6"/>
        <v/>
      </c>
      <c r="O59" s="32" t="str">
        <f t="shared" si="7"/>
        <v/>
      </c>
      <c r="P59" s="32" t="str">
        <f t="shared" si="11"/>
        <v/>
      </c>
      <c r="Q59" s="33" t="str">
        <f t="shared" si="11"/>
        <v/>
      </c>
    </row>
    <row r="60" spans="2:17" x14ac:dyDescent="0.25">
      <c r="B60" s="9">
        <v>47</v>
      </c>
      <c r="C60" s="35">
        <v>4500</v>
      </c>
      <c r="D60" s="3"/>
      <c r="E60" s="9" t="str">
        <f t="shared" si="0"/>
        <v/>
      </c>
      <c r="F60" s="54" t="str">
        <f t="shared" si="9"/>
        <v/>
      </c>
      <c r="G60" s="73" t="str">
        <f t="shared" si="1"/>
        <v/>
      </c>
      <c r="H60" s="56" t="str">
        <f t="shared" si="2"/>
        <v/>
      </c>
      <c r="I60" s="57" t="str">
        <f t="shared" si="3"/>
        <v/>
      </c>
      <c r="J60" s="58" t="str">
        <f t="shared" si="4"/>
        <v/>
      </c>
      <c r="L60" s="31" t="str">
        <f t="shared" si="5"/>
        <v/>
      </c>
      <c r="M60" s="32" t="str">
        <f t="shared" si="10"/>
        <v/>
      </c>
      <c r="N60" s="32" t="str">
        <f t="shared" si="6"/>
        <v/>
      </c>
      <c r="O60" s="32" t="str">
        <f t="shared" si="7"/>
        <v/>
      </c>
      <c r="P60" s="32" t="str">
        <f t="shared" si="11"/>
        <v/>
      </c>
      <c r="Q60" s="33" t="str">
        <f t="shared" si="11"/>
        <v/>
      </c>
    </row>
    <row r="61" spans="2:17" x14ac:dyDescent="0.25">
      <c r="B61" s="9">
        <v>48</v>
      </c>
      <c r="C61" s="35">
        <v>5000</v>
      </c>
      <c r="D61" s="3"/>
      <c r="E61" s="9" t="str">
        <f t="shared" si="0"/>
        <v/>
      </c>
      <c r="F61" s="54" t="str">
        <f t="shared" si="9"/>
        <v/>
      </c>
      <c r="G61" s="73" t="str">
        <f t="shared" si="1"/>
        <v/>
      </c>
      <c r="H61" s="56" t="str">
        <f t="shared" si="2"/>
        <v/>
      </c>
      <c r="I61" s="57" t="str">
        <f t="shared" si="3"/>
        <v/>
      </c>
      <c r="J61" s="58" t="str">
        <f t="shared" si="4"/>
        <v/>
      </c>
      <c r="L61" s="31" t="str">
        <f t="shared" si="5"/>
        <v/>
      </c>
      <c r="M61" s="32" t="str">
        <f t="shared" si="10"/>
        <v/>
      </c>
      <c r="N61" s="32" t="str">
        <f t="shared" si="6"/>
        <v/>
      </c>
      <c r="O61" s="32" t="str">
        <f t="shared" si="7"/>
        <v/>
      </c>
      <c r="P61" s="32" t="str">
        <f t="shared" si="11"/>
        <v/>
      </c>
      <c r="Q61" s="33" t="str">
        <f t="shared" si="11"/>
        <v/>
      </c>
    </row>
    <row r="62" spans="2:17" x14ac:dyDescent="0.25">
      <c r="B62" s="9">
        <v>49</v>
      </c>
      <c r="C62" s="35">
        <v>5500</v>
      </c>
      <c r="D62" s="3"/>
      <c r="E62" s="9" t="str">
        <f t="shared" si="0"/>
        <v/>
      </c>
      <c r="F62" s="54" t="str">
        <f t="shared" si="9"/>
        <v/>
      </c>
      <c r="G62" s="73" t="str">
        <f t="shared" si="1"/>
        <v/>
      </c>
      <c r="H62" s="56" t="str">
        <f t="shared" si="2"/>
        <v/>
      </c>
      <c r="I62" s="57" t="str">
        <f t="shared" si="3"/>
        <v/>
      </c>
      <c r="J62" s="58" t="str">
        <f t="shared" si="4"/>
        <v/>
      </c>
      <c r="L62" s="31" t="str">
        <f t="shared" si="5"/>
        <v/>
      </c>
      <c r="M62" s="32" t="str">
        <f t="shared" si="10"/>
        <v/>
      </c>
      <c r="N62" s="32" t="str">
        <f t="shared" si="6"/>
        <v/>
      </c>
      <c r="O62" s="32" t="str">
        <f t="shared" si="7"/>
        <v/>
      </c>
      <c r="P62" s="32" t="str">
        <f t="shared" si="11"/>
        <v/>
      </c>
      <c r="Q62" s="33" t="str">
        <f t="shared" si="11"/>
        <v/>
      </c>
    </row>
    <row r="63" spans="2:17" x14ac:dyDescent="0.25">
      <c r="B63" s="9">
        <v>50</v>
      </c>
      <c r="C63" s="35">
        <v>6000</v>
      </c>
      <c r="D63" s="3"/>
      <c r="E63" s="9" t="str">
        <f t="shared" si="0"/>
        <v/>
      </c>
      <c r="F63" s="54" t="str">
        <f t="shared" si="9"/>
        <v/>
      </c>
      <c r="G63" s="73" t="str">
        <f t="shared" si="1"/>
        <v/>
      </c>
      <c r="H63" s="56" t="str">
        <f t="shared" si="2"/>
        <v/>
      </c>
      <c r="I63" s="57" t="str">
        <f t="shared" si="3"/>
        <v/>
      </c>
      <c r="J63" s="58" t="str">
        <f t="shared" si="4"/>
        <v/>
      </c>
      <c r="L63" s="31" t="str">
        <f t="shared" si="5"/>
        <v/>
      </c>
      <c r="M63" s="32" t="str">
        <f t="shared" si="10"/>
        <v/>
      </c>
      <c r="N63" s="32" t="str">
        <f t="shared" si="6"/>
        <v/>
      </c>
      <c r="O63" s="32" t="str">
        <f t="shared" si="7"/>
        <v/>
      </c>
      <c r="P63" s="32" t="str">
        <f t="shared" si="11"/>
        <v/>
      </c>
      <c r="Q63" s="33" t="str">
        <f t="shared" si="11"/>
        <v/>
      </c>
    </row>
    <row r="64" spans="2:17" x14ac:dyDescent="0.25">
      <c r="B64" s="9">
        <v>51</v>
      </c>
      <c r="C64" s="35">
        <v>6500</v>
      </c>
      <c r="D64" s="3"/>
      <c r="E64" s="9" t="str">
        <f t="shared" si="0"/>
        <v/>
      </c>
      <c r="F64" s="54" t="str">
        <f t="shared" si="9"/>
        <v/>
      </c>
      <c r="G64" s="73" t="str">
        <f t="shared" si="1"/>
        <v/>
      </c>
      <c r="H64" s="56" t="str">
        <f t="shared" si="2"/>
        <v/>
      </c>
      <c r="I64" s="57" t="str">
        <f t="shared" si="3"/>
        <v/>
      </c>
      <c r="J64" s="58" t="str">
        <f t="shared" si="4"/>
        <v/>
      </c>
      <c r="L64" s="31" t="str">
        <f t="shared" si="5"/>
        <v/>
      </c>
      <c r="M64" s="32" t="str">
        <f t="shared" si="10"/>
        <v/>
      </c>
      <c r="N64" s="32" t="str">
        <f t="shared" si="6"/>
        <v/>
      </c>
      <c r="O64" s="32" t="str">
        <f t="shared" si="7"/>
        <v/>
      </c>
      <c r="P64" s="32" t="str">
        <f t="shared" si="11"/>
        <v/>
      </c>
      <c r="Q64" s="33" t="str">
        <f t="shared" si="11"/>
        <v/>
      </c>
    </row>
    <row r="65" spans="2:17" x14ac:dyDescent="0.25">
      <c r="B65" s="9">
        <v>52</v>
      </c>
      <c r="C65" s="35">
        <v>7000</v>
      </c>
      <c r="D65" s="3"/>
      <c r="E65" s="9" t="str">
        <f t="shared" si="0"/>
        <v/>
      </c>
      <c r="F65" s="54" t="str">
        <f t="shared" si="9"/>
        <v/>
      </c>
      <c r="G65" s="73" t="str">
        <f t="shared" si="1"/>
        <v/>
      </c>
      <c r="H65" s="56" t="str">
        <f t="shared" si="2"/>
        <v/>
      </c>
      <c r="I65" s="57" t="str">
        <f t="shared" si="3"/>
        <v/>
      </c>
      <c r="J65" s="58" t="str">
        <f t="shared" si="4"/>
        <v/>
      </c>
      <c r="L65" s="31" t="str">
        <f t="shared" si="5"/>
        <v/>
      </c>
      <c r="M65" s="32" t="str">
        <f t="shared" si="10"/>
        <v/>
      </c>
      <c r="N65" s="32" t="str">
        <f t="shared" si="6"/>
        <v/>
      </c>
      <c r="O65" s="32" t="str">
        <f t="shared" si="7"/>
        <v/>
      </c>
      <c r="P65" s="32" t="str">
        <f t="shared" si="11"/>
        <v/>
      </c>
      <c r="Q65" s="33" t="str">
        <f t="shared" si="11"/>
        <v/>
      </c>
    </row>
    <row r="66" spans="2:17" x14ac:dyDescent="0.25">
      <c r="B66" s="9">
        <v>53</v>
      </c>
      <c r="C66" s="35">
        <v>7500</v>
      </c>
      <c r="D66" s="3"/>
      <c r="E66" s="9" t="str">
        <f t="shared" si="0"/>
        <v/>
      </c>
      <c r="F66" s="54" t="str">
        <f t="shared" si="9"/>
        <v/>
      </c>
      <c r="G66" s="73" t="str">
        <f t="shared" si="1"/>
        <v/>
      </c>
      <c r="H66" s="56" t="str">
        <f t="shared" si="2"/>
        <v/>
      </c>
      <c r="I66" s="57" t="str">
        <f t="shared" si="3"/>
        <v/>
      </c>
      <c r="J66" s="58" t="str">
        <f t="shared" si="4"/>
        <v/>
      </c>
      <c r="L66" s="31" t="str">
        <f t="shared" si="5"/>
        <v/>
      </c>
      <c r="M66" s="32" t="str">
        <f t="shared" si="10"/>
        <v/>
      </c>
      <c r="N66" s="32" t="str">
        <f t="shared" si="6"/>
        <v/>
      </c>
      <c r="O66" s="32" t="str">
        <f t="shared" si="7"/>
        <v/>
      </c>
      <c r="P66" s="32" t="str">
        <f t="shared" si="11"/>
        <v/>
      </c>
      <c r="Q66" s="33" t="str">
        <f t="shared" si="11"/>
        <v/>
      </c>
    </row>
    <row r="67" spans="2:17" x14ac:dyDescent="0.25">
      <c r="B67" s="9">
        <v>54</v>
      </c>
      <c r="C67" s="35">
        <v>8000</v>
      </c>
      <c r="D67" s="3"/>
      <c r="E67" s="9" t="str">
        <f t="shared" si="0"/>
        <v/>
      </c>
      <c r="F67" s="54" t="str">
        <f t="shared" si="9"/>
        <v/>
      </c>
      <c r="G67" s="73" t="str">
        <f t="shared" si="1"/>
        <v/>
      </c>
      <c r="H67" s="56" t="str">
        <f t="shared" si="2"/>
        <v/>
      </c>
      <c r="I67" s="57" t="str">
        <f t="shared" si="3"/>
        <v/>
      </c>
      <c r="J67" s="58" t="str">
        <f t="shared" si="4"/>
        <v/>
      </c>
      <c r="L67" s="31" t="str">
        <f t="shared" si="5"/>
        <v/>
      </c>
      <c r="M67" s="32" t="str">
        <f t="shared" si="10"/>
        <v/>
      </c>
      <c r="N67" s="32" t="str">
        <f t="shared" si="6"/>
        <v/>
      </c>
      <c r="O67" s="32" t="str">
        <f t="shared" si="7"/>
        <v/>
      </c>
      <c r="P67" s="32" t="str">
        <f t="shared" si="11"/>
        <v/>
      </c>
      <c r="Q67" s="33" t="str">
        <f t="shared" si="11"/>
        <v/>
      </c>
    </row>
    <row r="68" spans="2:17" x14ac:dyDescent="0.25">
      <c r="B68" s="9">
        <v>55</v>
      </c>
      <c r="C68" s="35">
        <v>8500</v>
      </c>
      <c r="D68" s="3"/>
      <c r="E68" s="9" t="str">
        <f t="shared" si="0"/>
        <v/>
      </c>
      <c r="F68" s="54" t="str">
        <f t="shared" si="9"/>
        <v/>
      </c>
      <c r="G68" s="73" t="str">
        <f t="shared" si="1"/>
        <v/>
      </c>
      <c r="H68" s="56" t="str">
        <f t="shared" si="2"/>
        <v/>
      </c>
      <c r="I68" s="57" t="str">
        <f t="shared" si="3"/>
        <v/>
      </c>
      <c r="J68" s="58" t="str">
        <f t="shared" si="4"/>
        <v/>
      </c>
      <c r="L68" s="31" t="str">
        <f t="shared" si="5"/>
        <v/>
      </c>
      <c r="M68" s="32" t="str">
        <f t="shared" si="10"/>
        <v/>
      </c>
      <c r="N68" s="32" t="str">
        <f t="shared" si="6"/>
        <v/>
      </c>
      <c r="O68" s="32" t="str">
        <f t="shared" si="7"/>
        <v/>
      </c>
      <c r="P68" s="32" t="str">
        <f t="shared" si="11"/>
        <v/>
      </c>
      <c r="Q68" s="33" t="str">
        <f t="shared" si="11"/>
        <v/>
      </c>
    </row>
    <row r="69" spans="2:17" x14ac:dyDescent="0.25">
      <c r="B69" s="9">
        <v>56</v>
      </c>
      <c r="C69" s="35">
        <v>9000</v>
      </c>
      <c r="D69" s="3"/>
      <c r="E69" s="9" t="str">
        <f t="shared" si="0"/>
        <v/>
      </c>
      <c r="F69" s="54" t="str">
        <f t="shared" si="9"/>
        <v/>
      </c>
      <c r="G69" s="73" t="str">
        <f t="shared" si="1"/>
        <v/>
      </c>
      <c r="H69" s="56" t="str">
        <f t="shared" si="2"/>
        <v/>
      </c>
      <c r="I69" s="57" t="str">
        <f t="shared" si="3"/>
        <v/>
      </c>
      <c r="J69" s="58" t="str">
        <f t="shared" si="4"/>
        <v/>
      </c>
      <c r="L69" s="31" t="str">
        <f t="shared" si="5"/>
        <v/>
      </c>
      <c r="M69" s="32" t="str">
        <f t="shared" si="10"/>
        <v/>
      </c>
      <c r="N69" s="32" t="str">
        <f t="shared" si="6"/>
        <v/>
      </c>
      <c r="O69" s="32" t="str">
        <f t="shared" si="7"/>
        <v/>
      </c>
      <c r="P69" s="32" t="str">
        <f t="shared" si="11"/>
        <v/>
      </c>
      <c r="Q69" s="33" t="str">
        <f t="shared" si="11"/>
        <v/>
      </c>
    </row>
    <row r="70" spans="2:17" x14ac:dyDescent="0.25">
      <c r="B70" s="9">
        <v>57</v>
      </c>
      <c r="C70" s="35">
        <v>9500</v>
      </c>
      <c r="D70" s="3"/>
      <c r="E70" s="9" t="str">
        <f t="shared" si="0"/>
        <v/>
      </c>
      <c r="F70" s="54" t="str">
        <f t="shared" si="9"/>
        <v/>
      </c>
      <c r="G70" s="73" t="str">
        <f t="shared" si="1"/>
        <v/>
      </c>
      <c r="H70" s="56" t="str">
        <f t="shared" si="2"/>
        <v/>
      </c>
      <c r="I70" s="57" t="str">
        <f t="shared" si="3"/>
        <v/>
      </c>
      <c r="J70" s="58" t="str">
        <f t="shared" si="4"/>
        <v/>
      </c>
      <c r="L70" s="31" t="str">
        <f t="shared" si="5"/>
        <v/>
      </c>
      <c r="M70" s="32" t="str">
        <f t="shared" si="10"/>
        <v/>
      </c>
      <c r="N70" s="32" t="str">
        <f t="shared" si="6"/>
        <v/>
      </c>
      <c r="O70" s="32" t="str">
        <f t="shared" si="7"/>
        <v/>
      </c>
      <c r="P70" s="32" t="str">
        <f t="shared" si="11"/>
        <v/>
      </c>
      <c r="Q70" s="33" t="str">
        <f t="shared" si="11"/>
        <v/>
      </c>
    </row>
    <row r="71" spans="2:17" x14ac:dyDescent="0.25">
      <c r="B71" s="9">
        <v>58</v>
      </c>
      <c r="C71" s="35">
        <v>10000</v>
      </c>
      <c r="D71" s="3"/>
      <c r="E71" s="9" t="str">
        <f t="shared" si="0"/>
        <v/>
      </c>
      <c r="F71" s="54" t="str">
        <f t="shared" si="9"/>
        <v/>
      </c>
      <c r="G71" s="73" t="str">
        <f t="shared" si="1"/>
        <v/>
      </c>
      <c r="H71" s="56" t="str">
        <f t="shared" si="2"/>
        <v/>
      </c>
      <c r="I71" s="57" t="str">
        <f t="shared" si="3"/>
        <v/>
      </c>
      <c r="J71" s="58" t="str">
        <f t="shared" si="4"/>
        <v/>
      </c>
      <c r="L71" s="31" t="str">
        <f t="shared" si="5"/>
        <v/>
      </c>
      <c r="M71" s="32" t="str">
        <f t="shared" si="10"/>
        <v/>
      </c>
      <c r="N71" s="32" t="str">
        <f t="shared" si="6"/>
        <v/>
      </c>
      <c r="O71" s="32" t="str">
        <f t="shared" si="7"/>
        <v/>
      </c>
      <c r="P71" s="32" t="str">
        <f t="shared" si="11"/>
        <v/>
      </c>
      <c r="Q71" s="33" t="str">
        <f t="shared" si="11"/>
        <v/>
      </c>
    </row>
    <row r="72" spans="2:17" x14ac:dyDescent="0.25">
      <c r="B72" s="9">
        <v>59</v>
      </c>
      <c r="C72" s="35">
        <v>10500</v>
      </c>
      <c r="D72" s="3"/>
      <c r="E72" s="9" t="str">
        <f t="shared" si="0"/>
        <v/>
      </c>
      <c r="F72" s="54" t="str">
        <f t="shared" si="9"/>
        <v/>
      </c>
      <c r="G72" s="73" t="str">
        <f t="shared" si="1"/>
        <v/>
      </c>
      <c r="H72" s="56" t="str">
        <f t="shared" si="2"/>
        <v/>
      </c>
      <c r="I72" s="57" t="str">
        <f t="shared" si="3"/>
        <v/>
      </c>
      <c r="J72" s="58" t="str">
        <f t="shared" si="4"/>
        <v/>
      </c>
      <c r="L72" s="31" t="str">
        <f t="shared" si="5"/>
        <v/>
      </c>
      <c r="M72" s="32" t="str">
        <f t="shared" si="10"/>
        <v/>
      </c>
      <c r="N72" s="32" t="str">
        <f t="shared" si="6"/>
        <v/>
      </c>
      <c r="O72" s="32" t="str">
        <f t="shared" si="7"/>
        <v/>
      </c>
      <c r="P72" s="32" t="str">
        <f t="shared" si="11"/>
        <v/>
      </c>
      <c r="Q72" s="33" t="str">
        <f t="shared" si="11"/>
        <v/>
      </c>
    </row>
    <row r="73" spans="2:17" x14ac:dyDescent="0.25">
      <c r="B73" s="9">
        <v>60</v>
      </c>
      <c r="C73" s="35">
        <v>11000</v>
      </c>
      <c r="D73" s="3"/>
      <c r="E73" s="9" t="str">
        <f t="shared" si="0"/>
        <v/>
      </c>
      <c r="F73" s="54" t="str">
        <f t="shared" si="9"/>
        <v/>
      </c>
      <c r="G73" s="73" t="str">
        <f t="shared" si="1"/>
        <v/>
      </c>
      <c r="H73" s="56" t="str">
        <f t="shared" si="2"/>
        <v/>
      </c>
      <c r="I73" s="57" t="str">
        <f t="shared" si="3"/>
        <v/>
      </c>
      <c r="J73" s="58" t="str">
        <f t="shared" si="4"/>
        <v/>
      </c>
      <c r="L73" s="31" t="str">
        <f t="shared" si="5"/>
        <v/>
      </c>
      <c r="M73" s="32" t="str">
        <f t="shared" si="10"/>
        <v/>
      </c>
      <c r="N73" s="32" t="str">
        <f t="shared" si="6"/>
        <v/>
      </c>
      <c r="O73" s="32" t="str">
        <f t="shared" si="7"/>
        <v/>
      </c>
      <c r="P73" s="32" t="str">
        <f t="shared" si="11"/>
        <v/>
      </c>
      <c r="Q73" s="33" t="str">
        <f t="shared" si="11"/>
        <v/>
      </c>
    </row>
    <row r="74" spans="2:17" x14ac:dyDescent="0.25">
      <c r="B74" s="9">
        <v>61</v>
      </c>
      <c r="C74" s="35">
        <v>11500</v>
      </c>
      <c r="D74" s="3"/>
      <c r="E74" s="9" t="str">
        <f t="shared" si="0"/>
        <v/>
      </c>
      <c r="F74" s="54" t="str">
        <f t="shared" si="9"/>
        <v/>
      </c>
      <c r="G74" s="73" t="str">
        <f t="shared" si="1"/>
        <v/>
      </c>
      <c r="H74" s="56" t="str">
        <f t="shared" si="2"/>
        <v/>
      </c>
      <c r="I74" s="57" t="str">
        <f t="shared" si="3"/>
        <v/>
      </c>
      <c r="J74" s="58" t="str">
        <f t="shared" si="4"/>
        <v/>
      </c>
      <c r="L74" s="31" t="str">
        <f t="shared" si="5"/>
        <v/>
      </c>
      <c r="M74" s="32" t="str">
        <f t="shared" si="10"/>
        <v/>
      </c>
      <c r="N74" s="32" t="str">
        <f t="shared" si="6"/>
        <v/>
      </c>
      <c r="O74" s="32" t="str">
        <f t="shared" si="7"/>
        <v/>
      </c>
      <c r="P74" s="32" t="str">
        <f t="shared" si="11"/>
        <v/>
      </c>
      <c r="Q74" s="33" t="str">
        <f t="shared" si="11"/>
        <v/>
      </c>
    </row>
    <row r="75" spans="2:17" x14ac:dyDescent="0.25">
      <c r="B75" s="9">
        <v>62</v>
      </c>
      <c r="C75" s="35">
        <v>12000</v>
      </c>
      <c r="D75" s="3"/>
      <c r="E75" s="9" t="str">
        <f t="shared" si="0"/>
        <v/>
      </c>
      <c r="F75" s="54" t="str">
        <f t="shared" si="9"/>
        <v/>
      </c>
      <c r="G75" s="73" t="str">
        <f t="shared" si="1"/>
        <v/>
      </c>
      <c r="H75" s="56" t="str">
        <f t="shared" si="2"/>
        <v/>
      </c>
      <c r="I75" s="57" t="str">
        <f t="shared" si="3"/>
        <v/>
      </c>
      <c r="J75" s="58" t="str">
        <f t="shared" si="4"/>
        <v/>
      </c>
      <c r="L75" s="31" t="str">
        <f t="shared" si="5"/>
        <v/>
      </c>
      <c r="M75" s="32" t="str">
        <f t="shared" si="10"/>
        <v/>
      </c>
      <c r="N75" s="32" t="str">
        <f t="shared" si="6"/>
        <v/>
      </c>
      <c r="O75" s="32" t="str">
        <f t="shared" si="7"/>
        <v/>
      </c>
      <c r="P75" s="32" t="str">
        <f t="shared" si="11"/>
        <v/>
      </c>
      <c r="Q75" s="33" t="str">
        <f t="shared" si="11"/>
        <v/>
      </c>
    </row>
    <row r="76" spans="2:17" x14ac:dyDescent="0.25">
      <c r="B76" s="9">
        <v>63</v>
      </c>
      <c r="C76" s="35">
        <v>12500</v>
      </c>
      <c r="D76" s="3"/>
      <c r="E76" s="9" t="str">
        <f t="shared" si="0"/>
        <v/>
      </c>
      <c r="F76" s="54" t="str">
        <f t="shared" si="9"/>
        <v/>
      </c>
      <c r="G76" s="73" t="str">
        <f t="shared" si="1"/>
        <v/>
      </c>
      <c r="H76" s="56" t="str">
        <f t="shared" si="2"/>
        <v/>
      </c>
      <c r="I76" s="57" t="str">
        <f t="shared" si="3"/>
        <v/>
      </c>
      <c r="J76" s="58" t="str">
        <f t="shared" si="4"/>
        <v/>
      </c>
      <c r="L76" s="31" t="str">
        <f t="shared" si="5"/>
        <v/>
      </c>
      <c r="M76" s="32" t="str">
        <f t="shared" si="10"/>
        <v/>
      </c>
      <c r="N76" s="32" t="str">
        <f t="shared" si="6"/>
        <v/>
      </c>
      <c r="O76" s="32" t="str">
        <f t="shared" si="7"/>
        <v/>
      </c>
      <c r="P76" s="32" t="str">
        <f t="shared" si="11"/>
        <v/>
      </c>
      <c r="Q76" s="33" t="str">
        <f t="shared" si="11"/>
        <v/>
      </c>
    </row>
    <row r="77" spans="2:17" x14ac:dyDescent="0.25">
      <c r="B77" s="9">
        <v>64</v>
      </c>
      <c r="C77" s="35">
        <v>13000</v>
      </c>
      <c r="D77" s="3"/>
      <c r="E77" s="9" t="str">
        <f t="shared" si="0"/>
        <v/>
      </c>
      <c r="F77" s="54" t="str">
        <f t="shared" si="9"/>
        <v/>
      </c>
      <c r="G77" s="73" t="str">
        <f t="shared" si="1"/>
        <v/>
      </c>
      <c r="H77" s="56" t="str">
        <f t="shared" si="2"/>
        <v/>
      </c>
      <c r="I77" s="57" t="str">
        <f t="shared" si="3"/>
        <v/>
      </c>
      <c r="J77" s="58" t="str">
        <f t="shared" si="4"/>
        <v/>
      </c>
      <c r="L77" s="31" t="str">
        <f t="shared" si="5"/>
        <v/>
      </c>
      <c r="M77" s="32" t="str">
        <f t="shared" si="10"/>
        <v/>
      </c>
      <c r="N77" s="32" t="str">
        <f t="shared" si="6"/>
        <v/>
      </c>
      <c r="O77" s="32" t="str">
        <f t="shared" si="7"/>
        <v/>
      </c>
      <c r="P77" s="32" t="str">
        <f t="shared" si="11"/>
        <v/>
      </c>
      <c r="Q77" s="33" t="str">
        <f t="shared" si="11"/>
        <v/>
      </c>
    </row>
    <row r="78" spans="2:17" x14ac:dyDescent="0.25">
      <c r="B78" s="9">
        <v>65</v>
      </c>
      <c r="C78" s="35">
        <v>13500</v>
      </c>
      <c r="D78" s="3"/>
      <c r="E78" s="9" t="str">
        <f t="shared" ref="E78:E141" si="12">IF(L78="","",ROUND(12*C$7/(2*H$7^2+2*H$6*H$7-H$6^2)*L78*1000000,0))</f>
        <v/>
      </c>
      <c r="F78" s="54" t="str">
        <f t="shared" si="9"/>
        <v/>
      </c>
      <c r="G78" s="73" t="str">
        <f t="shared" ref="G78:G141" si="13">IF(L78="","",ROUND(1.5*((N78-O78)*1000*H$7)/(C$6*C$7^2),3))</f>
        <v/>
      </c>
      <c r="H78" s="56" t="str">
        <f t="shared" ref="H78:H141" si="14">IF(L78="","",ROUND(1.5*((N78/2-O78)*1000*H$7)/(C$6*C$7^2),3))</f>
        <v/>
      </c>
      <c r="I78" s="57" t="str">
        <f t="shared" ref="I78:I141" si="15">IF(L78="","",IF(P78&lt;=0,"foute meting",ROUND(0.000001*V$4*SQRT((1000000*Q78)^2+(1000000*P78+V$5*(2*PI()*H$5)^2)^2),0)))</f>
        <v/>
      </c>
      <c r="J78" s="58" t="str">
        <f t="shared" ref="J78:J141" si="16">IF(L78="","",ROUND(ATAN(Q78/P78)/PI()*180,1))</f>
        <v/>
      </c>
      <c r="L78" s="31" t="str">
        <f t="shared" ref="L78:L141" si="17">IF(AG80&lt;=0,"",AG80)</f>
        <v/>
      </c>
      <c r="M78" s="32" t="str">
        <f t="shared" si="10"/>
        <v/>
      </c>
      <c r="N78" s="32" t="str">
        <f t="shared" ref="N78:N141" si="18">IF(AI80="","",AI80)</f>
        <v/>
      </c>
      <c r="O78" s="32" t="str">
        <f t="shared" ref="O78:O141" si="19">IF(AH80="","",AH80)</f>
        <v/>
      </c>
      <c r="P78" s="32" t="str">
        <f t="shared" ref="P78:Q109" si="20">IF(AJ80="","",AJ80)</f>
        <v/>
      </c>
      <c r="Q78" s="33" t="str">
        <f t="shared" si="20"/>
        <v/>
      </c>
    </row>
    <row r="79" spans="2:17" x14ac:dyDescent="0.25">
      <c r="B79" s="9">
        <v>66</v>
      </c>
      <c r="C79" s="35">
        <v>14000</v>
      </c>
      <c r="D79" s="3"/>
      <c r="E79" s="9" t="str">
        <f t="shared" si="12"/>
        <v/>
      </c>
      <c r="F79" s="54" t="str">
        <f t="shared" ref="F79:F142" si="21">IF(L79="","",ABS(ROUND(12*C$7/(2*(H$7/1000)^2+2*(H$6/1000)*(H$7/1000)-(H$6/1000)^2)*(M79-M$14)*1,0)))</f>
        <v/>
      </c>
      <c r="G79" s="73" t="str">
        <f t="shared" si="13"/>
        <v/>
      </c>
      <c r="H79" s="56" t="str">
        <f t="shared" si="14"/>
        <v/>
      </c>
      <c r="I79" s="57" t="str">
        <f t="shared" si="15"/>
        <v/>
      </c>
      <c r="J79" s="58" t="str">
        <f t="shared" si="16"/>
        <v/>
      </c>
      <c r="L79" s="31" t="str">
        <f t="shared" si="17"/>
        <v/>
      </c>
      <c r="M79" s="32" t="str">
        <f t="shared" ref="M79:M142" si="22">IF(AG81="","",AG81/2-AE81)</f>
        <v/>
      </c>
      <c r="N79" s="32" t="str">
        <f t="shared" si="18"/>
        <v/>
      </c>
      <c r="O79" s="32" t="str">
        <f t="shared" si="19"/>
        <v/>
      </c>
      <c r="P79" s="32" t="str">
        <f t="shared" si="20"/>
        <v/>
      </c>
      <c r="Q79" s="33" t="str">
        <f t="shared" si="20"/>
        <v/>
      </c>
    </row>
    <row r="80" spans="2:17" x14ac:dyDescent="0.25">
      <c r="B80" s="9">
        <v>67</v>
      </c>
      <c r="C80" s="35">
        <v>14500</v>
      </c>
      <c r="D80" s="3"/>
      <c r="E80" s="9" t="str">
        <f t="shared" si="12"/>
        <v/>
      </c>
      <c r="F80" s="54" t="str">
        <f t="shared" si="21"/>
        <v/>
      </c>
      <c r="G80" s="73" t="str">
        <f t="shared" si="13"/>
        <v/>
      </c>
      <c r="H80" s="56" t="str">
        <f t="shared" si="14"/>
        <v/>
      </c>
      <c r="I80" s="57" t="str">
        <f t="shared" si="15"/>
        <v/>
      </c>
      <c r="J80" s="58" t="str">
        <f t="shared" si="16"/>
        <v/>
      </c>
      <c r="L80" s="31" t="str">
        <f t="shared" si="17"/>
        <v/>
      </c>
      <c r="M80" s="32" t="str">
        <f t="shared" si="22"/>
        <v/>
      </c>
      <c r="N80" s="32" t="str">
        <f t="shared" si="18"/>
        <v/>
      </c>
      <c r="O80" s="32" t="str">
        <f t="shared" si="19"/>
        <v/>
      </c>
      <c r="P80" s="32" t="str">
        <f t="shared" si="20"/>
        <v/>
      </c>
      <c r="Q80" s="33" t="str">
        <f t="shared" si="20"/>
        <v/>
      </c>
    </row>
    <row r="81" spans="2:17" x14ac:dyDescent="0.25">
      <c r="B81" s="9">
        <v>68</v>
      </c>
      <c r="C81" s="35">
        <v>15000</v>
      </c>
      <c r="D81" s="3"/>
      <c r="E81" s="9" t="str">
        <f t="shared" si="12"/>
        <v/>
      </c>
      <c r="F81" s="54" t="str">
        <f t="shared" si="21"/>
        <v/>
      </c>
      <c r="G81" s="73" t="str">
        <f t="shared" si="13"/>
        <v/>
      </c>
      <c r="H81" s="56" t="str">
        <f t="shared" si="14"/>
        <v/>
      </c>
      <c r="I81" s="57" t="str">
        <f t="shared" si="15"/>
        <v/>
      </c>
      <c r="J81" s="58" t="str">
        <f t="shared" si="16"/>
        <v/>
      </c>
      <c r="L81" s="31" t="str">
        <f t="shared" si="17"/>
        <v/>
      </c>
      <c r="M81" s="32" t="str">
        <f t="shared" si="22"/>
        <v/>
      </c>
      <c r="N81" s="32" t="str">
        <f t="shared" si="18"/>
        <v/>
      </c>
      <c r="O81" s="32" t="str">
        <f t="shared" si="19"/>
        <v/>
      </c>
      <c r="P81" s="32" t="str">
        <f t="shared" si="20"/>
        <v/>
      </c>
      <c r="Q81" s="33" t="str">
        <f t="shared" si="20"/>
        <v/>
      </c>
    </row>
    <row r="82" spans="2:17" x14ac:dyDescent="0.25">
      <c r="B82" s="9">
        <v>69</v>
      </c>
      <c r="C82" s="35">
        <v>15500</v>
      </c>
      <c r="D82" s="3"/>
      <c r="E82" s="9" t="str">
        <f t="shared" si="12"/>
        <v/>
      </c>
      <c r="F82" s="54" t="str">
        <f t="shared" si="21"/>
        <v/>
      </c>
      <c r="G82" s="73" t="str">
        <f t="shared" si="13"/>
        <v/>
      </c>
      <c r="H82" s="56" t="str">
        <f t="shared" si="14"/>
        <v/>
      </c>
      <c r="I82" s="57" t="str">
        <f t="shared" si="15"/>
        <v/>
      </c>
      <c r="J82" s="58" t="str">
        <f t="shared" si="16"/>
        <v/>
      </c>
      <c r="L82" s="31" t="str">
        <f t="shared" si="17"/>
        <v/>
      </c>
      <c r="M82" s="32" t="str">
        <f t="shared" si="22"/>
        <v/>
      </c>
      <c r="N82" s="32" t="str">
        <f t="shared" si="18"/>
        <v/>
      </c>
      <c r="O82" s="32" t="str">
        <f t="shared" si="19"/>
        <v/>
      </c>
      <c r="P82" s="32" t="str">
        <f t="shared" si="20"/>
        <v/>
      </c>
      <c r="Q82" s="33" t="str">
        <f t="shared" si="20"/>
        <v/>
      </c>
    </row>
    <row r="83" spans="2:17" x14ac:dyDescent="0.25">
      <c r="B83" s="9">
        <v>70</v>
      </c>
      <c r="C83" s="35">
        <v>16000</v>
      </c>
      <c r="D83" s="3"/>
      <c r="E83" s="9" t="str">
        <f t="shared" si="12"/>
        <v/>
      </c>
      <c r="F83" s="54" t="str">
        <f t="shared" si="21"/>
        <v/>
      </c>
      <c r="G83" s="73" t="str">
        <f t="shared" si="13"/>
        <v/>
      </c>
      <c r="H83" s="56" t="str">
        <f t="shared" si="14"/>
        <v/>
      </c>
      <c r="I83" s="57" t="str">
        <f t="shared" si="15"/>
        <v/>
      </c>
      <c r="J83" s="58" t="str">
        <f t="shared" si="16"/>
        <v/>
      </c>
      <c r="L83" s="31" t="str">
        <f t="shared" si="17"/>
        <v/>
      </c>
      <c r="M83" s="32" t="str">
        <f t="shared" si="22"/>
        <v/>
      </c>
      <c r="N83" s="32" t="str">
        <f t="shared" si="18"/>
        <v/>
      </c>
      <c r="O83" s="32" t="str">
        <f t="shared" si="19"/>
        <v/>
      </c>
      <c r="P83" s="32" t="str">
        <f t="shared" si="20"/>
        <v/>
      </c>
      <c r="Q83" s="33" t="str">
        <f t="shared" si="20"/>
        <v/>
      </c>
    </row>
    <row r="84" spans="2:17" x14ac:dyDescent="0.25">
      <c r="B84" s="9">
        <v>71</v>
      </c>
      <c r="C84" s="35">
        <v>16500</v>
      </c>
      <c r="D84" s="3"/>
      <c r="E84" s="9" t="str">
        <f t="shared" si="12"/>
        <v/>
      </c>
      <c r="F84" s="54" t="str">
        <f t="shared" si="21"/>
        <v/>
      </c>
      <c r="G84" s="73" t="str">
        <f t="shared" si="13"/>
        <v/>
      </c>
      <c r="H84" s="56" t="str">
        <f t="shared" si="14"/>
        <v/>
      </c>
      <c r="I84" s="57" t="str">
        <f t="shared" si="15"/>
        <v/>
      </c>
      <c r="J84" s="58" t="str">
        <f t="shared" si="16"/>
        <v/>
      </c>
      <c r="L84" s="31" t="str">
        <f t="shared" si="17"/>
        <v/>
      </c>
      <c r="M84" s="32" t="str">
        <f t="shared" si="22"/>
        <v/>
      </c>
      <c r="N84" s="32" t="str">
        <f t="shared" si="18"/>
        <v/>
      </c>
      <c r="O84" s="32" t="str">
        <f t="shared" si="19"/>
        <v/>
      </c>
      <c r="P84" s="32" t="str">
        <f t="shared" si="20"/>
        <v/>
      </c>
      <c r="Q84" s="33" t="str">
        <f t="shared" si="20"/>
        <v/>
      </c>
    </row>
    <row r="85" spans="2:17" x14ac:dyDescent="0.25">
      <c r="B85" s="9">
        <v>72</v>
      </c>
      <c r="C85" s="35">
        <v>17000</v>
      </c>
      <c r="D85" s="3"/>
      <c r="E85" s="9" t="str">
        <f t="shared" si="12"/>
        <v/>
      </c>
      <c r="F85" s="54" t="str">
        <f t="shared" si="21"/>
        <v/>
      </c>
      <c r="G85" s="73" t="str">
        <f t="shared" si="13"/>
        <v/>
      </c>
      <c r="H85" s="56" t="str">
        <f t="shared" si="14"/>
        <v/>
      </c>
      <c r="I85" s="57" t="str">
        <f t="shared" si="15"/>
        <v/>
      </c>
      <c r="J85" s="58" t="str">
        <f t="shared" si="16"/>
        <v/>
      </c>
      <c r="L85" s="31" t="str">
        <f t="shared" si="17"/>
        <v/>
      </c>
      <c r="M85" s="32" t="str">
        <f t="shared" si="22"/>
        <v/>
      </c>
      <c r="N85" s="32" t="str">
        <f t="shared" si="18"/>
        <v/>
      </c>
      <c r="O85" s="32" t="str">
        <f t="shared" si="19"/>
        <v/>
      </c>
      <c r="P85" s="32" t="str">
        <f t="shared" si="20"/>
        <v/>
      </c>
      <c r="Q85" s="33" t="str">
        <f t="shared" si="20"/>
        <v/>
      </c>
    </row>
    <row r="86" spans="2:17" x14ac:dyDescent="0.25">
      <c r="B86" s="9">
        <v>73</v>
      </c>
      <c r="C86" s="35">
        <v>17500</v>
      </c>
      <c r="D86" s="3"/>
      <c r="E86" s="9" t="str">
        <f t="shared" si="12"/>
        <v/>
      </c>
      <c r="F86" s="54" t="str">
        <f t="shared" si="21"/>
        <v/>
      </c>
      <c r="G86" s="73" t="str">
        <f t="shared" si="13"/>
        <v/>
      </c>
      <c r="H86" s="56" t="str">
        <f t="shared" si="14"/>
        <v/>
      </c>
      <c r="I86" s="57" t="str">
        <f t="shared" si="15"/>
        <v/>
      </c>
      <c r="J86" s="58" t="str">
        <f t="shared" si="16"/>
        <v/>
      </c>
      <c r="L86" s="31" t="str">
        <f t="shared" si="17"/>
        <v/>
      </c>
      <c r="M86" s="32" t="str">
        <f t="shared" si="22"/>
        <v/>
      </c>
      <c r="N86" s="32" t="str">
        <f t="shared" si="18"/>
        <v/>
      </c>
      <c r="O86" s="32" t="str">
        <f t="shared" si="19"/>
        <v/>
      </c>
      <c r="P86" s="32" t="str">
        <f t="shared" si="20"/>
        <v/>
      </c>
      <c r="Q86" s="33" t="str">
        <f t="shared" si="20"/>
        <v/>
      </c>
    </row>
    <row r="87" spans="2:17" x14ac:dyDescent="0.25">
      <c r="B87" s="9">
        <v>74</v>
      </c>
      <c r="C87" s="35">
        <v>18000</v>
      </c>
      <c r="D87" s="3"/>
      <c r="E87" s="9" t="str">
        <f t="shared" si="12"/>
        <v/>
      </c>
      <c r="F87" s="54" t="str">
        <f t="shared" si="21"/>
        <v/>
      </c>
      <c r="G87" s="73" t="str">
        <f t="shared" si="13"/>
        <v/>
      </c>
      <c r="H87" s="56" t="str">
        <f t="shared" si="14"/>
        <v/>
      </c>
      <c r="I87" s="57" t="str">
        <f t="shared" si="15"/>
        <v/>
      </c>
      <c r="J87" s="58" t="str">
        <f t="shared" si="16"/>
        <v/>
      </c>
      <c r="L87" s="31" t="str">
        <f t="shared" si="17"/>
        <v/>
      </c>
      <c r="M87" s="32" t="str">
        <f t="shared" si="22"/>
        <v/>
      </c>
      <c r="N87" s="32" t="str">
        <f t="shared" si="18"/>
        <v/>
      </c>
      <c r="O87" s="32" t="str">
        <f t="shared" si="19"/>
        <v/>
      </c>
      <c r="P87" s="32" t="str">
        <f t="shared" si="20"/>
        <v/>
      </c>
      <c r="Q87" s="33" t="str">
        <f t="shared" si="20"/>
        <v/>
      </c>
    </row>
    <row r="88" spans="2:17" x14ac:dyDescent="0.25">
      <c r="B88" s="9">
        <v>75</v>
      </c>
      <c r="C88" s="35">
        <v>18500</v>
      </c>
      <c r="D88" s="3"/>
      <c r="E88" s="9" t="str">
        <f t="shared" si="12"/>
        <v/>
      </c>
      <c r="F88" s="54" t="str">
        <f t="shared" si="21"/>
        <v/>
      </c>
      <c r="G88" s="73" t="str">
        <f t="shared" si="13"/>
        <v/>
      </c>
      <c r="H88" s="56" t="str">
        <f t="shared" si="14"/>
        <v/>
      </c>
      <c r="I88" s="57" t="str">
        <f t="shared" si="15"/>
        <v/>
      </c>
      <c r="J88" s="58" t="str">
        <f t="shared" si="16"/>
        <v/>
      </c>
      <c r="L88" s="31" t="str">
        <f t="shared" si="17"/>
        <v/>
      </c>
      <c r="M88" s="32" t="str">
        <f t="shared" si="22"/>
        <v/>
      </c>
      <c r="N88" s="32" t="str">
        <f t="shared" si="18"/>
        <v/>
      </c>
      <c r="O88" s="32" t="str">
        <f t="shared" si="19"/>
        <v/>
      </c>
      <c r="P88" s="32" t="str">
        <f t="shared" si="20"/>
        <v/>
      </c>
      <c r="Q88" s="33" t="str">
        <f t="shared" si="20"/>
        <v/>
      </c>
    </row>
    <row r="89" spans="2:17" x14ac:dyDescent="0.25">
      <c r="B89" s="9">
        <v>76</v>
      </c>
      <c r="C89" s="35">
        <v>19000</v>
      </c>
      <c r="D89" s="3"/>
      <c r="E89" s="9" t="str">
        <f t="shared" si="12"/>
        <v/>
      </c>
      <c r="F89" s="54" t="str">
        <f t="shared" si="21"/>
        <v/>
      </c>
      <c r="G89" s="73" t="str">
        <f t="shared" si="13"/>
        <v/>
      </c>
      <c r="H89" s="56" t="str">
        <f t="shared" si="14"/>
        <v/>
      </c>
      <c r="I89" s="57" t="str">
        <f t="shared" si="15"/>
        <v/>
      </c>
      <c r="J89" s="58" t="str">
        <f t="shared" si="16"/>
        <v/>
      </c>
      <c r="L89" s="31" t="str">
        <f t="shared" si="17"/>
        <v/>
      </c>
      <c r="M89" s="32" t="str">
        <f t="shared" si="22"/>
        <v/>
      </c>
      <c r="N89" s="32" t="str">
        <f t="shared" si="18"/>
        <v/>
      </c>
      <c r="O89" s="32" t="str">
        <f t="shared" si="19"/>
        <v/>
      </c>
      <c r="P89" s="32" t="str">
        <f t="shared" si="20"/>
        <v/>
      </c>
      <c r="Q89" s="33" t="str">
        <f t="shared" si="20"/>
        <v/>
      </c>
    </row>
    <row r="90" spans="2:17" x14ac:dyDescent="0.25">
      <c r="B90" s="9">
        <v>77</v>
      </c>
      <c r="C90" s="35">
        <v>19500</v>
      </c>
      <c r="D90" s="3"/>
      <c r="E90" s="9" t="str">
        <f t="shared" si="12"/>
        <v/>
      </c>
      <c r="F90" s="54" t="str">
        <f t="shared" si="21"/>
        <v/>
      </c>
      <c r="G90" s="73" t="str">
        <f t="shared" si="13"/>
        <v/>
      </c>
      <c r="H90" s="56" t="str">
        <f t="shared" si="14"/>
        <v/>
      </c>
      <c r="I90" s="57" t="str">
        <f t="shared" si="15"/>
        <v/>
      </c>
      <c r="J90" s="58" t="str">
        <f t="shared" si="16"/>
        <v/>
      </c>
      <c r="L90" s="31" t="str">
        <f t="shared" si="17"/>
        <v/>
      </c>
      <c r="M90" s="32" t="str">
        <f t="shared" si="22"/>
        <v/>
      </c>
      <c r="N90" s="32" t="str">
        <f t="shared" si="18"/>
        <v/>
      </c>
      <c r="O90" s="32" t="str">
        <f t="shared" si="19"/>
        <v/>
      </c>
      <c r="P90" s="32" t="str">
        <f t="shared" si="20"/>
        <v/>
      </c>
      <c r="Q90" s="33" t="str">
        <f t="shared" si="20"/>
        <v/>
      </c>
    </row>
    <row r="91" spans="2:17" x14ac:dyDescent="0.25">
      <c r="B91" s="9">
        <v>78</v>
      </c>
      <c r="C91" s="35">
        <v>20000</v>
      </c>
      <c r="D91" s="3"/>
      <c r="E91" s="9" t="str">
        <f t="shared" si="12"/>
        <v/>
      </c>
      <c r="F91" s="54" t="str">
        <f t="shared" si="21"/>
        <v/>
      </c>
      <c r="G91" s="73" t="str">
        <f t="shared" si="13"/>
        <v/>
      </c>
      <c r="H91" s="56" t="str">
        <f t="shared" si="14"/>
        <v/>
      </c>
      <c r="I91" s="57" t="str">
        <f t="shared" si="15"/>
        <v/>
      </c>
      <c r="J91" s="58" t="str">
        <f t="shared" si="16"/>
        <v/>
      </c>
      <c r="L91" s="31" t="str">
        <f t="shared" si="17"/>
        <v/>
      </c>
      <c r="M91" s="32" t="str">
        <f t="shared" si="22"/>
        <v/>
      </c>
      <c r="N91" s="32" t="str">
        <f t="shared" si="18"/>
        <v/>
      </c>
      <c r="O91" s="32" t="str">
        <f t="shared" si="19"/>
        <v/>
      </c>
      <c r="P91" s="32" t="str">
        <f t="shared" si="20"/>
        <v/>
      </c>
      <c r="Q91" s="33" t="str">
        <f t="shared" si="20"/>
        <v/>
      </c>
    </row>
    <row r="92" spans="2:17" x14ac:dyDescent="0.25">
      <c r="B92" s="9">
        <v>79</v>
      </c>
      <c r="C92" s="35">
        <v>20500</v>
      </c>
      <c r="D92" s="3"/>
      <c r="E92" s="9" t="str">
        <f t="shared" si="12"/>
        <v/>
      </c>
      <c r="F92" s="54" t="str">
        <f t="shared" si="21"/>
        <v/>
      </c>
      <c r="G92" s="73" t="str">
        <f t="shared" si="13"/>
        <v/>
      </c>
      <c r="H92" s="56" t="str">
        <f t="shared" si="14"/>
        <v/>
      </c>
      <c r="I92" s="57" t="str">
        <f t="shared" si="15"/>
        <v/>
      </c>
      <c r="J92" s="58" t="str">
        <f t="shared" si="16"/>
        <v/>
      </c>
      <c r="L92" s="31" t="str">
        <f t="shared" si="17"/>
        <v/>
      </c>
      <c r="M92" s="32" t="str">
        <f t="shared" si="22"/>
        <v/>
      </c>
      <c r="N92" s="32" t="str">
        <f t="shared" si="18"/>
        <v/>
      </c>
      <c r="O92" s="32" t="str">
        <f t="shared" si="19"/>
        <v/>
      </c>
      <c r="P92" s="32" t="str">
        <f t="shared" si="20"/>
        <v/>
      </c>
      <c r="Q92" s="33" t="str">
        <f t="shared" si="20"/>
        <v/>
      </c>
    </row>
    <row r="93" spans="2:17" x14ac:dyDescent="0.25">
      <c r="B93" s="9">
        <v>80</v>
      </c>
      <c r="C93" s="35">
        <v>21000</v>
      </c>
      <c r="D93" s="3"/>
      <c r="E93" s="9" t="str">
        <f t="shared" si="12"/>
        <v/>
      </c>
      <c r="F93" s="54" t="str">
        <f t="shared" si="21"/>
        <v/>
      </c>
      <c r="G93" s="73" t="str">
        <f t="shared" si="13"/>
        <v/>
      </c>
      <c r="H93" s="56" t="str">
        <f t="shared" si="14"/>
        <v/>
      </c>
      <c r="I93" s="57" t="str">
        <f t="shared" si="15"/>
        <v/>
      </c>
      <c r="J93" s="58" t="str">
        <f t="shared" si="16"/>
        <v/>
      </c>
      <c r="L93" s="31" t="str">
        <f t="shared" si="17"/>
        <v/>
      </c>
      <c r="M93" s="32" t="str">
        <f t="shared" si="22"/>
        <v/>
      </c>
      <c r="N93" s="32" t="str">
        <f t="shared" si="18"/>
        <v/>
      </c>
      <c r="O93" s="32" t="str">
        <f t="shared" si="19"/>
        <v/>
      </c>
      <c r="P93" s="32" t="str">
        <f t="shared" si="20"/>
        <v/>
      </c>
      <c r="Q93" s="33" t="str">
        <f t="shared" si="20"/>
        <v/>
      </c>
    </row>
    <row r="94" spans="2:17" x14ac:dyDescent="0.25">
      <c r="B94" s="9">
        <v>81</v>
      </c>
      <c r="C94" s="35">
        <v>21500</v>
      </c>
      <c r="D94" s="3"/>
      <c r="E94" s="9" t="str">
        <f t="shared" si="12"/>
        <v/>
      </c>
      <c r="F94" s="54" t="str">
        <f t="shared" si="21"/>
        <v/>
      </c>
      <c r="G94" s="73" t="str">
        <f t="shared" si="13"/>
        <v/>
      </c>
      <c r="H94" s="56" t="str">
        <f t="shared" si="14"/>
        <v/>
      </c>
      <c r="I94" s="57" t="str">
        <f t="shared" si="15"/>
        <v/>
      </c>
      <c r="J94" s="58" t="str">
        <f t="shared" si="16"/>
        <v/>
      </c>
      <c r="L94" s="31" t="str">
        <f t="shared" si="17"/>
        <v/>
      </c>
      <c r="M94" s="32" t="str">
        <f t="shared" si="22"/>
        <v/>
      </c>
      <c r="N94" s="32" t="str">
        <f t="shared" si="18"/>
        <v/>
      </c>
      <c r="O94" s="32" t="str">
        <f t="shared" si="19"/>
        <v/>
      </c>
      <c r="P94" s="32" t="str">
        <f t="shared" si="20"/>
        <v/>
      </c>
      <c r="Q94" s="33" t="str">
        <f t="shared" si="20"/>
        <v/>
      </c>
    </row>
    <row r="95" spans="2:17" x14ac:dyDescent="0.25">
      <c r="B95" s="9">
        <v>82</v>
      </c>
      <c r="C95" s="35">
        <v>22000</v>
      </c>
      <c r="D95" s="3"/>
      <c r="E95" s="9" t="str">
        <f t="shared" si="12"/>
        <v/>
      </c>
      <c r="F95" s="54" t="str">
        <f t="shared" si="21"/>
        <v/>
      </c>
      <c r="G95" s="73" t="str">
        <f t="shared" si="13"/>
        <v/>
      </c>
      <c r="H95" s="56" t="str">
        <f t="shared" si="14"/>
        <v/>
      </c>
      <c r="I95" s="57" t="str">
        <f t="shared" si="15"/>
        <v/>
      </c>
      <c r="J95" s="58" t="str">
        <f t="shared" si="16"/>
        <v/>
      </c>
      <c r="L95" s="31" t="str">
        <f t="shared" si="17"/>
        <v/>
      </c>
      <c r="M95" s="32" t="str">
        <f t="shared" si="22"/>
        <v/>
      </c>
      <c r="N95" s="32" t="str">
        <f t="shared" si="18"/>
        <v/>
      </c>
      <c r="O95" s="32" t="str">
        <f t="shared" si="19"/>
        <v/>
      </c>
      <c r="P95" s="32" t="str">
        <f t="shared" si="20"/>
        <v/>
      </c>
      <c r="Q95" s="33" t="str">
        <f t="shared" si="20"/>
        <v/>
      </c>
    </row>
    <row r="96" spans="2:17" x14ac:dyDescent="0.25">
      <c r="B96" s="9">
        <v>83</v>
      </c>
      <c r="C96" s="35">
        <v>22500</v>
      </c>
      <c r="D96" s="3"/>
      <c r="E96" s="9" t="str">
        <f t="shared" si="12"/>
        <v/>
      </c>
      <c r="F96" s="54" t="str">
        <f t="shared" si="21"/>
        <v/>
      </c>
      <c r="G96" s="73" t="str">
        <f t="shared" si="13"/>
        <v/>
      </c>
      <c r="H96" s="56" t="str">
        <f t="shared" si="14"/>
        <v/>
      </c>
      <c r="I96" s="57" t="str">
        <f t="shared" si="15"/>
        <v/>
      </c>
      <c r="J96" s="58" t="str">
        <f t="shared" si="16"/>
        <v/>
      </c>
      <c r="L96" s="31" t="str">
        <f t="shared" si="17"/>
        <v/>
      </c>
      <c r="M96" s="32" t="str">
        <f t="shared" si="22"/>
        <v/>
      </c>
      <c r="N96" s="32" t="str">
        <f t="shared" si="18"/>
        <v/>
      </c>
      <c r="O96" s="32" t="str">
        <f t="shared" si="19"/>
        <v/>
      </c>
      <c r="P96" s="32" t="str">
        <f t="shared" si="20"/>
        <v/>
      </c>
      <c r="Q96" s="33" t="str">
        <f t="shared" si="20"/>
        <v/>
      </c>
    </row>
    <row r="97" spans="2:17" x14ac:dyDescent="0.25">
      <c r="B97" s="9">
        <v>84</v>
      </c>
      <c r="C97" s="35">
        <v>23000</v>
      </c>
      <c r="D97" s="3"/>
      <c r="E97" s="9" t="str">
        <f t="shared" si="12"/>
        <v/>
      </c>
      <c r="F97" s="54" t="str">
        <f t="shared" si="21"/>
        <v/>
      </c>
      <c r="G97" s="73" t="str">
        <f t="shared" si="13"/>
        <v/>
      </c>
      <c r="H97" s="56" t="str">
        <f t="shared" si="14"/>
        <v/>
      </c>
      <c r="I97" s="57" t="str">
        <f t="shared" si="15"/>
        <v/>
      </c>
      <c r="J97" s="58" t="str">
        <f t="shared" si="16"/>
        <v/>
      </c>
      <c r="L97" s="31" t="str">
        <f t="shared" si="17"/>
        <v/>
      </c>
      <c r="M97" s="32" t="str">
        <f t="shared" si="22"/>
        <v/>
      </c>
      <c r="N97" s="32" t="str">
        <f t="shared" si="18"/>
        <v/>
      </c>
      <c r="O97" s="32" t="str">
        <f t="shared" si="19"/>
        <v/>
      </c>
      <c r="P97" s="32" t="str">
        <f t="shared" si="20"/>
        <v/>
      </c>
      <c r="Q97" s="33" t="str">
        <f t="shared" si="20"/>
        <v/>
      </c>
    </row>
    <row r="98" spans="2:17" x14ac:dyDescent="0.25">
      <c r="B98" s="9">
        <v>85</v>
      </c>
      <c r="C98" s="35">
        <v>23500</v>
      </c>
      <c r="D98" s="3"/>
      <c r="E98" s="9" t="str">
        <f t="shared" si="12"/>
        <v/>
      </c>
      <c r="F98" s="54" t="str">
        <f t="shared" si="21"/>
        <v/>
      </c>
      <c r="G98" s="73" t="str">
        <f t="shared" si="13"/>
        <v/>
      </c>
      <c r="H98" s="56" t="str">
        <f t="shared" si="14"/>
        <v/>
      </c>
      <c r="I98" s="57" t="str">
        <f t="shared" si="15"/>
        <v/>
      </c>
      <c r="J98" s="58" t="str">
        <f t="shared" si="16"/>
        <v/>
      </c>
      <c r="L98" s="31" t="str">
        <f t="shared" si="17"/>
        <v/>
      </c>
      <c r="M98" s="32" t="str">
        <f t="shared" si="22"/>
        <v/>
      </c>
      <c r="N98" s="32" t="str">
        <f t="shared" si="18"/>
        <v/>
      </c>
      <c r="O98" s="32" t="str">
        <f t="shared" si="19"/>
        <v/>
      </c>
      <c r="P98" s="32" t="str">
        <f t="shared" si="20"/>
        <v/>
      </c>
      <c r="Q98" s="33" t="str">
        <f t="shared" si="20"/>
        <v/>
      </c>
    </row>
    <row r="99" spans="2:17" x14ac:dyDescent="0.25">
      <c r="B99" s="9">
        <v>86</v>
      </c>
      <c r="C99" s="35">
        <v>24000</v>
      </c>
      <c r="D99" s="3"/>
      <c r="E99" s="9" t="str">
        <f t="shared" si="12"/>
        <v/>
      </c>
      <c r="F99" s="54" t="str">
        <f t="shared" si="21"/>
        <v/>
      </c>
      <c r="G99" s="73" t="str">
        <f t="shared" si="13"/>
        <v/>
      </c>
      <c r="H99" s="56" t="str">
        <f t="shared" si="14"/>
        <v/>
      </c>
      <c r="I99" s="57" t="str">
        <f t="shared" si="15"/>
        <v/>
      </c>
      <c r="J99" s="58" t="str">
        <f t="shared" si="16"/>
        <v/>
      </c>
      <c r="L99" s="31" t="str">
        <f t="shared" si="17"/>
        <v/>
      </c>
      <c r="M99" s="32" t="str">
        <f t="shared" si="22"/>
        <v/>
      </c>
      <c r="N99" s="32" t="str">
        <f t="shared" si="18"/>
        <v/>
      </c>
      <c r="O99" s="32" t="str">
        <f t="shared" si="19"/>
        <v/>
      </c>
      <c r="P99" s="32" t="str">
        <f t="shared" si="20"/>
        <v/>
      </c>
      <c r="Q99" s="33" t="str">
        <f t="shared" si="20"/>
        <v/>
      </c>
    </row>
    <row r="100" spans="2:17" x14ac:dyDescent="0.25">
      <c r="B100" s="9">
        <v>87</v>
      </c>
      <c r="C100" s="35">
        <v>24500</v>
      </c>
      <c r="D100" s="3"/>
      <c r="E100" s="9" t="str">
        <f t="shared" si="12"/>
        <v/>
      </c>
      <c r="F100" s="54" t="str">
        <f t="shared" si="21"/>
        <v/>
      </c>
      <c r="G100" s="73" t="str">
        <f t="shared" si="13"/>
        <v/>
      </c>
      <c r="H100" s="56" t="str">
        <f t="shared" si="14"/>
        <v/>
      </c>
      <c r="I100" s="57" t="str">
        <f t="shared" si="15"/>
        <v/>
      </c>
      <c r="J100" s="58" t="str">
        <f t="shared" si="16"/>
        <v/>
      </c>
      <c r="L100" s="31" t="str">
        <f t="shared" si="17"/>
        <v/>
      </c>
      <c r="M100" s="32" t="str">
        <f t="shared" si="22"/>
        <v/>
      </c>
      <c r="N100" s="32" t="str">
        <f t="shared" si="18"/>
        <v/>
      </c>
      <c r="O100" s="32" t="str">
        <f t="shared" si="19"/>
        <v/>
      </c>
      <c r="P100" s="32" t="str">
        <f t="shared" si="20"/>
        <v/>
      </c>
      <c r="Q100" s="33" t="str">
        <f t="shared" si="20"/>
        <v/>
      </c>
    </row>
    <row r="101" spans="2:17" x14ac:dyDescent="0.25">
      <c r="B101" s="9">
        <v>88</v>
      </c>
      <c r="C101" s="35">
        <v>25000</v>
      </c>
      <c r="D101" s="3"/>
      <c r="E101" s="9" t="str">
        <f t="shared" si="12"/>
        <v/>
      </c>
      <c r="F101" s="54" t="str">
        <f t="shared" si="21"/>
        <v/>
      </c>
      <c r="G101" s="73" t="str">
        <f t="shared" si="13"/>
        <v/>
      </c>
      <c r="H101" s="56" t="str">
        <f t="shared" si="14"/>
        <v/>
      </c>
      <c r="I101" s="57" t="str">
        <f t="shared" si="15"/>
        <v/>
      </c>
      <c r="J101" s="58" t="str">
        <f t="shared" si="16"/>
        <v/>
      </c>
      <c r="L101" s="31" t="str">
        <f t="shared" si="17"/>
        <v/>
      </c>
      <c r="M101" s="32" t="str">
        <f t="shared" si="22"/>
        <v/>
      </c>
      <c r="N101" s="32" t="str">
        <f t="shared" si="18"/>
        <v/>
      </c>
      <c r="O101" s="32" t="str">
        <f t="shared" si="19"/>
        <v/>
      </c>
      <c r="P101" s="32" t="str">
        <f t="shared" si="20"/>
        <v/>
      </c>
      <c r="Q101" s="33" t="str">
        <f t="shared" si="20"/>
        <v/>
      </c>
    </row>
    <row r="102" spans="2:17" x14ac:dyDescent="0.25">
      <c r="B102" s="9">
        <v>89</v>
      </c>
      <c r="C102" s="35">
        <v>25500</v>
      </c>
      <c r="D102" s="3"/>
      <c r="E102" s="9" t="str">
        <f t="shared" si="12"/>
        <v/>
      </c>
      <c r="F102" s="54" t="str">
        <f t="shared" si="21"/>
        <v/>
      </c>
      <c r="G102" s="73" t="str">
        <f t="shared" si="13"/>
        <v/>
      </c>
      <c r="H102" s="56" t="str">
        <f t="shared" si="14"/>
        <v/>
      </c>
      <c r="I102" s="57" t="str">
        <f t="shared" si="15"/>
        <v/>
      </c>
      <c r="J102" s="58" t="str">
        <f t="shared" si="16"/>
        <v/>
      </c>
      <c r="L102" s="31" t="str">
        <f t="shared" si="17"/>
        <v/>
      </c>
      <c r="M102" s="32" t="str">
        <f t="shared" si="22"/>
        <v/>
      </c>
      <c r="N102" s="32" t="str">
        <f t="shared" si="18"/>
        <v/>
      </c>
      <c r="O102" s="32" t="str">
        <f t="shared" si="19"/>
        <v/>
      </c>
      <c r="P102" s="32" t="str">
        <f t="shared" si="20"/>
        <v/>
      </c>
      <c r="Q102" s="33" t="str">
        <f t="shared" si="20"/>
        <v/>
      </c>
    </row>
    <row r="103" spans="2:17" x14ac:dyDescent="0.25">
      <c r="B103" s="9">
        <v>90</v>
      </c>
      <c r="C103" s="35">
        <v>26000</v>
      </c>
      <c r="D103" s="3"/>
      <c r="E103" s="9" t="str">
        <f t="shared" si="12"/>
        <v/>
      </c>
      <c r="F103" s="54" t="str">
        <f t="shared" si="21"/>
        <v/>
      </c>
      <c r="G103" s="73" t="str">
        <f t="shared" si="13"/>
        <v/>
      </c>
      <c r="H103" s="56" t="str">
        <f t="shared" si="14"/>
        <v/>
      </c>
      <c r="I103" s="57" t="str">
        <f t="shared" si="15"/>
        <v/>
      </c>
      <c r="J103" s="58" t="str">
        <f t="shared" si="16"/>
        <v/>
      </c>
      <c r="L103" s="31" t="str">
        <f t="shared" si="17"/>
        <v/>
      </c>
      <c r="M103" s="32" t="str">
        <f t="shared" si="22"/>
        <v/>
      </c>
      <c r="N103" s="32" t="str">
        <f t="shared" si="18"/>
        <v/>
      </c>
      <c r="O103" s="32" t="str">
        <f t="shared" si="19"/>
        <v/>
      </c>
      <c r="P103" s="32" t="str">
        <f t="shared" si="20"/>
        <v/>
      </c>
      <c r="Q103" s="33" t="str">
        <f t="shared" si="20"/>
        <v/>
      </c>
    </row>
    <row r="104" spans="2:17" x14ac:dyDescent="0.25">
      <c r="B104" s="9">
        <v>91</v>
      </c>
      <c r="C104" s="35">
        <v>26500</v>
      </c>
      <c r="D104" s="3"/>
      <c r="E104" s="9" t="str">
        <f t="shared" si="12"/>
        <v/>
      </c>
      <c r="F104" s="54" t="str">
        <f t="shared" si="21"/>
        <v/>
      </c>
      <c r="G104" s="73" t="str">
        <f t="shared" si="13"/>
        <v/>
      </c>
      <c r="H104" s="56" t="str">
        <f t="shared" si="14"/>
        <v/>
      </c>
      <c r="I104" s="57" t="str">
        <f t="shared" si="15"/>
        <v/>
      </c>
      <c r="J104" s="58" t="str">
        <f t="shared" si="16"/>
        <v/>
      </c>
      <c r="L104" s="31" t="str">
        <f t="shared" si="17"/>
        <v/>
      </c>
      <c r="M104" s="32" t="str">
        <f t="shared" si="22"/>
        <v/>
      </c>
      <c r="N104" s="32" t="str">
        <f t="shared" si="18"/>
        <v/>
      </c>
      <c r="O104" s="32" t="str">
        <f t="shared" si="19"/>
        <v/>
      </c>
      <c r="P104" s="32" t="str">
        <f t="shared" si="20"/>
        <v/>
      </c>
      <c r="Q104" s="33" t="str">
        <f t="shared" si="20"/>
        <v/>
      </c>
    </row>
    <row r="105" spans="2:17" x14ac:dyDescent="0.25">
      <c r="B105" s="9">
        <v>92</v>
      </c>
      <c r="C105" s="35">
        <v>27000</v>
      </c>
      <c r="D105" s="3"/>
      <c r="E105" s="9" t="str">
        <f t="shared" si="12"/>
        <v/>
      </c>
      <c r="F105" s="54" t="str">
        <f t="shared" si="21"/>
        <v/>
      </c>
      <c r="G105" s="73" t="str">
        <f t="shared" si="13"/>
        <v/>
      </c>
      <c r="H105" s="56" t="str">
        <f t="shared" si="14"/>
        <v/>
      </c>
      <c r="I105" s="57" t="str">
        <f t="shared" si="15"/>
        <v/>
      </c>
      <c r="J105" s="58" t="str">
        <f t="shared" si="16"/>
        <v/>
      </c>
      <c r="L105" s="31" t="str">
        <f t="shared" si="17"/>
        <v/>
      </c>
      <c r="M105" s="32" t="str">
        <f t="shared" si="22"/>
        <v/>
      </c>
      <c r="N105" s="32" t="str">
        <f t="shared" si="18"/>
        <v/>
      </c>
      <c r="O105" s="32" t="str">
        <f t="shared" si="19"/>
        <v/>
      </c>
      <c r="P105" s="32" t="str">
        <f t="shared" si="20"/>
        <v/>
      </c>
      <c r="Q105" s="33" t="str">
        <f t="shared" si="20"/>
        <v/>
      </c>
    </row>
    <row r="106" spans="2:17" x14ac:dyDescent="0.25">
      <c r="B106" s="9">
        <v>93</v>
      </c>
      <c r="C106" s="35">
        <v>27500</v>
      </c>
      <c r="D106" s="3"/>
      <c r="E106" s="9" t="str">
        <f t="shared" si="12"/>
        <v/>
      </c>
      <c r="F106" s="54" t="str">
        <f t="shared" si="21"/>
        <v/>
      </c>
      <c r="G106" s="73" t="str">
        <f t="shared" si="13"/>
        <v/>
      </c>
      <c r="H106" s="56" t="str">
        <f t="shared" si="14"/>
        <v/>
      </c>
      <c r="I106" s="57" t="str">
        <f t="shared" si="15"/>
        <v/>
      </c>
      <c r="J106" s="58" t="str">
        <f t="shared" si="16"/>
        <v/>
      </c>
      <c r="L106" s="31" t="str">
        <f t="shared" si="17"/>
        <v/>
      </c>
      <c r="M106" s="32" t="str">
        <f t="shared" si="22"/>
        <v/>
      </c>
      <c r="N106" s="32" t="str">
        <f t="shared" si="18"/>
        <v/>
      </c>
      <c r="O106" s="32" t="str">
        <f t="shared" si="19"/>
        <v/>
      </c>
      <c r="P106" s="32" t="str">
        <f t="shared" si="20"/>
        <v/>
      </c>
      <c r="Q106" s="33" t="str">
        <f t="shared" si="20"/>
        <v/>
      </c>
    </row>
    <row r="107" spans="2:17" x14ac:dyDescent="0.25">
      <c r="B107" s="9">
        <v>94</v>
      </c>
      <c r="C107" s="35">
        <v>28000</v>
      </c>
      <c r="D107" s="3"/>
      <c r="E107" s="9" t="str">
        <f t="shared" si="12"/>
        <v/>
      </c>
      <c r="F107" s="54" t="str">
        <f t="shared" si="21"/>
        <v/>
      </c>
      <c r="G107" s="73" t="str">
        <f t="shared" si="13"/>
        <v/>
      </c>
      <c r="H107" s="56" t="str">
        <f t="shared" si="14"/>
        <v/>
      </c>
      <c r="I107" s="57" t="str">
        <f t="shared" si="15"/>
        <v/>
      </c>
      <c r="J107" s="58" t="str">
        <f t="shared" si="16"/>
        <v/>
      </c>
      <c r="L107" s="31" t="str">
        <f t="shared" si="17"/>
        <v/>
      </c>
      <c r="M107" s="32" t="str">
        <f t="shared" si="22"/>
        <v/>
      </c>
      <c r="N107" s="32" t="str">
        <f t="shared" si="18"/>
        <v/>
      </c>
      <c r="O107" s="32" t="str">
        <f t="shared" si="19"/>
        <v/>
      </c>
      <c r="P107" s="32" t="str">
        <f t="shared" si="20"/>
        <v/>
      </c>
      <c r="Q107" s="33" t="str">
        <f t="shared" si="20"/>
        <v/>
      </c>
    </row>
    <row r="108" spans="2:17" x14ac:dyDescent="0.25">
      <c r="B108" s="9">
        <v>95</v>
      </c>
      <c r="C108" s="35">
        <v>28500</v>
      </c>
      <c r="D108" s="3"/>
      <c r="E108" s="9" t="str">
        <f t="shared" si="12"/>
        <v/>
      </c>
      <c r="F108" s="54" t="str">
        <f t="shared" si="21"/>
        <v/>
      </c>
      <c r="G108" s="73" t="str">
        <f t="shared" si="13"/>
        <v/>
      </c>
      <c r="H108" s="56" t="str">
        <f t="shared" si="14"/>
        <v/>
      </c>
      <c r="I108" s="57" t="str">
        <f t="shared" si="15"/>
        <v/>
      </c>
      <c r="J108" s="58" t="str">
        <f t="shared" si="16"/>
        <v/>
      </c>
      <c r="L108" s="31" t="str">
        <f t="shared" si="17"/>
        <v/>
      </c>
      <c r="M108" s="32" t="str">
        <f t="shared" si="22"/>
        <v/>
      </c>
      <c r="N108" s="32" t="str">
        <f t="shared" si="18"/>
        <v/>
      </c>
      <c r="O108" s="32" t="str">
        <f t="shared" si="19"/>
        <v/>
      </c>
      <c r="P108" s="32" t="str">
        <f t="shared" si="20"/>
        <v/>
      </c>
      <c r="Q108" s="33" t="str">
        <f t="shared" si="20"/>
        <v/>
      </c>
    </row>
    <row r="109" spans="2:17" x14ac:dyDescent="0.25">
      <c r="B109" s="9">
        <v>96</v>
      </c>
      <c r="C109" s="35">
        <v>29000</v>
      </c>
      <c r="D109" s="3"/>
      <c r="E109" s="9" t="str">
        <f t="shared" si="12"/>
        <v/>
      </c>
      <c r="F109" s="54" t="str">
        <f t="shared" si="21"/>
        <v/>
      </c>
      <c r="G109" s="73" t="str">
        <f t="shared" si="13"/>
        <v/>
      </c>
      <c r="H109" s="56" t="str">
        <f t="shared" si="14"/>
        <v/>
      </c>
      <c r="I109" s="57" t="str">
        <f t="shared" si="15"/>
        <v/>
      </c>
      <c r="J109" s="58" t="str">
        <f t="shared" si="16"/>
        <v/>
      </c>
      <c r="L109" s="31" t="str">
        <f t="shared" si="17"/>
        <v/>
      </c>
      <c r="M109" s="32" t="str">
        <f t="shared" si="22"/>
        <v/>
      </c>
      <c r="N109" s="32" t="str">
        <f t="shared" si="18"/>
        <v/>
      </c>
      <c r="O109" s="32" t="str">
        <f t="shared" si="19"/>
        <v/>
      </c>
      <c r="P109" s="32" t="str">
        <f t="shared" si="20"/>
        <v/>
      </c>
      <c r="Q109" s="33" t="str">
        <f t="shared" si="20"/>
        <v/>
      </c>
    </row>
    <row r="110" spans="2:17" x14ac:dyDescent="0.25">
      <c r="B110" s="9">
        <v>97</v>
      </c>
      <c r="C110" s="35">
        <v>29500</v>
      </c>
      <c r="D110" s="3"/>
      <c r="E110" s="9" t="str">
        <f t="shared" si="12"/>
        <v/>
      </c>
      <c r="F110" s="54" t="str">
        <f t="shared" si="21"/>
        <v/>
      </c>
      <c r="G110" s="73" t="str">
        <f t="shared" si="13"/>
        <v/>
      </c>
      <c r="H110" s="56" t="str">
        <f t="shared" si="14"/>
        <v/>
      </c>
      <c r="I110" s="57" t="str">
        <f t="shared" si="15"/>
        <v/>
      </c>
      <c r="J110" s="58" t="str">
        <f t="shared" si="16"/>
        <v/>
      </c>
      <c r="L110" s="31" t="str">
        <f t="shared" si="17"/>
        <v/>
      </c>
      <c r="M110" s="32" t="str">
        <f t="shared" si="22"/>
        <v/>
      </c>
      <c r="N110" s="32" t="str">
        <f t="shared" si="18"/>
        <v/>
      </c>
      <c r="O110" s="32" t="str">
        <f t="shared" si="19"/>
        <v/>
      </c>
      <c r="P110" s="32" t="str">
        <f t="shared" ref="P110:Q141" si="23">IF(AJ112="","",AJ112)</f>
        <v/>
      </c>
      <c r="Q110" s="33" t="str">
        <f t="shared" si="23"/>
        <v/>
      </c>
    </row>
    <row r="111" spans="2:17" x14ac:dyDescent="0.25">
      <c r="B111" s="9">
        <v>98</v>
      </c>
      <c r="C111" s="35">
        <v>30000</v>
      </c>
      <c r="D111" s="3"/>
      <c r="E111" s="9" t="str">
        <f t="shared" si="12"/>
        <v/>
      </c>
      <c r="F111" s="54" t="str">
        <f t="shared" si="21"/>
        <v/>
      </c>
      <c r="G111" s="73" t="str">
        <f t="shared" si="13"/>
        <v/>
      </c>
      <c r="H111" s="56" t="str">
        <f t="shared" si="14"/>
        <v/>
      </c>
      <c r="I111" s="57" t="str">
        <f t="shared" si="15"/>
        <v/>
      </c>
      <c r="J111" s="58" t="str">
        <f t="shared" si="16"/>
        <v/>
      </c>
      <c r="L111" s="31" t="str">
        <f t="shared" si="17"/>
        <v/>
      </c>
      <c r="M111" s="32" t="str">
        <f t="shared" si="22"/>
        <v/>
      </c>
      <c r="N111" s="32" t="str">
        <f t="shared" si="18"/>
        <v/>
      </c>
      <c r="O111" s="32" t="str">
        <f t="shared" si="19"/>
        <v/>
      </c>
      <c r="P111" s="32" t="str">
        <f t="shared" si="23"/>
        <v/>
      </c>
      <c r="Q111" s="33" t="str">
        <f t="shared" si="23"/>
        <v/>
      </c>
    </row>
    <row r="112" spans="2:17" x14ac:dyDescent="0.25">
      <c r="B112" s="9">
        <v>99</v>
      </c>
      <c r="C112" s="35">
        <v>30500</v>
      </c>
      <c r="D112" s="3"/>
      <c r="E112" s="9" t="str">
        <f t="shared" si="12"/>
        <v/>
      </c>
      <c r="F112" s="54" t="str">
        <f t="shared" si="21"/>
        <v/>
      </c>
      <c r="G112" s="73" t="str">
        <f t="shared" si="13"/>
        <v/>
      </c>
      <c r="H112" s="56" t="str">
        <f t="shared" si="14"/>
        <v/>
      </c>
      <c r="I112" s="57" t="str">
        <f t="shared" si="15"/>
        <v/>
      </c>
      <c r="J112" s="58" t="str">
        <f t="shared" si="16"/>
        <v/>
      </c>
      <c r="L112" s="31" t="str">
        <f t="shared" si="17"/>
        <v/>
      </c>
      <c r="M112" s="32" t="str">
        <f t="shared" si="22"/>
        <v/>
      </c>
      <c r="N112" s="32" t="str">
        <f t="shared" si="18"/>
        <v/>
      </c>
      <c r="O112" s="32" t="str">
        <f t="shared" si="19"/>
        <v/>
      </c>
      <c r="P112" s="32" t="str">
        <f t="shared" si="23"/>
        <v/>
      </c>
      <c r="Q112" s="33" t="str">
        <f t="shared" si="23"/>
        <v/>
      </c>
    </row>
    <row r="113" spans="2:17" x14ac:dyDescent="0.25">
      <c r="B113" s="9">
        <v>100</v>
      </c>
      <c r="C113" s="35">
        <v>31000</v>
      </c>
      <c r="D113" s="3"/>
      <c r="E113" s="9" t="str">
        <f t="shared" si="12"/>
        <v/>
      </c>
      <c r="F113" s="54" t="str">
        <f t="shared" si="21"/>
        <v/>
      </c>
      <c r="G113" s="73" t="str">
        <f t="shared" si="13"/>
        <v/>
      </c>
      <c r="H113" s="56" t="str">
        <f t="shared" si="14"/>
        <v/>
      </c>
      <c r="I113" s="57" t="str">
        <f t="shared" si="15"/>
        <v/>
      </c>
      <c r="J113" s="58" t="str">
        <f t="shared" si="16"/>
        <v/>
      </c>
      <c r="L113" s="31" t="str">
        <f t="shared" si="17"/>
        <v/>
      </c>
      <c r="M113" s="32" t="str">
        <f t="shared" si="22"/>
        <v/>
      </c>
      <c r="N113" s="32" t="str">
        <f t="shared" si="18"/>
        <v/>
      </c>
      <c r="O113" s="32" t="str">
        <f t="shared" si="19"/>
        <v/>
      </c>
      <c r="P113" s="32" t="str">
        <f t="shared" si="23"/>
        <v/>
      </c>
      <c r="Q113" s="33" t="str">
        <f t="shared" si="23"/>
        <v/>
      </c>
    </row>
    <row r="114" spans="2:17" x14ac:dyDescent="0.25">
      <c r="B114" s="9">
        <v>101</v>
      </c>
      <c r="C114" s="35">
        <v>31500</v>
      </c>
      <c r="D114" s="3"/>
      <c r="E114" s="9" t="str">
        <f t="shared" si="12"/>
        <v/>
      </c>
      <c r="F114" s="54" t="str">
        <f t="shared" si="21"/>
        <v/>
      </c>
      <c r="G114" s="73" t="str">
        <f t="shared" si="13"/>
        <v/>
      </c>
      <c r="H114" s="56" t="str">
        <f t="shared" si="14"/>
        <v/>
      </c>
      <c r="I114" s="57" t="str">
        <f t="shared" si="15"/>
        <v/>
      </c>
      <c r="J114" s="58" t="str">
        <f t="shared" si="16"/>
        <v/>
      </c>
      <c r="L114" s="31" t="str">
        <f t="shared" si="17"/>
        <v/>
      </c>
      <c r="M114" s="32" t="str">
        <f t="shared" si="22"/>
        <v/>
      </c>
      <c r="N114" s="32" t="str">
        <f t="shared" si="18"/>
        <v/>
      </c>
      <c r="O114" s="32" t="str">
        <f t="shared" si="19"/>
        <v/>
      </c>
      <c r="P114" s="32" t="str">
        <f t="shared" si="23"/>
        <v/>
      </c>
      <c r="Q114" s="33" t="str">
        <f t="shared" si="23"/>
        <v/>
      </c>
    </row>
    <row r="115" spans="2:17" x14ac:dyDescent="0.25">
      <c r="B115" s="9">
        <v>102</v>
      </c>
      <c r="C115" s="35">
        <v>32000</v>
      </c>
      <c r="D115" s="3"/>
      <c r="E115" s="9" t="str">
        <f t="shared" si="12"/>
        <v/>
      </c>
      <c r="F115" s="54" t="str">
        <f t="shared" si="21"/>
        <v/>
      </c>
      <c r="G115" s="73" t="str">
        <f t="shared" si="13"/>
        <v/>
      </c>
      <c r="H115" s="56" t="str">
        <f t="shared" si="14"/>
        <v/>
      </c>
      <c r="I115" s="57" t="str">
        <f t="shared" si="15"/>
        <v/>
      </c>
      <c r="J115" s="58" t="str">
        <f t="shared" si="16"/>
        <v/>
      </c>
      <c r="L115" s="31" t="str">
        <f t="shared" si="17"/>
        <v/>
      </c>
      <c r="M115" s="32" t="str">
        <f t="shared" si="22"/>
        <v/>
      </c>
      <c r="N115" s="32" t="str">
        <f t="shared" si="18"/>
        <v/>
      </c>
      <c r="O115" s="32" t="str">
        <f t="shared" si="19"/>
        <v/>
      </c>
      <c r="P115" s="32" t="str">
        <f t="shared" si="23"/>
        <v/>
      </c>
      <c r="Q115" s="33" t="str">
        <f t="shared" si="23"/>
        <v/>
      </c>
    </row>
    <row r="116" spans="2:17" x14ac:dyDescent="0.25">
      <c r="B116" s="9">
        <v>103</v>
      </c>
      <c r="C116" s="35">
        <v>32500</v>
      </c>
      <c r="D116" s="3"/>
      <c r="E116" s="9" t="str">
        <f t="shared" si="12"/>
        <v/>
      </c>
      <c r="F116" s="54" t="str">
        <f t="shared" si="21"/>
        <v/>
      </c>
      <c r="G116" s="73" t="str">
        <f t="shared" si="13"/>
        <v/>
      </c>
      <c r="H116" s="56" t="str">
        <f t="shared" si="14"/>
        <v/>
      </c>
      <c r="I116" s="57" t="str">
        <f t="shared" si="15"/>
        <v/>
      </c>
      <c r="J116" s="58" t="str">
        <f t="shared" si="16"/>
        <v/>
      </c>
      <c r="L116" s="31" t="str">
        <f t="shared" si="17"/>
        <v/>
      </c>
      <c r="M116" s="32" t="str">
        <f t="shared" si="22"/>
        <v/>
      </c>
      <c r="N116" s="32" t="str">
        <f t="shared" si="18"/>
        <v/>
      </c>
      <c r="O116" s="32" t="str">
        <f t="shared" si="19"/>
        <v/>
      </c>
      <c r="P116" s="32" t="str">
        <f t="shared" si="23"/>
        <v/>
      </c>
      <c r="Q116" s="33" t="str">
        <f t="shared" si="23"/>
        <v/>
      </c>
    </row>
    <row r="117" spans="2:17" x14ac:dyDescent="0.25">
      <c r="B117" s="9">
        <v>104</v>
      </c>
      <c r="C117" s="35">
        <v>33000</v>
      </c>
      <c r="D117" s="3"/>
      <c r="E117" s="9" t="str">
        <f t="shared" si="12"/>
        <v/>
      </c>
      <c r="F117" s="54" t="str">
        <f t="shared" si="21"/>
        <v/>
      </c>
      <c r="G117" s="73" t="str">
        <f t="shared" si="13"/>
        <v/>
      </c>
      <c r="H117" s="56" t="str">
        <f t="shared" si="14"/>
        <v/>
      </c>
      <c r="I117" s="57" t="str">
        <f t="shared" si="15"/>
        <v/>
      </c>
      <c r="J117" s="58" t="str">
        <f t="shared" si="16"/>
        <v/>
      </c>
      <c r="L117" s="31" t="str">
        <f t="shared" si="17"/>
        <v/>
      </c>
      <c r="M117" s="32" t="str">
        <f t="shared" si="22"/>
        <v/>
      </c>
      <c r="N117" s="32" t="str">
        <f t="shared" si="18"/>
        <v/>
      </c>
      <c r="O117" s="32" t="str">
        <f t="shared" si="19"/>
        <v/>
      </c>
      <c r="P117" s="32" t="str">
        <f t="shared" si="23"/>
        <v/>
      </c>
      <c r="Q117" s="33" t="str">
        <f t="shared" si="23"/>
        <v/>
      </c>
    </row>
    <row r="118" spans="2:17" x14ac:dyDescent="0.25">
      <c r="B118" s="9">
        <v>105</v>
      </c>
      <c r="C118" s="35">
        <v>33500</v>
      </c>
      <c r="D118" s="3"/>
      <c r="E118" s="9" t="str">
        <f t="shared" si="12"/>
        <v/>
      </c>
      <c r="F118" s="54" t="str">
        <f t="shared" si="21"/>
        <v/>
      </c>
      <c r="G118" s="73" t="str">
        <f t="shared" si="13"/>
        <v/>
      </c>
      <c r="H118" s="56" t="str">
        <f t="shared" si="14"/>
        <v/>
      </c>
      <c r="I118" s="57" t="str">
        <f t="shared" si="15"/>
        <v/>
      </c>
      <c r="J118" s="58" t="str">
        <f t="shared" si="16"/>
        <v/>
      </c>
      <c r="L118" s="31" t="str">
        <f t="shared" si="17"/>
        <v/>
      </c>
      <c r="M118" s="32" t="str">
        <f t="shared" si="22"/>
        <v/>
      </c>
      <c r="N118" s="32" t="str">
        <f t="shared" si="18"/>
        <v/>
      </c>
      <c r="O118" s="32" t="str">
        <f t="shared" si="19"/>
        <v/>
      </c>
      <c r="P118" s="32" t="str">
        <f t="shared" si="23"/>
        <v/>
      </c>
      <c r="Q118" s="33" t="str">
        <f t="shared" si="23"/>
        <v/>
      </c>
    </row>
    <row r="119" spans="2:17" x14ac:dyDescent="0.25">
      <c r="B119" s="9">
        <v>106</v>
      </c>
      <c r="C119" s="35">
        <v>34000</v>
      </c>
      <c r="D119" s="3"/>
      <c r="E119" s="9" t="str">
        <f t="shared" si="12"/>
        <v/>
      </c>
      <c r="F119" s="54" t="str">
        <f t="shared" si="21"/>
        <v/>
      </c>
      <c r="G119" s="73" t="str">
        <f t="shared" si="13"/>
        <v/>
      </c>
      <c r="H119" s="56" t="str">
        <f t="shared" si="14"/>
        <v/>
      </c>
      <c r="I119" s="57" t="str">
        <f t="shared" si="15"/>
        <v/>
      </c>
      <c r="J119" s="58" t="str">
        <f t="shared" si="16"/>
        <v/>
      </c>
      <c r="L119" s="31" t="str">
        <f t="shared" si="17"/>
        <v/>
      </c>
      <c r="M119" s="32" t="str">
        <f t="shared" si="22"/>
        <v/>
      </c>
      <c r="N119" s="32" t="str">
        <f t="shared" si="18"/>
        <v/>
      </c>
      <c r="O119" s="32" t="str">
        <f t="shared" si="19"/>
        <v/>
      </c>
      <c r="P119" s="32" t="str">
        <f t="shared" si="23"/>
        <v/>
      </c>
      <c r="Q119" s="33" t="str">
        <f t="shared" si="23"/>
        <v/>
      </c>
    </row>
    <row r="120" spans="2:17" x14ac:dyDescent="0.25">
      <c r="B120" s="9">
        <v>107</v>
      </c>
      <c r="C120" s="35">
        <v>34500</v>
      </c>
      <c r="D120" s="3"/>
      <c r="E120" s="9" t="str">
        <f t="shared" si="12"/>
        <v/>
      </c>
      <c r="F120" s="54" t="str">
        <f t="shared" si="21"/>
        <v/>
      </c>
      <c r="G120" s="73" t="str">
        <f t="shared" si="13"/>
        <v/>
      </c>
      <c r="H120" s="56" t="str">
        <f t="shared" si="14"/>
        <v/>
      </c>
      <c r="I120" s="57" t="str">
        <f t="shared" si="15"/>
        <v/>
      </c>
      <c r="J120" s="58" t="str">
        <f t="shared" si="16"/>
        <v/>
      </c>
      <c r="L120" s="31" t="str">
        <f t="shared" si="17"/>
        <v/>
      </c>
      <c r="M120" s="32" t="str">
        <f t="shared" si="22"/>
        <v/>
      </c>
      <c r="N120" s="32" t="str">
        <f t="shared" si="18"/>
        <v/>
      </c>
      <c r="O120" s="32" t="str">
        <f t="shared" si="19"/>
        <v/>
      </c>
      <c r="P120" s="32" t="str">
        <f t="shared" si="23"/>
        <v/>
      </c>
      <c r="Q120" s="33" t="str">
        <f t="shared" si="23"/>
        <v/>
      </c>
    </row>
    <row r="121" spans="2:17" x14ac:dyDescent="0.25">
      <c r="B121" s="9">
        <v>108</v>
      </c>
      <c r="C121" s="35">
        <v>35000</v>
      </c>
      <c r="D121" s="3"/>
      <c r="E121" s="9" t="str">
        <f t="shared" si="12"/>
        <v/>
      </c>
      <c r="F121" s="54" t="str">
        <f t="shared" si="21"/>
        <v/>
      </c>
      <c r="G121" s="73" t="str">
        <f t="shared" si="13"/>
        <v/>
      </c>
      <c r="H121" s="56" t="str">
        <f t="shared" si="14"/>
        <v/>
      </c>
      <c r="I121" s="57" t="str">
        <f t="shared" si="15"/>
        <v/>
      </c>
      <c r="J121" s="58" t="str">
        <f t="shared" si="16"/>
        <v/>
      </c>
      <c r="L121" s="31" t="str">
        <f t="shared" si="17"/>
        <v/>
      </c>
      <c r="M121" s="32" t="str">
        <f t="shared" si="22"/>
        <v/>
      </c>
      <c r="N121" s="32" t="str">
        <f t="shared" si="18"/>
        <v/>
      </c>
      <c r="O121" s="32" t="str">
        <f t="shared" si="19"/>
        <v/>
      </c>
      <c r="P121" s="32" t="str">
        <f t="shared" si="23"/>
        <v/>
      </c>
      <c r="Q121" s="33" t="str">
        <f t="shared" si="23"/>
        <v/>
      </c>
    </row>
    <row r="122" spans="2:17" x14ac:dyDescent="0.25">
      <c r="B122" s="9">
        <v>109</v>
      </c>
      <c r="C122" s="35">
        <v>35500</v>
      </c>
      <c r="D122" s="3"/>
      <c r="E122" s="9" t="str">
        <f t="shared" si="12"/>
        <v/>
      </c>
      <c r="F122" s="54" t="str">
        <f t="shared" si="21"/>
        <v/>
      </c>
      <c r="G122" s="73" t="str">
        <f t="shared" si="13"/>
        <v/>
      </c>
      <c r="H122" s="56" t="str">
        <f t="shared" si="14"/>
        <v/>
      </c>
      <c r="I122" s="57" t="str">
        <f t="shared" si="15"/>
        <v/>
      </c>
      <c r="J122" s="58" t="str">
        <f t="shared" si="16"/>
        <v/>
      </c>
      <c r="L122" s="31" t="str">
        <f t="shared" si="17"/>
        <v/>
      </c>
      <c r="M122" s="32" t="str">
        <f t="shared" si="22"/>
        <v/>
      </c>
      <c r="N122" s="32" t="str">
        <f t="shared" si="18"/>
        <v/>
      </c>
      <c r="O122" s="32" t="str">
        <f t="shared" si="19"/>
        <v/>
      </c>
      <c r="P122" s="32" t="str">
        <f t="shared" si="23"/>
        <v/>
      </c>
      <c r="Q122" s="33" t="str">
        <f t="shared" si="23"/>
        <v/>
      </c>
    </row>
    <row r="123" spans="2:17" x14ac:dyDescent="0.25">
      <c r="B123" s="9">
        <v>110</v>
      </c>
      <c r="C123" s="35">
        <v>36000</v>
      </c>
      <c r="D123" s="3"/>
      <c r="E123" s="9" t="str">
        <f t="shared" si="12"/>
        <v/>
      </c>
      <c r="F123" s="54" t="str">
        <f t="shared" si="21"/>
        <v/>
      </c>
      <c r="G123" s="73" t="str">
        <f t="shared" si="13"/>
        <v/>
      </c>
      <c r="H123" s="56" t="str">
        <f t="shared" si="14"/>
        <v/>
      </c>
      <c r="I123" s="57" t="str">
        <f t="shared" si="15"/>
        <v/>
      </c>
      <c r="J123" s="58" t="str">
        <f t="shared" si="16"/>
        <v/>
      </c>
      <c r="L123" s="31" t="str">
        <f t="shared" si="17"/>
        <v/>
      </c>
      <c r="M123" s="32" t="str">
        <f t="shared" si="22"/>
        <v/>
      </c>
      <c r="N123" s="32" t="str">
        <f t="shared" si="18"/>
        <v/>
      </c>
      <c r="O123" s="32" t="str">
        <f t="shared" si="19"/>
        <v/>
      </c>
      <c r="P123" s="32" t="str">
        <f t="shared" si="23"/>
        <v/>
      </c>
      <c r="Q123" s="33" t="str">
        <f t="shared" si="23"/>
        <v/>
      </c>
    </row>
    <row r="124" spans="2:17" x14ac:dyDescent="0.25">
      <c r="B124" s="9">
        <v>111</v>
      </c>
      <c r="C124" s="35">
        <v>36500</v>
      </c>
      <c r="D124" s="3"/>
      <c r="E124" s="9" t="str">
        <f t="shared" si="12"/>
        <v/>
      </c>
      <c r="F124" s="54" t="str">
        <f t="shared" si="21"/>
        <v/>
      </c>
      <c r="G124" s="73" t="str">
        <f t="shared" si="13"/>
        <v/>
      </c>
      <c r="H124" s="56" t="str">
        <f t="shared" si="14"/>
        <v/>
      </c>
      <c r="I124" s="57" t="str">
        <f t="shared" si="15"/>
        <v/>
      </c>
      <c r="J124" s="58" t="str">
        <f t="shared" si="16"/>
        <v/>
      </c>
      <c r="L124" s="31" t="str">
        <f t="shared" si="17"/>
        <v/>
      </c>
      <c r="M124" s="32" t="str">
        <f t="shared" si="22"/>
        <v/>
      </c>
      <c r="N124" s="32" t="str">
        <f t="shared" si="18"/>
        <v/>
      </c>
      <c r="O124" s="32" t="str">
        <f t="shared" si="19"/>
        <v/>
      </c>
      <c r="P124" s="32" t="str">
        <f t="shared" si="23"/>
        <v/>
      </c>
      <c r="Q124" s="33" t="str">
        <f t="shared" si="23"/>
        <v/>
      </c>
    </row>
    <row r="125" spans="2:17" x14ac:dyDescent="0.25">
      <c r="B125" s="9">
        <v>112</v>
      </c>
      <c r="C125" s="35">
        <v>37000</v>
      </c>
      <c r="D125" s="3"/>
      <c r="E125" s="9" t="str">
        <f t="shared" si="12"/>
        <v/>
      </c>
      <c r="F125" s="54" t="str">
        <f t="shared" si="21"/>
        <v/>
      </c>
      <c r="G125" s="73" t="str">
        <f t="shared" si="13"/>
        <v/>
      </c>
      <c r="H125" s="56" t="str">
        <f t="shared" si="14"/>
        <v/>
      </c>
      <c r="I125" s="57" t="str">
        <f t="shared" si="15"/>
        <v/>
      </c>
      <c r="J125" s="58" t="str">
        <f t="shared" si="16"/>
        <v/>
      </c>
      <c r="L125" s="31" t="str">
        <f t="shared" si="17"/>
        <v/>
      </c>
      <c r="M125" s="32" t="str">
        <f t="shared" si="22"/>
        <v/>
      </c>
      <c r="N125" s="32" t="str">
        <f t="shared" si="18"/>
        <v/>
      </c>
      <c r="O125" s="32" t="str">
        <f t="shared" si="19"/>
        <v/>
      </c>
      <c r="P125" s="32" t="str">
        <f t="shared" si="23"/>
        <v/>
      </c>
      <c r="Q125" s="33" t="str">
        <f t="shared" si="23"/>
        <v/>
      </c>
    </row>
    <row r="126" spans="2:17" x14ac:dyDescent="0.25">
      <c r="B126" s="9">
        <v>113</v>
      </c>
      <c r="C126" s="35">
        <v>37500</v>
      </c>
      <c r="D126" s="3"/>
      <c r="E126" s="9" t="str">
        <f t="shared" si="12"/>
        <v/>
      </c>
      <c r="F126" s="54" t="str">
        <f t="shared" si="21"/>
        <v/>
      </c>
      <c r="G126" s="73" t="str">
        <f t="shared" si="13"/>
        <v/>
      </c>
      <c r="H126" s="56" t="str">
        <f t="shared" si="14"/>
        <v/>
      </c>
      <c r="I126" s="57" t="str">
        <f t="shared" si="15"/>
        <v/>
      </c>
      <c r="J126" s="58" t="str">
        <f t="shared" si="16"/>
        <v/>
      </c>
      <c r="L126" s="31" t="str">
        <f t="shared" si="17"/>
        <v/>
      </c>
      <c r="M126" s="32" t="str">
        <f t="shared" si="22"/>
        <v/>
      </c>
      <c r="N126" s="32" t="str">
        <f t="shared" si="18"/>
        <v/>
      </c>
      <c r="O126" s="32" t="str">
        <f t="shared" si="19"/>
        <v/>
      </c>
      <c r="P126" s="32" t="str">
        <f t="shared" si="23"/>
        <v/>
      </c>
      <c r="Q126" s="33" t="str">
        <f t="shared" si="23"/>
        <v/>
      </c>
    </row>
    <row r="127" spans="2:17" x14ac:dyDescent="0.25">
      <c r="B127" s="9">
        <v>114</v>
      </c>
      <c r="C127" s="35">
        <v>38000</v>
      </c>
      <c r="D127" s="3"/>
      <c r="E127" s="9" t="str">
        <f t="shared" si="12"/>
        <v/>
      </c>
      <c r="F127" s="54" t="str">
        <f t="shared" si="21"/>
        <v/>
      </c>
      <c r="G127" s="73" t="str">
        <f t="shared" si="13"/>
        <v/>
      </c>
      <c r="H127" s="56" t="str">
        <f t="shared" si="14"/>
        <v/>
      </c>
      <c r="I127" s="57" t="str">
        <f t="shared" si="15"/>
        <v/>
      </c>
      <c r="J127" s="58" t="str">
        <f t="shared" si="16"/>
        <v/>
      </c>
      <c r="L127" s="31" t="str">
        <f t="shared" si="17"/>
        <v/>
      </c>
      <c r="M127" s="32" t="str">
        <f t="shared" si="22"/>
        <v/>
      </c>
      <c r="N127" s="32" t="str">
        <f t="shared" si="18"/>
        <v/>
      </c>
      <c r="O127" s="32" t="str">
        <f t="shared" si="19"/>
        <v/>
      </c>
      <c r="P127" s="32" t="str">
        <f t="shared" si="23"/>
        <v/>
      </c>
      <c r="Q127" s="33" t="str">
        <f t="shared" si="23"/>
        <v/>
      </c>
    </row>
    <row r="128" spans="2:17" x14ac:dyDescent="0.25">
      <c r="B128" s="9">
        <v>115</v>
      </c>
      <c r="C128" s="35">
        <v>38500</v>
      </c>
      <c r="D128" s="3"/>
      <c r="E128" s="9" t="str">
        <f t="shared" si="12"/>
        <v/>
      </c>
      <c r="F128" s="54" t="str">
        <f t="shared" si="21"/>
        <v/>
      </c>
      <c r="G128" s="73" t="str">
        <f t="shared" si="13"/>
        <v/>
      </c>
      <c r="H128" s="56" t="str">
        <f t="shared" si="14"/>
        <v/>
      </c>
      <c r="I128" s="57" t="str">
        <f t="shared" si="15"/>
        <v/>
      </c>
      <c r="J128" s="58" t="str">
        <f t="shared" si="16"/>
        <v/>
      </c>
      <c r="L128" s="31" t="str">
        <f t="shared" si="17"/>
        <v/>
      </c>
      <c r="M128" s="32" t="str">
        <f t="shared" si="22"/>
        <v/>
      </c>
      <c r="N128" s="32" t="str">
        <f t="shared" si="18"/>
        <v/>
      </c>
      <c r="O128" s="32" t="str">
        <f t="shared" si="19"/>
        <v/>
      </c>
      <c r="P128" s="32" t="str">
        <f t="shared" si="23"/>
        <v/>
      </c>
      <c r="Q128" s="33" t="str">
        <f t="shared" si="23"/>
        <v/>
      </c>
    </row>
    <row r="129" spans="2:17" x14ac:dyDescent="0.25">
      <c r="B129" s="9">
        <v>116</v>
      </c>
      <c r="C129" s="35">
        <v>39000</v>
      </c>
      <c r="D129" s="3"/>
      <c r="E129" s="9" t="str">
        <f t="shared" si="12"/>
        <v/>
      </c>
      <c r="F129" s="54" t="str">
        <f t="shared" si="21"/>
        <v/>
      </c>
      <c r="G129" s="73" t="str">
        <f t="shared" si="13"/>
        <v/>
      </c>
      <c r="H129" s="56" t="str">
        <f t="shared" si="14"/>
        <v/>
      </c>
      <c r="I129" s="57" t="str">
        <f t="shared" si="15"/>
        <v/>
      </c>
      <c r="J129" s="58" t="str">
        <f t="shared" si="16"/>
        <v/>
      </c>
      <c r="L129" s="31" t="str">
        <f t="shared" si="17"/>
        <v/>
      </c>
      <c r="M129" s="32" t="str">
        <f t="shared" si="22"/>
        <v/>
      </c>
      <c r="N129" s="32" t="str">
        <f t="shared" si="18"/>
        <v/>
      </c>
      <c r="O129" s="32" t="str">
        <f t="shared" si="19"/>
        <v/>
      </c>
      <c r="P129" s="32" t="str">
        <f t="shared" si="23"/>
        <v/>
      </c>
      <c r="Q129" s="33" t="str">
        <f t="shared" si="23"/>
        <v/>
      </c>
    </row>
    <row r="130" spans="2:17" x14ac:dyDescent="0.25">
      <c r="B130" s="9">
        <v>117</v>
      </c>
      <c r="C130" s="35">
        <v>39500</v>
      </c>
      <c r="D130" s="3"/>
      <c r="E130" s="9" t="str">
        <f t="shared" si="12"/>
        <v/>
      </c>
      <c r="F130" s="54" t="str">
        <f t="shared" si="21"/>
        <v/>
      </c>
      <c r="G130" s="73" t="str">
        <f t="shared" si="13"/>
        <v/>
      </c>
      <c r="H130" s="56" t="str">
        <f t="shared" si="14"/>
        <v/>
      </c>
      <c r="I130" s="57" t="str">
        <f t="shared" si="15"/>
        <v/>
      </c>
      <c r="J130" s="58" t="str">
        <f t="shared" si="16"/>
        <v/>
      </c>
      <c r="L130" s="31" t="str">
        <f t="shared" si="17"/>
        <v/>
      </c>
      <c r="M130" s="32" t="str">
        <f t="shared" si="22"/>
        <v/>
      </c>
      <c r="N130" s="32" t="str">
        <f t="shared" si="18"/>
        <v/>
      </c>
      <c r="O130" s="32" t="str">
        <f t="shared" si="19"/>
        <v/>
      </c>
      <c r="P130" s="32" t="str">
        <f t="shared" si="23"/>
        <v/>
      </c>
      <c r="Q130" s="33" t="str">
        <f t="shared" si="23"/>
        <v/>
      </c>
    </row>
    <row r="131" spans="2:17" x14ac:dyDescent="0.25">
      <c r="B131" s="9">
        <v>118</v>
      </c>
      <c r="C131" s="35">
        <v>40000</v>
      </c>
      <c r="D131" s="3"/>
      <c r="E131" s="9" t="str">
        <f t="shared" si="12"/>
        <v/>
      </c>
      <c r="F131" s="54" t="str">
        <f t="shared" si="21"/>
        <v/>
      </c>
      <c r="G131" s="73" t="str">
        <f t="shared" si="13"/>
        <v/>
      </c>
      <c r="H131" s="56" t="str">
        <f t="shared" si="14"/>
        <v/>
      </c>
      <c r="I131" s="57" t="str">
        <f t="shared" si="15"/>
        <v/>
      </c>
      <c r="J131" s="58" t="str">
        <f t="shared" si="16"/>
        <v/>
      </c>
      <c r="L131" s="31" t="str">
        <f t="shared" si="17"/>
        <v/>
      </c>
      <c r="M131" s="32" t="str">
        <f t="shared" si="22"/>
        <v/>
      </c>
      <c r="N131" s="32" t="str">
        <f t="shared" si="18"/>
        <v/>
      </c>
      <c r="O131" s="32" t="str">
        <f t="shared" si="19"/>
        <v/>
      </c>
      <c r="P131" s="32" t="str">
        <f t="shared" si="23"/>
        <v/>
      </c>
      <c r="Q131" s="33" t="str">
        <f t="shared" si="23"/>
        <v/>
      </c>
    </row>
    <row r="132" spans="2:17" x14ac:dyDescent="0.25">
      <c r="B132" s="9">
        <v>119</v>
      </c>
      <c r="C132" s="35">
        <v>40500</v>
      </c>
      <c r="D132" s="3"/>
      <c r="E132" s="9" t="str">
        <f t="shared" si="12"/>
        <v/>
      </c>
      <c r="F132" s="54" t="str">
        <f t="shared" si="21"/>
        <v/>
      </c>
      <c r="G132" s="73" t="str">
        <f t="shared" si="13"/>
        <v/>
      </c>
      <c r="H132" s="56" t="str">
        <f t="shared" si="14"/>
        <v/>
      </c>
      <c r="I132" s="57" t="str">
        <f t="shared" si="15"/>
        <v/>
      </c>
      <c r="J132" s="58" t="str">
        <f t="shared" si="16"/>
        <v/>
      </c>
      <c r="L132" s="31" t="str">
        <f t="shared" si="17"/>
        <v/>
      </c>
      <c r="M132" s="32" t="str">
        <f t="shared" si="22"/>
        <v/>
      </c>
      <c r="N132" s="32" t="str">
        <f t="shared" si="18"/>
        <v/>
      </c>
      <c r="O132" s="32" t="str">
        <f t="shared" si="19"/>
        <v/>
      </c>
      <c r="P132" s="32" t="str">
        <f t="shared" si="23"/>
        <v/>
      </c>
      <c r="Q132" s="33" t="str">
        <f t="shared" si="23"/>
        <v/>
      </c>
    </row>
    <row r="133" spans="2:17" x14ac:dyDescent="0.25">
      <c r="B133" s="9">
        <v>120</v>
      </c>
      <c r="C133" s="35">
        <v>41000</v>
      </c>
      <c r="D133" s="3"/>
      <c r="E133" s="9" t="str">
        <f t="shared" si="12"/>
        <v/>
      </c>
      <c r="F133" s="54" t="str">
        <f t="shared" si="21"/>
        <v/>
      </c>
      <c r="G133" s="73" t="str">
        <f t="shared" si="13"/>
        <v/>
      </c>
      <c r="H133" s="56" t="str">
        <f t="shared" si="14"/>
        <v/>
      </c>
      <c r="I133" s="57" t="str">
        <f t="shared" si="15"/>
        <v/>
      </c>
      <c r="J133" s="58" t="str">
        <f t="shared" si="16"/>
        <v/>
      </c>
      <c r="L133" s="31" t="str">
        <f t="shared" si="17"/>
        <v/>
      </c>
      <c r="M133" s="32" t="str">
        <f t="shared" si="22"/>
        <v/>
      </c>
      <c r="N133" s="32" t="str">
        <f t="shared" si="18"/>
        <v/>
      </c>
      <c r="O133" s="32" t="str">
        <f t="shared" si="19"/>
        <v/>
      </c>
      <c r="P133" s="32" t="str">
        <f t="shared" si="23"/>
        <v/>
      </c>
      <c r="Q133" s="33" t="str">
        <f t="shared" si="23"/>
        <v/>
      </c>
    </row>
    <row r="134" spans="2:17" x14ac:dyDescent="0.25">
      <c r="B134" s="9">
        <v>121</v>
      </c>
      <c r="C134" s="35">
        <v>41500</v>
      </c>
      <c r="D134" s="3"/>
      <c r="E134" s="9" t="str">
        <f t="shared" si="12"/>
        <v/>
      </c>
      <c r="F134" s="54" t="str">
        <f t="shared" si="21"/>
        <v/>
      </c>
      <c r="G134" s="73" t="str">
        <f t="shared" si="13"/>
        <v/>
      </c>
      <c r="H134" s="56" t="str">
        <f t="shared" si="14"/>
        <v/>
      </c>
      <c r="I134" s="57" t="str">
        <f t="shared" si="15"/>
        <v/>
      </c>
      <c r="J134" s="58" t="str">
        <f t="shared" si="16"/>
        <v/>
      </c>
      <c r="L134" s="31" t="str">
        <f t="shared" si="17"/>
        <v/>
      </c>
      <c r="M134" s="32" t="str">
        <f t="shared" si="22"/>
        <v/>
      </c>
      <c r="N134" s="32" t="str">
        <f t="shared" si="18"/>
        <v/>
      </c>
      <c r="O134" s="32" t="str">
        <f t="shared" si="19"/>
        <v/>
      </c>
      <c r="P134" s="32" t="str">
        <f t="shared" si="23"/>
        <v/>
      </c>
      <c r="Q134" s="33" t="str">
        <f t="shared" si="23"/>
        <v/>
      </c>
    </row>
    <row r="135" spans="2:17" x14ac:dyDescent="0.25">
      <c r="B135" s="9">
        <v>122</v>
      </c>
      <c r="C135" s="35">
        <v>42000</v>
      </c>
      <c r="D135" s="3"/>
      <c r="E135" s="9" t="str">
        <f t="shared" si="12"/>
        <v/>
      </c>
      <c r="F135" s="54" t="str">
        <f t="shared" si="21"/>
        <v/>
      </c>
      <c r="G135" s="73" t="str">
        <f t="shared" si="13"/>
        <v/>
      </c>
      <c r="H135" s="56" t="str">
        <f t="shared" si="14"/>
        <v/>
      </c>
      <c r="I135" s="57" t="str">
        <f t="shared" si="15"/>
        <v/>
      </c>
      <c r="J135" s="58" t="str">
        <f t="shared" si="16"/>
        <v/>
      </c>
      <c r="L135" s="31" t="str">
        <f t="shared" si="17"/>
        <v/>
      </c>
      <c r="M135" s="32" t="str">
        <f t="shared" si="22"/>
        <v/>
      </c>
      <c r="N135" s="32" t="str">
        <f t="shared" si="18"/>
        <v/>
      </c>
      <c r="O135" s="32" t="str">
        <f t="shared" si="19"/>
        <v/>
      </c>
      <c r="P135" s="32" t="str">
        <f t="shared" si="23"/>
        <v/>
      </c>
      <c r="Q135" s="33" t="str">
        <f t="shared" si="23"/>
        <v/>
      </c>
    </row>
    <row r="136" spans="2:17" x14ac:dyDescent="0.25">
      <c r="B136" s="9">
        <v>123</v>
      </c>
      <c r="C136" s="35">
        <v>42500</v>
      </c>
      <c r="D136" s="3"/>
      <c r="E136" s="9" t="str">
        <f t="shared" si="12"/>
        <v/>
      </c>
      <c r="F136" s="54" t="str">
        <f t="shared" si="21"/>
        <v/>
      </c>
      <c r="G136" s="73" t="str">
        <f t="shared" si="13"/>
        <v/>
      </c>
      <c r="H136" s="56" t="str">
        <f t="shared" si="14"/>
        <v/>
      </c>
      <c r="I136" s="57" t="str">
        <f t="shared" si="15"/>
        <v/>
      </c>
      <c r="J136" s="58" t="str">
        <f t="shared" si="16"/>
        <v/>
      </c>
      <c r="L136" s="31" t="str">
        <f t="shared" si="17"/>
        <v/>
      </c>
      <c r="M136" s="32" t="str">
        <f t="shared" si="22"/>
        <v/>
      </c>
      <c r="N136" s="32" t="str">
        <f t="shared" si="18"/>
        <v/>
      </c>
      <c r="O136" s="32" t="str">
        <f t="shared" si="19"/>
        <v/>
      </c>
      <c r="P136" s="32" t="str">
        <f t="shared" si="23"/>
        <v/>
      </c>
      <c r="Q136" s="33" t="str">
        <f t="shared" si="23"/>
        <v/>
      </c>
    </row>
    <row r="137" spans="2:17" x14ac:dyDescent="0.25">
      <c r="B137" s="9">
        <v>124</v>
      </c>
      <c r="C137" s="35">
        <v>43000</v>
      </c>
      <c r="D137" s="3"/>
      <c r="E137" s="9" t="str">
        <f t="shared" si="12"/>
        <v/>
      </c>
      <c r="F137" s="54" t="str">
        <f t="shared" si="21"/>
        <v/>
      </c>
      <c r="G137" s="73" t="str">
        <f t="shared" si="13"/>
        <v/>
      </c>
      <c r="H137" s="56" t="str">
        <f t="shared" si="14"/>
        <v/>
      </c>
      <c r="I137" s="57" t="str">
        <f t="shared" si="15"/>
        <v/>
      </c>
      <c r="J137" s="58" t="str">
        <f t="shared" si="16"/>
        <v/>
      </c>
      <c r="L137" s="31" t="str">
        <f t="shared" si="17"/>
        <v/>
      </c>
      <c r="M137" s="32" t="str">
        <f t="shared" si="22"/>
        <v/>
      </c>
      <c r="N137" s="32" t="str">
        <f t="shared" si="18"/>
        <v/>
      </c>
      <c r="O137" s="32" t="str">
        <f t="shared" si="19"/>
        <v/>
      </c>
      <c r="P137" s="32" t="str">
        <f t="shared" si="23"/>
        <v/>
      </c>
      <c r="Q137" s="33" t="str">
        <f t="shared" si="23"/>
        <v/>
      </c>
    </row>
    <row r="138" spans="2:17" x14ac:dyDescent="0.25">
      <c r="B138" s="9">
        <v>125</v>
      </c>
      <c r="C138" s="35">
        <v>43500</v>
      </c>
      <c r="D138" s="3"/>
      <c r="E138" s="9" t="str">
        <f t="shared" si="12"/>
        <v/>
      </c>
      <c r="F138" s="54" t="str">
        <f t="shared" si="21"/>
        <v/>
      </c>
      <c r="G138" s="73" t="str">
        <f t="shared" si="13"/>
        <v/>
      </c>
      <c r="H138" s="56" t="str">
        <f t="shared" si="14"/>
        <v/>
      </c>
      <c r="I138" s="57" t="str">
        <f t="shared" si="15"/>
        <v/>
      </c>
      <c r="J138" s="58" t="str">
        <f t="shared" si="16"/>
        <v/>
      </c>
      <c r="L138" s="31" t="str">
        <f t="shared" si="17"/>
        <v/>
      </c>
      <c r="M138" s="32" t="str">
        <f t="shared" si="22"/>
        <v/>
      </c>
      <c r="N138" s="32" t="str">
        <f t="shared" si="18"/>
        <v/>
      </c>
      <c r="O138" s="32" t="str">
        <f t="shared" si="19"/>
        <v/>
      </c>
      <c r="P138" s="32" t="str">
        <f t="shared" si="23"/>
        <v/>
      </c>
      <c r="Q138" s="33" t="str">
        <f t="shared" si="23"/>
        <v/>
      </c>
    </row>
    <row r="139" spans="2:17" x14ac:dyDescent="0.25">
      <c r="B139" s="9">
        <v>126</v>
      </c>
      <c r="C139" s="35">
        <v>44000</v>
      </c>
      <c r="D139" s="3"/>
      <c r="E139" s="9" t="str">
        <f t="shared" si="12"/>
        <v/>
      </c>
      <c r="F139" s="54" t="str">
        <f t="shared" si="21"/>
        <v/>
      </c>
      <c r="G139" s="73" t="str">
        <f t="shared" si="13"/>
        <v/>
      </c>
      <c r="H139" s="56" t="str">
        <f t="shared" si="14"/>
        <v/>
      </c>
      <c r="I139" s="57" t="str">
        <f t="shared" si="15"/>
        <v/>
      </c>
      <c r="J139" s="58" t="str">
        <f t="shared" si="16"/>
        <v/>
      </c>
      <c r="L139" s="31" t="str">
        <f t="shared" si="17"/>
        <v/>
      </c>
      <c r="M139" s="32" t="str">
        <f t="shared" si="22"/>
        <v/>
      </c>
      <c r="N139" s="32" t="str">
        <f t="shared" si="18"/>
        <v/>
      </c>
      <c r="O139" s="32" t="str">
        <f t="shared" si="19"/>
        <v/>
      </c>
      <c r="P139" s="32" t="str">
        <f t="shared" si="23"/>
        <v/>
      </c>
      <c r="Q139" s="33" t="str">
        <f t="shared" si="23"/>
        <v/>
      </c>
    </row>
    <row r="140" spans="2:17" x14ac:dyDescent="0.25">
      <c r="B140" s="9">
        <v>127</v>
      </c>
      <c r="C140" s="35">
        <v>44500</v>
      </c>
      <c r="D140" s="3"/>
      <c r="E140" s="9" t="str">
        <f t="shared" si="12"/>
        <v/>
      </c>
      <c r="F140" s="54" t="str">
        <f t="shared" si="21"/>
        <v/>
      </c>
      <c r="G140" s="73" t="str">
        <f t="shared" si="13"/>
        <v/>
      </c>
      <c r="H140" s="56" t="str">
        <f t="shared" si="14"/>
        <v/>
      </c>
      <c r="I140" s="57" t="str">
        <f t="shared" si="15"/>
        <v/>
      </c>
      <c r="J140" s="58" t="str">
        <f t="shared" si="16"/>
        <v/>
      </c>
      <c r="L140" s="31" t="str">
        <f t="shared" si="17"/>
        <v/>
      </c>
      <c r="M140" s="32" t="str">
        <f t="shared" si="22"/>
        <v/>
      </c>
      <c r="N140" s="32" t="str">
        <f t="shared" si="18"/>
        <v/>
      </c>
      <c r="O140" s="32" t="str">
        <f t="shared" si="19"/>
        <v/>
      </c>
      <c r="P140" s="32" t="str">
        <f t="shared" si="23"/>
        <v/>
      </c>
      <c r="Q140" s="33" t="str">
        <f t="shared" si="23"/>
        <v/>
      </c>
    </row>
    <row r="141" spans="2:17" x14ac:dyDescent="0.25">
      <c r="B141" s="9">
        <v>128</v>
      </c>
      <c r="C141" s="35">
        <v>45000</v>
      </c>
      <c r="D141" s="3"/>
      <c r="E141" s="9" t="str">
        <f t="shared" si="12"/>
        <v/>
      </c>
      <c r="F141" s="54" t="str">
        <f t="shared" si="21"/>
        <v/>
      </c>
      <c r="G141" s="73" t="str">
        <f t="shared" si="13"/>
        <v/>
      </c>
      <c r="H141" s="56" t="str">
        <f t="shared" si="14"/>
        <v/>
      </c>
      <c r="I141" s="57" t="str">
        <f t="shared" si="15"/>
        <v/>
      </c>
      <c r="J141" s="58" t="str">
        <f t="shared" si="16"/>
        <v/>
      </c>
      <c r="L141" s="31" t="str">
        <f t="shared" si="17"/>
        <v/>
      </c>
      <c r="M141" s="32" t="str">
        <f t="shared" si="22"/>
        <v/>
      </c>
      <c r="N141" s="32" t="str">
        <f t="shared" si="18"/>
        <v/>
      </c>
      <c r="O141" s="32" t="str">
        <f t="shared" si="19"/>
        <v/>
      </c>
      <c r="P141" s="32" t="str">
        <f t="shared" si="23"/>
        <v/>
      </c>
      <c r="Q141" s="33" t="str">
        <f t="shared" si="23"/>
        <v/>
      </c>
    </row>
    <row r="142" spans="2:17" x14ac:dyDescent="0.25">
      <c r="B142" s="9">
        <v>129</v>
      </c>
      <c r="C142" s="35">
        <v>45500</v>
      </c>
      <c r="D142" s="3"/>
      <c r="E142" s="9" t="str">
        <f t="shared" ref="E142:E203" si="24">IF(L142="","",ROUND(12*C$7/(2*H$7^2+2*H$6*H$7-H$6^2)*L142*1000000,0))</f>
        <v/>
      </c>
      <c r="F142" s="54" t="str">
        <f t="shared" si="21"/>
        <v/>
      </c>
      <c r="G142" s="73" t="str">
        <f t="shared" ref="G142:G203" si="25">IF(L142="","",ROUND(1.5*((N142-O142)*1000*H$7)/(C$6*C$7^2),3))</f>
        <v/>
      </c>
      <c r="H142" s="56" t="str">
        <f t="shared" ref="H142:H203" si="26">IF(L142="","",ROUND(1.5*((N142/2-O142)*1000*H$7)/(C$6*C$7^2),3))</f>
        <v/>
      </c>
      <c r="I142" s="57" t="str">
        <f t="shared" ref="I142:I203" si="27">IF(L142="","",IF(P142&lt;=0,"foute meting",ROUND(0.000001*V$4*SQRT((1000000*Q142)^2+(1000000*P142+V$5*(2*PI()*H$5)^2)^2),0)))</f>
        <v/>
      </c>
      <c r="J142" s="58" t="str">
        <f t="shared" ref="J142:J203" si="28">IF(L142="","",ROUND(ATAN(Q142/P142)/PI()*180,1))</f>
        <v/>
      </c>
      <c r="L142" s="31" t="str">
        <f t="shared" ref="L142:L203" si="29">IF(AG144&lt;=0,"",AG144)</f>
        <v/>
      </c>
      <c r="M142" s="32" t="str">
        <f t="shared" si="22"/>
        <v/>
      </c>
      <c r="N142" s="32" t="str">
        <f t="shared" ref="N142:N203" si="30">IF(AI144="","",AI144)</f>
        <v/>
      </c>
      <c r="O142" s="32" t="str">
        <f t="shared" ref="O142:O203" si="31">IF(AH144="","",AH144)</f>
        <v/>
      </c>
      <c r="P142" s="32" t="str">
        <f t="shared" ref="P142:Q173" si="32">IF(AJ144="","",AJ144)</f>
        <v/>
      </c>
      <c r="Q142" s="33" t="str">
        <f t="shared" si="32"/>
        <v/>
      </c>
    </row>
    <row r="143" spans="2:17" x14ac:dyDescent="0.25">
      <c r="B143" s="9">
        <v>130</v>
      </c>
      <c r="C143" s="35">
        <v>46000</v>
      </c>
      <c r="D143" s="3"/>
      <c r="E143" s="9" t="str">
        <f t="shared" si="24"/>
        <v/>
      </c>
      <c r="F143" s="54" t="str">
        <f t="shared" ref="F143:F203" si="33">IF(L143="","",ABS(ROUND(12*C$7/(2*(H$7/1000)^2+2*(H$6/1000)*(H$7/1000)-(H$6/1000)^2)*(M143-M$14)*1,0)))</f>
        <v/>
      </c>
      <c r="G143" s="73" t="str">
        <f t="shared" si="25"/>
        <v/>
      </c>
      <c r="H143" s="56" t="str">
        <f t="shared" si="26"/>
        <v/>
      </c>
      <c r="I143" s="57" t="str">
        <f t="shared" si="27"/>
        <v/>
      </c>
      <c r="J143" s="58" t="str">
        <f t="shared" si="28"/>
        <v/>
      </c>
      <c r="L143" s="31" t="str">
        <f t="shared" si="29"/>
        <v/>
      </c>
      <c r="M143" s="32" t="str">
        <f t="shared" ref="M143:M203" si="34">IF(AG145="","",AG145/2-AE145)</f>
        <v/>
      </c>
      <c r="N143" s="32" t="str">
        <f t="shared" si="30"/>
        <v/>
      </c>
      <c r="O143" s="32" t="str">
        <f t="shared" si="31"/>
        <v/>
      </c>
      <c r="P143" s="32" t="str">
        <f t="shared" si="32"/>
        <v/>
      </c>
      <c r="Q143" s="33" t="str">
        <f t="shared" si="32"/>
        <v/>
      </c>
    </row>
    <row r="144" spans="2:17" x14ac:dyDescent="0.25">
      <c r="B144" s="9">
        <v>131</v>
      </c>
      <c r="C144" s="35">
        <v>46500</v>
      </c>
      <c r="D144" s="3"/>
      <c r="E144" s="9" t="str">
        <f t="shared" si="24"/>
        <v/>
      </c>
      <c r="F144" s="54" t="str">
        <f t="shared" si="33"/>
        <v/>
      </c>
      <c r="G144" s="73" t="str">
        <f t="shared" si="25"/>
        <v/>
      </c>
      <c r="H144" s="56" t="str">
        <f t="shared" si="26"/>
        <v/>
      </c>
      <c r="I144" s="57" t="str">
        <f t="shared" si="27"/>
        <v/>
      </c>
      <c r="J144" s="58" t="str">
        <f t="shared" si="28"/>
        <v/>
      </c>
      <c r="L144" s="31" t="str">
        <f t="shared" si="29"/>
        <v/>
      </c>
      <c r="M144" s="32" t="str">
        <f t="shared" si="34"/>
        <v/>
      </c>
      <c r="N144" s="32" t="str">
        <f t="shared" si="30"/>
        <v/>
      </c>
      <c r="O144" s="32" t="str">
        <f t="shared" si="31"/>
        <v/>
      </c>
      <c r="P144" s="32" t="str">
        <f t="shared" si="32"/>
        <v/>
      </c>
      <c r="Q144" s="33" t="str">
        <f t="shared" si="32"/>
        <v/>
      </c>
    </row>
    <row r="145" spans="2:17" x14ac:dyDescent="0.25">
      <c r="B145" s="9">
        <v>132</v>
      </c>
      <c r="C145" s="35">
        <v>47000</v>
      </c>
      <c r="D145" s="3"/>
      <c r="E145" s="9" t="str">
        <f t="shared" si="24"/>
        <v/>
      </c>
      <c r="F145" s="54" t="str">
        <f t="shared" si="33"/>
        <v/>
      </c>
      <c r="G145" s="73" t="str">
        <f t="shared" si="25"/>
        <v/>
      </c>
      <c r="H145" s="56" t="str">
        <f t="shared" si="26"/>
        <v/>
      </c>
      <c r="I145" s="57" t="str">
        <f t="shared" si="27"/>
        <v/>
      </c>
      <c r="J145" s="58" t="str">
        <f t="shared" si="28"/>
        <v/>
      </c>
      <c r="L145" s="31" t="str">
        <f t="shared" si="29"/>
        <v/>
      </c>
      <c r="M145" s="32" t="str">
        <f t="shared" si="34"/>
        <v/>
      </c>
      <c r="N145" s="32" t="str">
        <f t="shared" si="30"/>
        <v/>
      </c>
      <c r="O145" s="32" t="str">
        <f t="shared" si="31"/>
        <v/>
      </c>
      <c r="P145" s="32" t="str">
        <f t="shared" si="32"/>
        <v/>
      </c>
      <c r="Q145" s="33" t="str">
        <f t="shared" si="32"/>
        <v/>
      </c>
    </row>
    <row r="146" spans="2:17" x14ac:dyDescent="0.25">
      <c r="B146" s="9">
        <v>133</v>
      </c>
      <c r="C146" s="35">
        <v>47500</v>
      </c>
      <c r="D146" s="3"/>
      <c r="E146" s="9" t="str">
        <f t="shared" si="24"/>
        <v/>
      </c>
      <c r="F146" s="54" t="str">
        <f t="shared" si="33"/>
        <v/>
      </c>
      <c r="G146" s="73" t="str">
        <f t="shared" si="25"/>
        <v/>
      </c>
      <c r="H146" s="56" t="str">
        <f t="shared" si="26"/>
        <v/>
      </c>
      <c r="I146" s="57" t="str">
        <f t="shared" si="27"/>
        <v/>
      </c>
      <c r="J146" s="58" t="str">
        <f t="shared" si="28"/>
        <v/>
      </c>
      <c r="L146" s="31" t="str">
        <f t="shared" si="29"/>
        <v/>
      </c>
      <c r="M146" s="32" t="str">
        <f t="shared" si="34"/>
        <v/>
      </c>
      <c r="N146" s="32" t="str">
        <f t="shared" si="30"/>
        <v/>
      </c>
      <c r="O146" s="32" t="str">
        <f t="shared" si="31"/>
        <v/>
      </c>
      <c r="P146" s="32" t="str">
        <f t="shared" si="32"/>
        <v/>
      </c>
      <c r="Q146" s="33" t="str">
        <f t="shared" si="32"/>
        <v/>
      </c>
    </row>
    <row r="147" spans="2:17" x14ac:dyDescent="0.25">
      <c r="B147" s="9">
        <v>134</v>
      </c>
      <c r="C147" s="35">
        <v>48000</v>
      </c>
      <c r="D147" s="3"/>
      <c r="E147" s="9" t="str">
        <f t="shared" si="24"/>
        <v/>
      </c>
      <c r="F147" s="54" t="str">
        <f t="shared" si="33"/>
        <v/>
      </c>
      <c r="G147" s="73" t="str">
        <f t="shared" si="25"/>
        <v/>
      </c>
      <c r="H147" s="56" t="str">
        <f t="shared" si="26"/>
        <v/>
      </c>
      <c r="I147" s="57" t="str">
        <f t="shared" si="27"/>
        <v/>
      </c>
      <c r="J147" s="58" t="str">
        <f t="shared" si="28"/>
        <v/>
      </c>
      <c r="L147" s="31" t="str">
        <f t="shared" si="29"/>
        <v/>
      </c>
      <c r="M147" s="32" t="str">
        <f t="shared" si="34"/>
        <v/>
      </c>
      <c r="N147" s="32" t="str">
        <f t="shared" si="30"/>
        <v/>
      </c>
      <c r="O147" s="32" t="str">
        <f t="shared" si="31"/>
        <v/>
      </c>
      <c r="P147" s="32" t="str">
        <f t="shared" si="32"/>
        <v/>
      </c>
      <c r="Q147" s="33" t="str">
        <f t="shared" si="32"/>
        <v/>
      </c>
    </row>
    <row r="148" spans="2:17" x14ac:dyDescent="0.25">
      <c r="B148" s="9">
        <v>135</v>
      </c>
      <c r="C148" s="35">
        <v>48500</v>
      </c>
      <c r="D148" s="3"/>
      <c r="E148" s="9" t="str">
        <f t="shared" si="24"/>
        <v/>
      </c>
      <c r="F148" s="54" t="str">
        <f t="shared" si="33"/>
        <v/>
      </c>
      <c r="G148" s="73" t="str">
        <f t="shared" si="25"/>
        <v/>
      </c>
      <c r="H148" s="56" t="str">
        <f t="shared" si="26"/>
        <v/>
      </c>
      <c r="I148" s="57" t="str">
        <f t="shared" si="27"/>
        <v/>
      </c>
      <c r="J148" s="58" t="str">
        <f t="shared" si="28"/>
        <v/>
      </c>
      <c r="L148" s="31" t="str">
        <f t="shared" si="29"/>
        <v/>
      </c>
      <c r="M148" s="32" t="str">
        <f t="shared" si="34"/>
        <v/>
      </c>
      <c r="N148" s="32" t="str">
        <f t="shared" si="30"/>
        <v/>
      </c>
      <c r="O148" s="32" t="str">
        <f t="shared" si="31"/>
        <v/>
      </c>
      <c r="P148" s="32" t="str">
        <f t="shared" si="32"/>
        <v/>
      </c>
      <c r="Q148" s="33" t="str">
        <f t="shared" si="32"/>
        <v/>
      </c>
    </row>
    <row r="149" spans="2:17" x14ac:dyDescent="0.25">
      <c r="B149" s="9">
        <v>136</v>
      </c>
      <c r="C149" s="35">
        <v>49000</v>
      </c>
      <c r="D149" s="3"/>
      <c r="E149" s="9" t="str">
        <f t="shared" si="24"/>
        <v/>
      </c>
      <c r="F149" s="54" t="str">
        <f t="shared" si="33"/>
        <v/>
      </c>
      <c r="G149" s="73" t="str">
        <f t="shared" si="25"/>
        <v/>
      </c>
      <c r="H149" s="56" t="str">
        <f t="shared" si="26"/>
        <v/>
      </c>
      <c r="I149" s="57" t="str">
        <f t="shared" si="27"/>
        <v/>
      </c>
      <c r="J149" s="58" t="str">
        <f t="shared" si="28"/>
        <v/>
      </c>
      <c r="L149" s="31" t="str">
        <f t="shared" si="29"/>
        <v/>
      </c>
      <c r="M149" s="32" t="str">
        <f t="shared" si="34"/>
        <v/>
      </c>
      <c r="N149" s="32" t="str">
        <f t="shared" si="30"/>
        <v/>
      </c>
      <c r="O149" s="32" t="str">
        <f t="shared" si="31"/>
        <v/>
      </c>
      <c r="P149" s="32" t="str">
        <f t="shared" si="32"/>
        <v/>
      </c>
      <c r="Q149" s="33" t="str">
        <f t="shared" si="32"/>
        <v/>
      </c>
    </row>
    <row r="150" spans="2:17" x14ac:dyDescent="0.25">
      <c r="B150" s="9">
        <v>137</v>
      </c>
      <c r="C150" s="35">
        <v>49500</v>
      </c>
      <c r="D150" s="3"/>
      <c r="E150" s="9" t="str">
        <f t="shared" si="24"/>
        <v/>
      </c>
      <c r="F150" s="54" t="str">
        <f t="shared" si="33"/>
        <v/>
      </c>
      <c r="G150" s="73" t="str">
        <f t="shared" si="25"/>
        <v/>
      </c>
      <c r="H150" s="56" t="str">
        <f t="shared" si="26"/>
        <v/>
      </c>
      <c r="I150" s="57" t="str">
        <f t="shared" si="27"/>
        <v/>
      </c>
      <c r="J150" s="58" t="str">
        <f t="shared" si="28"/>
        <v/>
      </c>
      <c r="L150" s="31" t="str">
        <f t="shared" si="29"/>
        <v/>
      </c>
      <c r="M150" s="32" t="str">
        <f t="shared" si="34"/>
        <v/>
      </c>
      <c r="N150" s="32" t="str">
        <f t="shared" si="30"/>
        <v/>
      </c>
      <c r="O150" s="32" t="str">
        <f t="shared" si="31"/>
        <v/>
      </c>
      <c r="P150" s="32" t="str">
        <f t="shared" si="32"/>
        <v/>
      </c>
      <c r="Q150" s="33" t="str">
        <f t="shared" si="32"/>
        <v/>
      </c>
    </row>
    <row r="151" spans="2:17" x14ac:dyDescent="0.25">
      <c r="B151" s="9">
        <v>138</v>
      </c>
      <c r="C151" s="35">
        <v>50000</v>
      </c>
      <c r="D151" s="3"/>
      <c r="E151" s="9" t="str">
        <f t="shared" si="24"/>
        <v/>
      </c>
      <c r="F151" s="54" t="str">
        <f t="shared" si="33"/>
        <v/>
      </c>
      <c r="G151" s="73" t="str">
        <f t="shared" si="25"/>
        <v/>
      </c>
      <c r="H151" s="56" t="str">
        <f t="shared" si="26"/>
        <v/>
      </c>
      <c r="I151" s="57" t="str">
        <f t="shared" si="27"/>
        <v/>
      </c>
      <c r="J151" s="58" t="str">
        <f t="shared" si="28"/>
        <v/>
      </c>
      <c r="L151" s="31" t="str">
        <f t="shared" si="29"/>
        <v/>
      </c>
      <c r="M151" s="32" t="str">
        <f t="shared" si="34"/>
        <v/>
      </c>
      <c r="N151" s="32" t="str">
        <f t="shared" si="30"/>
        <v/>
      </c>
      <c r="O151" s="32" t="str">
        <f t="shared" si="31"/>
        <v/>
      </c>
      <c r="P151" s="32" t="str">
        <f t="shared" si="32"/>
        <v/>
      </c>
      <c r="Q151" s="33" t="str">
        <f t="shared" si="32"/>
        <v/>
      </c>
    </row>
    <row r="152" spans="2:17" x14ac:dyDescent="0.25">
      <c r="B152" s="9">
        <v>139</v>
      </c>
      <c r="C152" s="35">
        <v>51000</v>
      </c>
      <c r="D152" s="3"/>
      <c r="E152" s="9" t="str">
        <f t="shared" si="24"/>
        <v/>
      </c>
      <c r="F152" s="54" t="str">
        <f t="shared" si="33"/>
        <v/>
      </c>
      <c r="G152" s="73" t="str">
        <f t="shared" si="25"/>
        <v/>
      </c>
      <c r="H152" s="56" t="str">
        <f t="shared" si="26"/>
        <v/>
      </c>
      <c r="I152" s="57" t="str">
        <f t="shared" si="27"/>
        <v/>
      </c>
      <c r="J152" s="58" t="str">
        <f t="shared" si="28"/>
        <v/>
      </c>
      <c r="L152" s="31" t="str">
        <f t="shared" si="29"/>
        <v/>
      </c>
      <c r="M152" s="32" t="str">
        <f t="shared" si="34"/>
        <v/>
      </c>
      <c r="N152" s="32" t="str">
        <f t="shared" si="30"/>
        <v/>
      </c>
      <c r="O152" s="32" t="str">
        <f t="shared" si="31"/>
        <v/>
      </c>
      <c r="P152" s="32" t="str">
        <f t="shared" si="32"/>
        <v/>
      </c>
      <c r="Q152" s="33" t="str">
        <f t="shared" si="32"/>
        <v/>
      </c>
    </row>
    <row r="153" spans="2:17" x14ac:dyDescent="0.25">
      <c r="B153" s="9">
        <v>140</v>
      </c>
      <c r="C153" s="35">
        <v>52000</v>
      </c>
      <c r="D153" s="3"/>
      <c r="E153" s="9" t="str">
        <f t="shared" si="24"/>
        <v/>
      </c>
      <c r="F153" s="54" t="str">
        <f t="shared" si="33"/>
        <v/>
      </c>
      <c r="G153" s="73" t="str">
        <f t="shared" si="25"/>
        <v/>
      </c>
      <c r="H153" s="56" t="str">
        <f t="shared" si="26"/>
        <v/>
      </c>
      <c r="I153" s="57" t="str">
        <f t="shared" si="27"/>
        <v/>
      </c>
      <c r="J153" s="58" t="str">
        <f t="shared" si="28"/>
        <v/>
      </c>
      <c r="L153" s="31" t="str">
        <f t="shared" si="29"/>
        <v/>
      </c>
      <c r="M153" s="32" t="str">
        <f t="shared" si="34"/>
        <v/>
      </c>
      <c r="N153" s="32" t="str">
        <f t="shared" si="30"/>
        <v/>
      </c>
      <c r="O153" s="32" t="str">
        <f t="shared" si="31"/>
        <v/>
      </c>
      <c r="P153" s="32" t="str">
        <f t="shared" si="32"/>
        <v/>
      </c>
      <c r="Q153" s="33" t="str">
        <f t="shared" si="32"/>
        <v/>
      </c>
    </row>
    <row r="154" spans="2:17" x14ac:dyDescent="0.25">
      <c r="B154" s="9">
        <v>141</v>
      </c>
      <c r="C154" s="35">
        <v>53000</v>
      </c>
      <c r="D154" s="3"/>
      <c r="E154" s="9" t="str">
        <f t="shared" si="24"/>
        <v/>
      </c>
      <c r="F154" s="54" t="str">
        <f t="shared" si="33"/>
        <v/>
      </c>
      <c r="G154" s="73" t="str">
        <f t="shared" si="25"/>
        <v/>
      </c>
      <c r="H154" s="56" t="str">
        <f t="shared" si="26"/>
        <v/>
      </c>
      <c r="I154" s="57" t="str">
        <f t="shared" si="27"/>
        <v/>
      </c>
      <c r="J154" s="58" t="str">
        <f t="shared" si="28"/>
        <v/>
      </c>
      <c r="L154" s="31" t="str">
        <f t="shared" si="29"/>
        <v/>
      </c>
      <c r="M154" s="32" t="str">
        <f t="shared" si="34"/>
        <v/>
      </c>
      <c r="N154" s="32" t="str">
        <f t="shared" si="30"/>
        <v/>
      </c>
      <c r="O154" s="32" t="str">
        <f t="shared" si="31"/>
        <v/>
      </c>
      <c r="P154" s="32" t="str">
        <f t="shared" si="32"/>
        <v/>
      </c>
      <c r="Q154" s="33" t="str">
        <f t="shared" si="32"/>
        <v/>
      </c>
    </row>
    <row r="155" spans="2:17" x14ac:dyDescent="0.25">
      <c r="B155" s="9">
        <v>142</v>
      </c>
      <c r="C155" s="35">
        <v>54000</v>
      </c>
      <c r="D155" s="3"/>
      <c r="E155" s="9" t="str">
        <f t="shared" si="24"/>
        <v/>
      </c>
      <c r="F155" s="54" t="str">
        <f t="shared" si="33"/>
        <v/>
      </c>
      <c r="G155" s="73" t="str">
        <f t="shared" si="25"/>
        <v/>
      </c>
      <c r="H155" s="56" t="str">
        <f t="shared" si="26"/>
        <v/>
      </c>
      <c r="I155" s="57" t="str">
        <f t="shared" si="27"/>
        <v/>
      </c>
      <c r="J155" s="58" t="str">
        <f t="shared" si="28"/>
        <v/>
      </c>
      <c r="L155" s="31" t="str">
        <f t="shared" si="29"/>
        <v/>
      </c>
      <c r="M155" s="32" t="str">
        <f t="shared" si="34"/>
        <v/>
      </c>
      <c r="N155" s="32" t="str">
        <f t="shared" si="30"/>
        <v/>
      </c>
      <c r="O155" s="32" t="str">
        <f t="shared" si="31"/>
        <v/>
      </c>
      <c r="P155" s="32" t="str">
        <f t="shared" si="32"/>
        <v/>
      </c>
      <c r="Q155" s="33" t="str">
        <f t="shared" si="32"/>
        <v/>
      </c>
    </row>
    <row r="156" spans="2:17" x14ac:dyDescent="0.25">
      <c r="B156" s="9">
        <v>143</v>
      </c>
      <c r="C156" s="35">
        <v>55000</v>
      </c>
      <c r="D156" s="3"/>
      <c r="E156" s="9" t="str">
        <f t="shared" si="24"/>
        <v/>
      </c>
      <c r="F156" s="54" t="str">
        <f t="shared" si="33"/>
        <v/>
      </c>
      <c r="G156" s="73" t="str">
        <f t="shared" si="25"/>
        <v/>
      </c>
      <c r="H156" s="56" t="str">
        <f t="shared" si="26"/>
        <v/>
      </c>
      <c r="I156" s="57" t="str">
        <f t="shared" si="27"/>
        <v/>
      </c>
      <c r="J156" s="58" t="str">
        <f t="shared" si="28"/>
        <v/>
      </c>
      <c r="L156" s="31" t="str">
        <f t="shared" si="29"/>
        <v/>
      </c>
      <c r="M156" s="32" t="str">
        <f t="shared" si="34"/>
        <v/>
      </c>
      <c r="N156" s="32" t="str">
        <f t="shared" si="30"/>
        <v/>
      </c>
      <c r="O156" s="32" t="str">
        <f t="shared" si="31"/>
        <v/>
      </c>
      <c r="P156" s="32" t="str">
        <f t="shared" si="32"/>
        <v/>
      </c>
      <c r="Q156" s="33" t="str">
        <f t="shared" si="32"/>
        <v/>
      </c>
    </row>
    <row r="157" spans="2:17" x14ac:dyDescent="0.25">
      <c r="B157" s="9">
        <v>144</v>
      </c>
      <c r="C157" s="35">
        <v>56000</v>
      </c>
      <c r="D157" s="3"/>
      <c r="E157" s="9" t="str">
        <f t="shared" si="24"/>
        <v/>
      </c>
      <c r="F157" s="54" t="str">
        <f t="shared" si="33"/>
        <v/>
      </c>
      <c r="G157" s="73" t="str">
        <f t="shared" si="25"/>
        <v/>
      </c>
      <c r="H157" s="56" t="str">
        <f t="shared" si="26"/>
        <v/>
      </c>
      <c r="I157" s="57" t="str">
        <f t="shared" si="27"/>
        <v/>
      </c>
      <c r="J157" s="58" t="str">
        <f t="shared" si="28"/>
        <v/>
      </c>
      <c r="L157" s="31" t="str">
        <f t="shared" si="29"/>
        <v/>
      </c>
      <c r="M157" s="32" t="str">
        <f t="shared" si="34"/>
        <v/>
      </c>
      <c r="N157" s="32" t="str">
        <f t="shared" si="30"/>
        <v/>
      </c>
      <c r="O157" s="32" t="str">
        <f t="shared" si="31"/>
        <v/>
      </c>
      <c r="P157" s="32" t="str">
        <f t="shared" si="32"/>
        <v/>
      </c>
      <c r="Q157" s="33" t="str">
        <f t="shared" si="32"/>
        <v/>
      </c>
    </row>
    <row r="158" spans="2:17" x14ac:dyDescent="0.25">
      <c r="B158" s="9">
        <v>145</v>
      </c>
      <c r="C158" s="35">
        <v>57000</v>
      </c>
      <c r="D158" s="3"/>
      <c r="E158" s="9" t="str">
        <f t="shared" si="24"/>
        <v/>
      </c>
      <c r="F158" s="54" t="str">
        <f t="shared" si="33"/>
        <v/>
      </c>
      <c r="G158" s="73" t="str">
        <f t="shared" si="25"/>
        <v/>
      </c>
      <c r="H158" s="56" t="str">
        <f t="shared" si="26"/>
        <v/>
      </c>
      <c r="I158" s="57" t="str">
        <f t="shared" si="27"/>
        <v/>
      </c>
      <c r="J158" s="58" t="str">
        <f t="shared" si="28"/>
        <v/>
      </c>
      <c r="L158" s="31" t="str">
        <f t="shared" si="29"/>
        <v/>
      </c>
      <c r="M158" s="32" t="str">
        <f t="shared" si="34"/>
        <v/>
      </c>
      <c r="N158" s="32" t="str">
        <f t="shared" si="30"/>
        <v/>
      </c>
      <c r="O158" s="32" t="str">
        <f t="shared" si="31"/>
        <v/>
      </c>
      <c r="P158" s="32" t="str">
        <f t="shared" si="32"/>
        <v/>
      </c>
      <c r="Q158" s="33" t="str">
        <f t="shared" si="32"/>
        <v/>
      </c>
    </row>
    <row r="159" spans="2:17" x14ac:dyDescent="0.25">
      <c r="B159" s="9">
        <v>146</v>
      </c>
      <c r="C159" s="35">
        <v>58000</v>
      </c>
      <c r="D159" s="3"/>
      <c r="E159" s="9" t="str">
        <f t="shared" si="24"/>
        <v/>
      </c>
      <c r="F159" s="54" t="str">
        <f t="shared" si="33"/>
        <v/>
      </c>
      <c r="G159" s="73" t="str">
        <f t="shared" si="25"/>
        <v/>
      </c>
      <c r="H159" s="56" t="str">
        <f t="shared" si="26"/>
        <v/>
      </c>
      <c r="I159" s="57" t="str">
        <f t="shared" si="27"/>
        <v/>
      </c>
      <c r="J159" s="58" t="str">
        <f t="shared" si="28"/>
        <v/>
      </c>
      <c r="L159" s="31" t="str">
        <f t="shared" si="29"/>
        <v/>
      </c>
      <c r="M159" s="32" t="str">
        <f t="shared" si="34"/>
        <v/>
      </c>
      <c r="N159" s="32" t="str">
        <f t="shared" si="30"/>
        <v/>
      </c>
      <c r="O159" s="32" t="str">
        <f t="shared" si="31"/>
        <v/>
      </c>
      <c r="P159" s="32" t="str">
        <f t="shared" si="32"/>
        <v/>
      </c>
      <c r="Q159" s="33" t="str">
        <f t="shared" si="32"/>
        <v/>
      </c>
    </row>
    <row r="160" spans="2:17" x14ac:dyDescent="0.25">
      <c r="B160" s="9">
        <v>147</v>
      </c>
      <c r="C160" s="35">
        <v>59000</v>
      </c>
      <c r="D160" s="3"/>
      <c r="E160" s="9" t="str">
        <f t="shared" si="24"/>
        <v/>
      </c>
      <c r="F160" s="54" t="str">
        <f t="shared" si="33"/>
        <v/>
      </c>
      <c r="G160" s="73" t="str">
        <f t="shared" si="25"/>
        <v/>
      </c>
      <c r="H160" s="56" t="str">
        <f t="shared" si="26"/>
        <v/>
      </c>
      <c r="I160" s="57" t="str">
        <f t="shared" si="27"/>
        <v/>
      </c>
      <c r="J160" s="58" t="str">
        <f t="shared" si="28"/>
        <v/>
      </c>
      <c r="L160" s="31" t="str">
        <f t="shared" si="29"/>
        <v/>
      </c>
      <c r="M160" s="32" t="str">
        <f t="shared" si="34"/>
        <v/>
      </c>
      <c r="N160" s="32" t="str">
        <f t="shared" si="30"/>
        <v/>
      </c>
      <c r="O160" s="32" t="str">
        <f t="shared" si="31"/>
        <v/>
      </c>
      <c r="P160" s="32" t="str">
        <f t="shared" si="32"/>
        <v/>
      </c>
      <c r="Q160" s="33" t="str">
        <f t="shared" si="32"/>
        <v/>
      </c>
    </row>
    <row r="161" spans="2:17" x14ac:dyDescent="0.25">
      <c r="B161" s="9">
        <v>148</v>
      </c>
      <c r="C161" s="35">
        <v>60000</v>
      </c>
      <c r="D161" s="3"/>
      <c r="E161" s="9" t="str">
        <f t="shared" si="24"/>
        <v/>
      </c>
      <c r="F161" s="54" t="str">
        <f t="shared" si="33"/>
        <v/>
      </c>
      <c r="G161" s="73" t="str">
        <f t="shared" si="25"/>
        <v/>
      </c>
      <c r="H161" s="56" t="str">
        <f t="shared" si="26"/>
        <v/>
      </c>
      <c r="I161" s="57" t="str">
        <f t="shared" si="27"/>
        <v/>
      </c>
      <c r="J161" s="58" t="str">
        <f t="shared" si="28"/>
        <v/>
      </c>
      <c r="L161" s="31" t="str">
        <f t="shared" si="29"/>
        <v/>
      </c>
      <c r="M161" s="32" t="str">
        <f t="shared" si="34"/>
        <v/>
      </c>
      <c r="N161" s="32" t="str">
        <f t="shared" si="30"/>
        <v/>
      </c>
      <c r="O161" s="32" t="str">
        <f t="shared" si="31"/>
        <v/>
      </c>
      <c r="P161" s="32" t="str">
        <f t="shared" si="32"/>
        <v/>
      </c>
      <c r="Q161" s="33" t="str">
        <f t="shared" si="32"/>
        <v/>
      </c>
    </row>
    <row r="162" spans="2:17" x14ac:dyDescent="0.25">
      <c r="B162" s="9">
        <v>149</v>
      </c>
      <c r="C162" s="35">
        <v>62000</v>
      </c>
      <c r="D162" s="3"/>
      <c r="E162" s="9" t="str">
        <f t="shared" si="24"/>
        <v/>
      </c>
      <c r="F162" s="54" t="str">
        <f t="shared" si="33"/>
        <v/>
      </c>
      <c r="G162" s="73" t="str">
        <f t="shared" si="25"/>
        <v/>
      </c>
      <c r="H162" s="56" t="str">
        <f t="shared" si="26"/>
        <v/>
      </c>
      <c r="I162" s="57" t="str">
        <f t="shared" si="27"/>
        <v/>
      </c>
      <c r="J162" s="58" t="str">
        <f t="shared" si="28"/>
        <v/>
      </c>
      <c r="L162" s="31" t="str">
        <f t="shared" si="29"/>
        <v/>
      </c>
      <c r="M162" s="32" t="str">
        <f t="shared" si="34"/>
        <v/>
      </c>
      <c r="N162" s="32" t="str">
        <f t="shared" si="30"/>
        <v/>
      </c>
      <c r="O162" s="32" t="str">
        <f t="shared" si="31"/>
        <v/>
      </c>
      <c r="P162" s="32" t="str">
        <f t="shared" si="32"/>
        <v/>
      </c>
      <c r="Q162" s="33" t="str">
        <f t="shared" si="32"/>
        <v/>
      </c>
    </row>
    <row r="163" spans="2:17" x14ac:dyDescent="0.25">
      <c r="B163" s="9">
        <v>150</v>
      </c>
      <c r="C163" s="35">
        <v>64000</v>
      </c>
      <c r="D163" s="2"/>
      <c r="E163" s="9" t="str">
        <f t="shared" si="24"/>
        <v/>
      </c>
      <c r="F163" s="54" t="str">
        <f t="shared" si="33"/>
        <v/>
      </c>
      <c r="G163" s="73" t="str">
        <f t="shared" si="25"/>
        <v/>
      </c>
      <c r="H163" s="56" t="str">
        <f t="shared" si="26"/>
        <v/>
      </c>
      <c r="I163" s="57" t="str">
        <f t="shared" si="27"/>
        <v/>
      </c>
      <c r="J163" s="58" t="str">
        <f t="shared" si="28"/>
        <v/>
      </c>
      <c r="L163" s="31" t="str">
        <f t="shared" si="29"/>
        <v/>
      </c>
      <c r="M163" s="32" t="str">
        <f t="shared" si="34"/>
        <v/>
      </c>
      <c r="N163" s="32" t="str">
        <f t="shared" si="30"/>
        <v/>
      </c>
      <c r="O163" s="32" t="str">
        <f t="shared" si="31"/>
        <v/>
      </c>
      <c r="P163" s="32" t="str">
        <f t="shared" si="32"/>
        <v/>
      </c>
      <c r="Q163" s="33" t="str">
        <f t="shared" si="32"/>
        <v/>
      </c>
    </row>
    <row r="164" spans="2:17" x14ac:dyDescent="0.25">
      <c r="B164" s="9">
        <v>151</v>
      </c>
      <c r="C164" s="35">
        <v>68000</v>
      </c>
      <c r="D164" s="2"/>
      <c r="E164" s="9" t="str">
        <f t="shared" si="24"/>
        <v/>
      </c>
      <c r="F164" s="54" t="str">
        <f t="shared" si="33"/>
        <v/>
      </c>
      <c r="G164" s="73" t="str">
        <f t="shared" si="25"/>
        <v/>
      </c>
      <c r="H164" s="56" t="str">
        <f t="shared" si="26"/>
        <v/>
      </c>
      <c r="I164" s="57" t="str">
        <f t="shared" si="27"/>
        <v/>
      </c>
      <c r="J164" s="58" t="str">
        <f t="shared" si="28"/>
        <v/>
      </c>
      <c r="L164" s="31" t="str">
        <f t="shared" si="29"/>
        <v/>
      </c>
      <c r="M164" s="32" t="str">
        <f t="shared" si="34"/>
        <v/>
      </c>
      <c r="N164" s="32" t="str">
        <f t="shared" si="30"/>
        <v/>
      </c>
      <c r="O164" s="32" t="str">
        <f t="shared" si="31"/>
        <v/>
      </c>
      <c r="P164" s="32" t="str">
        <f t="shared" si="32"/>
        <v/>
      </c>
      <c r="Q164" s="33" t="str">
        <f t="shared" si="32"/>
        <v/>
      </c>
    </row>
    <row r="165" spans="2:17" x14ac:dyDescent="0.25">
      <c r="B165" s="9">
        <v>152</v>
      </c>
      <c r="C165" s="35">
        <v>68000</v>
      </c>
      <c r="D165" s="2"/>
      <c r="E165" s="9" t="str">
        <f t="shared" si="24"/>
        <v/>
      </c>
      <c r="F165" s="54" t="str">
        <f t="shared" si="33"/>
        <v/>
      </c>
      <c r="G165" s="73" t="str">
        <f t="shared" si="25"/>
        <v/>
      </c>
      <c r="H165" s="56" t="str">
        <f t="shared" si="26"/>
        <v/>
      </c>
      <c r="I165" s="57" t="str">
        <f t="shared" si="27"/>
        <v/>
      </c>
      <c r="J165" s="58" t="str">
        <f t="shared" si="28"/>
        <v/>
      </c>
      <c r="L165" s="31" t="str">
        <f t="shared" si="29"/>
        <v/>
      </c>
      <c r="M165" s="32" t="str">
        <f t="shared" si="34"/>
        <v/>
      </c>
      <c r="N165" s="32" t="str">
        <f t="shared" si="30"/>
        <v/>
      </c>
      <c r="O165" s="32" t="str">
        <f t="shared" si="31"/>
        <v/>
      </c>
      <c r="P165" s="32" t="str">
        <f t="shared" si="32"/>
        <v/>
      </c>
      <c r="Q165" s="33" t="str">
        <f t="shared" si="32"/>
        <v/>
      </c>
    </row>
    <row r="166" spans="2:17" x14ac:dyDescent="0.25">
      <c r="B166" s="9">
        <v>153</v>
      </c>
      <c r="C166" s="35">
        <v>70000</v>
      </c>
      <c r="D166" s="2"/>
      <c r="E166" s="9" t="str">
        <f t="shared" si="24"/>
        <v/>
      </c>
      <c r="F166" s="54" t="str">
        <f t="shared" si="33"/>
        <v/>
      </c>
      <c r="G166" s="73" t="str">
        <f t="shared" si="25"/>
        <v/>
      </c>
      <c r="H166" s="56" t="str">
        <f t="shared" si="26"/>
        <v/>
      </c>
      <c r="I166" s="57" t="str">
        <f t="shared" si="27"/>
        <v/>
      </c>
      <c r="J166" s="58" t="str">
        <f t="shared" si="28"/>
        <v/>
      </c>
      <c r="L166" s="31" t="str">
        <f t="shared" si="29"/>
        <v/>
      </c>
      <c r="M166" s="32" t="str">
        <f t="shared" si="34"/>
        <v/>
      </c>
      <c r="N166" s="32" t="str">
        <f t="shared" si="30"/>
        <v/>
      </c>
      <c r="O166" s="32" t="str">
        <f t="shared" si="31"/>
        <v/>
      </c>
      <c r="P166" s="32" t="str">
        <f t="shared" si="32"/>
        <v/>
      </c>
      <c r="Q166" s="33" t="str">
        <f t="shared" si="32"/>
        <v/>
      </c>
    </row>
    <row r="167" spans="2:17" x14ac:dyDescent="0.25">
      <c r="B167" s="9">
        <v>154</v>
      </c>
      <c r="C167" s="35">
        <v>72000</v>
      </c>
      <c r="D167" s="2"/>
      <c r="E167" s="9" t="str">
        <f t="shared" si="24"/>
        <v/>
      </c>
      <c r="F167" s="54" t="str">
        <f t="shared" si="33"/>
        <v/>
      </c>
      <c r="G167" s="73" t="str">
        <f t="shared" si="25"/>
        <v/>
      </c>
      <c r="H167" s="56" t="str">
        <f t="shared" si="26"/>
        <v/>
      </c>
      <c r="I167" s="57" t="str">
        <f t="shared" si="27"/>
        <v/>
      </c>
      <c r="J167" s="58" t="str">
        <f t="shared" si="28"/>
        <v/>
      </c>
      <c r="L167" s="31" t="str">
        <f t="shared" si="29"/>
        <v/>
      </c>
      <c r="M167" s="32" t="str">
        <f t="shared" si="34"/>
        <v/>
      </c>
      <c r="N167" s="32" t="str">
        <f t="shared" si="30"/>
        <v/>
      </c>
      <c r="O167" s="32" t="str">
        <f t="shared" si="31"/>
        <v/>
      </c>
      <c r="P167" s="32" t="str">
        <f t="shared" si="32"/>
        <v/>
      </c>
      <c r="Q167" s="33" t="str">
        <f t="shared" si="32"/>
        <v/>
      </c>
    </row>
    <row r="168" spans="2:17" x14ac:dyDescent="0.25">
      <c r="B168" s="9">
        <v>155</v>
      </c>
      <c r="C168" s="35">
        <v>74000</v>
      </c>
      <c r="D168" s="2"/>
      <c r="E168" s="9" t="str">
        <f t="shared" si="24"/>
        <v/>
      </c>
      <c r="F168" s="54" t="str">
        <f t="shared" si="33"/>
        <v/>
      </c>
      <c r="G168" s="73" t="str">
        <f t="shared" si="25"/>
        <v/>
      </c>
      <c r="H168" s="56" t="str">
        <f t="shared" si="26"/>
        <v/>
      </c>
      <c r="I168" s="57" t="str">
        <f t="shared" si="27"/>
        <v/>
      </c>
      <c r="J168" s="58" t="str">
        <f t="shared" si="28"/>
        <v/>
      </c>
      <c r="L168" s="31" t="str">
        <f t="shared" si="29"/>
        <v/>
      </c>
      <c r="M168" s="32" t="str">
        <f t="shared" si="34"/>
        <v/>
      </c>
      <c r="N168" s="32" t="str">
        <f t="shared" si="30"/>
        <v/>
      </c>
      <c r="O168" s="32" t="str">
        <f t="shared" si="31"/>
        <v/>
      </c>
      <c r="P168" s="32" t="str">
        <f t="shared" si="32"/>
        <v/>
      </c>
      <c r="Q168" s="33" t="str">
        <f t="shared" si="32"/>
        <v/>
      </c>
    </row>
    <row r="169" spans="2:17" x14ac:dyDescent="0.25">
      <c r="B169" s="9">
        <v>156</v>
      </c>
      <c r="C169" s="35">
        <v>76000</v>
      </c>
      <c r="D169" s="2"/>
      <c r="E169" s="9" t="str">
        <f t="shared" si="24"/>
        <v/>
      </c>
      <c r="F169" s="54" t="str">
        <f t="shared" si="33"/>
        <v/>
      </c>
      <c r="G169" s="73" t="str">
        <f t="shared" si="25"/>
        <v/>
      </c>
      <c r="H169" s="56" t="str">
        <f t="shared" si="26"/>
        <v/>
      </c>
      <c r="I169" s="57" t="str">
        <f t="shared" si="27"/>
        <v/>
      </c>
      <c r="J169" s="58" t="str">
        <f t="shared" si="28"/>
        <v/>
      </c>
      <c r="L169" s="31" t="str">
        <f t="shared" si="29"/>
        <v/>
      </c>
      <c r="M169" s="32" t="str">
        <f t="shared" si="34"/>
        <v/>
      </c>
      <c r="N169" s="32" t="str">
        <f t="shared" si="30"/>
        <v/>
      </c>
      <c r="O169" s="32" t="str">
        <f t="shared" si="31"/>
        <v/>
      </c>
      <c r="P169" s="32" t="str">
        <f t="shared" si="32"/>
        <v/>
      </c>
      <c r="Q169" s="33" t="str">
        <f t="shared" si="32"/>
        <v/>
      </c>
    </row>
    <row r="170" spans="2:17" x14ac:dyDescent="0.25">
      <c r="B170" s="9">
        <v>157</v>
      </c>
      <c r="C170" s="35">
        <v>78000</v>
      </c>
      <c r="D170" s="2"/>
      <c r="E170" s="9" t="str">
        <f t="shared" si="24"/>
        <v/>
      </c>
      <c r="F170" s="54" t="str">
        <f t="shared" si="33"/>
        <v/>
      </c>
      <c r="G170" s="73" t="str">
        <f t="shared" si="25"/>
        <v/>
      </c>
      <c r="H170" s="56" t="str">
        <f t="shared" si="26"/>
        <v/>
      </c>
      <c r="I170" s="57" t="str">
        <f t="shared" si="27"/>
        <v/>
      </c>
      <c r="J170" s="58" t="str">
        <f t="shared" si="28"/>
        <v/>
      </c>
      <c r="L170" s="31" t="str">
        <f t="shared" si="29"/>
        <v/>
      </c>
      <c r="M170" s="32" t="str">
        <f t="shared" si="34"/>
        <v/>
      </c>
      <c r="N170" s="32" t="str">
        <f t="shared" si="30"/>
        <v/>
      </c>
      <c r="O170" s="32" t="str">
        <f t="shared" si="31"/>
        <v/>
      </c>
      <c r="P170" s="32" t="str">
        <f t="shared" si="32"/>
        <v/>
      </c>
      <c r="Q170" s="33" t="str">
        <f t="shared" si="32"/>
        <v/>
      </c>
    </row>
    <row r="171" spans="2:17" x14ac:dyDescent="0.25">
      <c r="B171" s="9">
        <v>158</v>
      </c>
      <c r="C171" s="35">
        <v>80000</v>
      </c>
      <c r="D171" s="2"/>
      <c r="E171" s="9" t="str">
        <f t="shared" si="24"/>
        <v/>
      </c>
      <c r="F171" s="54" t="str">
        <f t="shared" si="33"/>
        <v/>
      </c>
      <c r="G171" s="73" t="str">
        <f t="shared" si="25"/>
        <v/>
      </c>
      <c r="H171" s="56" t="str">
        <f t="shared" si="26"/>
        <v/>
      </c>
      <c r="I171" s="57" t="str">
        <f t="shared" si="27"/>
        <v/>
      </c>
      <c r="J171" s="58" t="str">
        <f t="shared" si="28"/>
        <v/>
      </c>
      <c r="L171" s="31" t="str">
        <f t="shared" si="29"/>
        <v/>
      </c>
      <c r="M171" s="32" t="str">
        <f t="shared" si="34"/>
        <v/>
      </c>
      <c r="N171" s="32" t="str">
        <f t="shared" si="30"/>
        <v/>
      </c>
      <c r="O171" s="32" t="str">
        <f t="shared" si="31"/>
        <v/>
      </c>
      <c r="P171" s="32" t="str">
        <f t="shared" si="32"/>
        <v/>
      </c>
      <c r="Q171" s="33" t="str">
        <f t="shared" si="32"/>
        <v/>
      </c>
    </row>
    <row r="172" spans="2:17" x14ac:dyDescent="0.25">
      <c r="B172" s="9">
        <v>159</v>
      </c>
      <c r="C172" s="35">
        <v>82000</v>
      </c>
      <c r="D172" s="2"/>
      <c r="E172" s="9" t="str">
        <f t="shared" si="24"/>
        <v/>
      </c>
      <c r="F172" s="54" t="str">
        <f t="shared" si="33"/>
        <v/>
      </c>
      <c r="G172" s="73" t="str">
        <f t="shared" si="25"/>
        <v/>
      </c>
      <c r="H172" s="56" t="str">
        <f t="shared" si="26"/>
        <v/>
      </c>
      <c r="I172" s="57" t="str">
        <f t="shared" si="27"/>
        <v/>
      </c>
      <c r="J172" s="58" t="str">
        <f t="shared" si="28"/>
        <v/>
      </c>
      <c r="L172" s="31" t="str">
        <f t="shared" si="29"/>
        <v/>
      </c>
      <c r="M172" s="32" t="str">
        <f t="shared" si="34"/>
        <v/>
      </c>
      <c r="N172" s="32" t="str">
        <f t="shared" si="30"/>
        <v/>
      </c>
      <c r="O172" s="32" t="str">
        <f t="shared" si="31"/>
        <v/>
      </c>
      <c r="P172" s="32" t="str">
        <f t="shared" si="32"/>
        <v/>
      </c>
      <c r="Q172" s="33" t="str">
        <f t="shared" si="32"/>
        <v/>
      </c>
    </row>
    <row r="173" spans="2:17" x14ac:dyDescent="0.25">
      <c r="B173" s="9">
        <v>160</v>
      </c>
      <c r="C173" s="35">
        <v>84000</v>
      </c>
      <c r="D173" s="2"/>
      <c r="E173" s="9" t="str">
        <f t="shared" si="24"/>
        <v/>
      </c>
      <c r="F173" s="54" t="str">
        <f t="shared" si="33"/>
        <v/>
      </c>
      <c r="G173" s="73" t="str">
        <f t="shared" si="25"/>
        <v/>
      </c>
      <c r="H173" s="56" t="str">
        <f t="shared" si="26"/>
        <v/>
      </c>
      <c r="I173" s="57" t="str">
        <f t="shared" si="27"/>
        <v/>
      </c>
      <c r="J173" s="58" t="str">
        <f t="shared" si="28"/>
        <v/>
      </c>
      <c r="L173" s="31" t="str">
        <f t="shared" si="29"/>
        <v/>
      </c>
      <c r="M173" s="32" t="str">
        <f t="shared" si="34"/>
        <v/>
      </c>
      <c r="N173" s="32" t="str">
        <f t="shared" si="30"/>
        <v/>
      </c>
      <c r="O173" s="32" t="str">
        <f t="shared" si="31"/>
        <v/>
      </c>
      <c r="P173" s="32" t="str">
        <f t="shared" si="32"/>
        <v/>
      </c>
      <c r="Q173" s="33" t="str">
        <f t="shared" si="32"/>
        <v/>
      </c>
    </row>
    <row r="174" spans="2:17" x14ac:dyDescent="0.25">
      <c r="B174" s="9">
        <v>161</v>
      </c>
      <c r="C174" s="35">
        <v>86000</v>
      </c>
      <c r="D174" s="2"/>
      <c r="E174" s="9" t="str">
        <f t="shared" si="24"/>
        <v/>
      </c>
      <c r="F174" s="54" t="str">
        <f t="shared" si="33"/>
        <v/>
      </c>
      <c r="G174" s="73" t="str">
        <f t="shared" si="25"/>
        <v/>
      </c>
      <c r="H174" s="56" t="str">
        <f t="shared" si="26"/>
        <v/>
      </c>
      <c r="I174" s="57" t="str">
        <f t="shared" si="27"/>
        <v/>
      </c>
      <c r="J174" s="58" t="str">
        <f t="shared" si="28"/>
        <v/>
      </c>
      <c r="L174" s="31" t="str">
        <f t="shared" si="29"/>
        <v/>
      </c>
      <c r="M174" s="32" t="str">
        <f t="shared" si="34"/>
        <v/>
      </c>
      <c r="N174" s="32" t="str">
        <f t="shared" si="30"/>
        <v/>
      </c>
      <c r="O174" s="32" t="str">
        <f t="shared" si="31"/>
        <v/>
      </c>
      <c r="P174" s="32" t="str">
        <f t="shared" ref="P174:Q203" si="35">IF(AJ176="","",AJ176)</f>
        <v/>
      </c>
      <c r="Q174" s="33" t="str">
        <f t="shared" si="35"/>
        <v/>
      </c>
    </row>
    <row r="175" spans="2:17" x14ac:dyDescent="0.25">
      <c r="B175" s="9">
        <v>162</v>
      </c>
      <c r="C175" s="35">
        <v>88000</v>
      </c>
      <c r="D175" s="2"/>
      <c r="E175" s="9" t="str">
        <f t="shared" si="24"/>
        <v/>
      </c>
      <c r="F175" s="54" t="str">
        <f t="shared" si="33"/>
        <v/>
      </c>
      <c r="G175" s="73" t="str">
        <f t="shared" si="25"/>
        <v/>
      </c>
      <c r="H175" s="56" t="str">
        <f t="shared" si="26"/>
        <v/>
      </c>
      <c r="I175" s="57" t="str">
        <f t="shared" si="27"/>
        <v/>
      </c>
      <c r="J175" s="58" t="str">
        <f t="shared" si="28"/>
        <v/>
      </c>
      <c r="L175" s="31" t="str">
        <f t="shared" si="29"/>
        <v/>
      </c>
      <c r="M175" s="32" t="str">
        <f t="shared" si="34"/>
        <v/>
      </c>
      <c r="N175" s="32" t="str">
        <f t="shared" si="30"/>
        <v/>
      </c>
      <c r="O175" s="32" t="str">
        <f t="shared" si="31"/>
        <v/>
      </c>
      <c r="P175" s="32" t="str">
        <f t="shared" si="35"/>
        <v/>
      </c>
      <c r="Q175" s="33" t="str">
        <f t="shared" si="35"/>
        <v/>
      </c>
    </row>
    <row r="176" spans="2:17" x14ac:dyDescent="0.25">
      <c r="B176" s="9">
        <v>163</v>
      </c>
      <c r="C176" s="35">
        <v>90000</v>
      </c>
      <c r="D176" s="2"/>
      <c r="E176" s="9" t="str">
        <f t="shared" si="24"/>
        <v/>
      </c>
      <c r="F176" s="54" t="str">
        <f t="shared" si="33"/>
        <v/>
      </c>
      <c r="G176" s="73" t="str">
        <f t="shared" si="25"/>
        <v/>
      </c>
      <c r="H176" s="56" t="str">
        <f t="shared" si="26"/>
        <v/>
      </c>
      <c r="I176" s="57" t="str">
        <f t="shared" si="27"/>
        <v/>
      </c>
      <c r="J176" s="58" t="str">
        <f t="shared" si="28"/>
        <v/>
      </c>
      <c r="L176" s="31" t="str">
        <f t="shared" si="29"/>
        <v/>
      </c>
      <c r="M176" s="32" t="str">
        <f t="shared" si="34"/>
        <v/>
      </c>
      <c r="N176" s="32" t="str">
        <f t="shared" si="30"/>
        <v/>
      </c>
      <c r="O176" s="32" t="str">
        <f t="shared" si="31"/>
        <v/>
      </c>
      <c r="P176" s="32" t="str">
        <f t="shared" si="35"/>
        <v/>
      </c>
      <c r="Q176" s="33" t="str">
        <f t="shared" si="35"/>
        <v/>
      </c>
    </row>
    <row r="177" spans="2:17" x14ac:dyDescent="0.25">
      <c r="B177" s="9">
        <v>164</v>
      </c>
      <c r="C177" s="35">
        <v>92000</v>
      </c>
      <c r="D177" s="2"/>
      <c r="E177" s="9" t="str">
        <f t="shared" si="24"/>
        <v/>
      </c>
      <c r="F177" s="54" t="str">
        <f t="shared" si="33"/>
        <v/>
      </c>
      <c r="G177" s="73" t="str">
        <f t="shared" si="25"/>
        <v/>
      </c>
      <c r="H177" s="56" t="str">
        <f t="shared" si="26"/>
        <v/>
      </c>
      <c r="I177" s="57" t="str">
        <f t="shared" si="27"/>
        <v/>
      </c>
      <c r="J177" s="58" t="str">
        <f t="shared" si="28"/>
        <v/>
      </c>
      <c r="L177" s="31" t="str">
        <f t="shared" si="29"/>
        <v/>
      </c>
      <c r="M177" s="32" t="str">
        <f t="shared" si="34"/>
        <v/>
      </c>
      <c r="N177" s="32" t="str">
        <f t="shared" si="30"/>
        <v/>
      </c>
      <c r="O177" s="32" t="str">
        <f t="shared" si="31"/>
        <v/>
      </c>
      <c r="P177" s="32" t="str">
        <f t="shared" si="35"/>
        <v/>
      </c>
      <c r="Q177" s="33" t="str">
        <f t="shared" si="35"/>
        <v/>
      </c>
    </row>
    <row r="178" spans="2:17" x14ac:dyDescent="0.25">
      <c r="B178" s="9">
        <v>165</v>
      </c>
      <c r="C178" s="35">
        <v>94000</v>
      </c>
      <c r="D178" s="2"/>
      <c r="E178" s="9" t="str">
        <f t="shared" si="24"/>
        <v/>
      </c>
      <c r="F178" s="54" t="str">
        <f t="shared" si="33"/>
        <v/>
      </c>
      <c r="G178" s="73" t="str">
        <f t="shared" si="25"/>
        <v/>
      </c>
      <c r="H178" s="56" t="str">
        <f t="shared" si="26"/>
        <v/>
      </c>
      <c r="I178" s="57" t="str">
        <f t="shared" si="27"/>
        <v/>
      </c>
      <c r="J178" s="58" t="str">
        <f t="shared" si="28"/>
        <v/>
      </c>
      <c r="L178" s="31" t="str">
        <f t="shared" si="29"/>
        <v/>
      </c>
      <c r="M178" s="32" t="str">
        <f t="shared" si="34"/>
        <v/>
      </c>
      <c r="N178" s="32" t="str">
        <f t="shared" si="30"/>
        <v/>
      </c>
      <c r="O178" s="32" t="str">
        <f t="shared" si="31"/>
        <v/>
      </c>
      <c r="P178" s="32" t="str">
        <f t="shared" si="35"/>
        <v/>
      </c>
      <c r="Q178" s="33" t="str">
        <f t="shared" si="35"/>
        <v/>
      </c>
    </row>
    <row r="179" spans="2:17" x14ac:dyDescent="0.25">
      <c r="B179" s="9">
        <v>166</v>
      </c>
      <c r="C179" s="35">
        <v>96000</v>
      </c>
      <c r="D179" s="2"/>
      <c r="E179" s="9" t="str">
        <f t="shared" si="24"/>
        <v/>
      </c>
      <c r="F179" s="54" t="str">
        <f t="shared" si="33"/>
        <v/>
      </c>
      <c r="G179" s="73" t="str">
        <f t="shared" si="25"/>
        <v/>
      </c>
      <c r="H179" s="56" t="str">
        <f t="shared" si="26"/>
        <v/>
      </c>
      <c r="I179" s="57" t="str">
        <f t="shared" si="27"/>
        <v/>
      </c>
      <c r="J179" s="58" t="str">
        <f t="shared" si="28"/>
        <v/>
      </c>
      <c r="L179" s="31" t="str">
        <f t="shared" si="29"/>
        <v/>
      </c>
      <c r="M179" s="32" t="str">
        <f t="shared" si="34"/>
        <v/>
      </c>
      <c r="N179" s="32" t="str">
        <f t="shared" si="30"/>
        <v/>
      </c>
      <c r="O179" s="32" t="str">
        <f t="shared" si="31"/>
        <v/>
      </c>
      <c r="P179" s="32" t="str">
        <f t="shared" si="35"/>
        <v/>
      </c>
      <c r="Q179" s="33" t="str">
        <f t="shared" si="35"/>
        <v/>
      </c>
    </row>
    <row r="180" spans="2:17" x14ac:dyDescent="0.25">
      <c r="B180" s="9">
        <v>167</v>
      </c>
      <c r="C180" s="35">
        <v>98000</v>
      </c>
      <c r="D180" s="2"/>
      <c r="E180" s="9" t="str">
        <f t="shared" si="24"/>
        <v/>
      </c>
      <c r="F180" s="54" t="str">
        <f t="shared" si="33"/>
        <v/>
      </c>
      <c r="G180" s="73" t="str">
        <f t="shared" si="25"/>
        <v/>
      </c>
      <c r="H180" s="56" t="str">
        <f t="shared" si="26"/>
        <v/>
      </c>
      <c r="I180" s="57" t="str">
        <f t="shared" si="27"/>
        <v/>
      </c>
      <c r="J180" s="58" t="str">
        <f t="shared" si="28"/>
        <v/>
      </c>
      <c r="L180" s="31" t="str">
        <f t="shared" si="29"/>
        <v/>
      </c>
      <c r="M180" s="32" t="str">
        <f t="shared" si="34"/>
        <v/>
      </c>
      <c r="N180" s="32" t="str">
        <f t="shared" si="30"/>
        <v/>
      </c>
      <c r="O180" s="32" t="str">
        <f t="shared" si="31"/>
        <v/>
      </c>
      <c r="P180" s="32" t="str">
        <f t="shared" si="35"/>
        <v/>
      </c>
      <c r="Q180" s="33" t="str">
        <f t="shared" si="35"/>
        <v/>
      </c>
    </row>
    <row r="181" spans="2:17" x14ac:dyDescent="0.25">
      <c r="B181" s="9">
        <v>168</v>
      </c>
      <c r="C181" s="35">
        <v>100000</v>
      </c>
      <c r="D181" s="2"/>
      <c r="E181" s="9" t="str">
        <f t="shared" si="24"/>
        <v/>
      </c>
      <c r="F181" s="54" t="str">
        <f t="shared" si="33"/>
        <v/>
      </c>
      <c r="G181" s="73" t="str">
        <f t="shared" si="25"/>
        <v/>
      </c>
      <c r="H181" s="56" t="str">
        <f t="shared" si="26"/>
        <v/>
      </c>
      <c r="I181" s="57" t="str">
        <f t="shared" si="27"/>
        <v/>
      </c>
      <c r="J181" s="58" t="str">
        <f t="shared" si="28"/>
        <v/>
      </c>
      <c r="L181" s="31" t="str">
        <f t="shared" si="29"/>
        <v/>
      </c>
      <c r="M181" s="32" t="str">
        <f t="shared" si="34"/>
        <v/>
      </c>
      <c r="N181" s="32" t="str">
        <f t="shared" si="30"/>
        <v/>
      </c>
      <c r="O181" s="32" t="str">
        <f t="shared" si="31"/>
        <v/>
      </c>
      <c r="P181" s="32" t="str">
        <f t="shared" si="35"/>
        <v/>
      </c>
      <c r="Q181" s="33" t="str">
        <f t="shared" si="35"/>
        <v/>
      </c>
    </row>
    <row r="182" spans="2:17" x14ac:dyDescent="0.25">
      <c r="B182" s="9">
        <v>169</v>
      </c>
      <c r="C182" s="35"/>
      <c r="D182" s="2"/>
      <c r="E182" s="9" t="str">
        <f t="shared" si="24"/>
        <v/>
      </c>
      <c r="F182" s="54" t="str">
        <f t="shared" si="33"/>
        <v/>
      </c>
      <c r="G182" s="73" t="str">
        <f t="shared" si="25"/>
        <v/>
      </c>
      <c r="H182" s="56" t="str">
        <f t="shared" si="26"/>
        <v/>
      </c>
      <c r="I182" s="57" t="str">
        <f t="shared" si="27"/>
        <v/>
      </c>
      <c r="J182" s="58" t="str">
        <f t="shared" si="28"/>
        <v/>
      </c>
      <c r="L182" s="31" t="str">
        <f t="shared" si="29"/>
        <v/>
      </c>
      <c r="M182" s="32" t="str">
        <f t="shared" si="34"/>
        <v/>
      </c>
      <c r="N182" s="32" t="str">
        <f t="shared" si="30"/>
        <v/>
      </c>
      <c r="O182" s="32" t="str">
        <f t="shared" si="31"/>
        <v/>
      </c>
      <c r="P182" s="32" t="str">
        <f t="shared" si="35"/>
        <v/>
      </c>
      <c r="Q182" s="33" t="str">
        <f t="shared" si="35"/>
        <v/>
      </c>
    </row>
    <row r="183" spans="2:17" x14ac:dyDescent="0.25">
      <c r="B183" s="9">
        <v>170</v>
      </c>
      <c r="C183" s="35"/>
      <c r="D183" s="2"/>
      <c r="E183" s="9" t="str">
        <f t="shared" si="24"/>
        <v/>
      </c>
      <c r="F183" s="54" t="str">
        <f t="shared" si="33"/>
        <v/>
      </c>
      <c r="G183" s="73" t="str">
        <f t="shared" si="25"/>
        <v/>
      </c>
      <c r="H183" s="56" t="str">
        <f t="shared" si="26"/>
        <v/>
      </c>
      <c r="I183" s="57" t="str">
        <f t="shared" si="27"/>
        <v/>
      </c>
      <c r="J183" s="58" t="str">
        <f t="shared" si="28"/>
        <v/>
      </c>
      <c r="L183" s="31" t="str">
        <f t="shared" si="29"/>
        <v/>
      </c>
      <c r="M183" s="32" t="str">
        <f t="shared" si="34"/>
        <v/>
      </c>
      <c r="N183" s="32" t="str">
        <f t="shared" si="30"/>
        <v/>
      </c>
      <c r="O183" s="32" t="str">
        <f t="shared" si="31"/>
        <v/>
      </c>
      <c r="P183" s="32" t="str">
        <f t="shared" si="35"/>
        <v/>
      </c>
      <c r="Q183" s="33" t="str">
        <f t="shared" si="35"/>
        <v/>
      </c>
    </row>
    <row r="184" spans="2:17" x14ac:dyDescent="0.25">
      <c r="B184" s="9">
        <v>171</v>
      </c>
      <c r="C184" s="35"/>
      <c r="D184" s="2"/>
      <c r="E184" s="9" t="str">
        <f t="shared" si="24"/>
        <v/>
      </c>
      <c r="F184" s="54" t="str">
        <f t="shared" si="33"/>
        <v/>
      </c>
      <c r="G184" s="73" t="str">
        <f t="shared" si="25"/>
        <v/>
      </c>
      <c r="H184" s="56" t="str">
        <f t="shared" si="26"/>
        <v/>
      </c>
      <c r="I184" s="57" t="str">
        <f t="shared" si="27"/>
        <v/>
      </c>
      <c r="J184" s="58" t="str">
        <f t="shared" si="28"/>
        <v/>
      </c>
      <c r="L184" s="31" t="str">
        <f t="shared" si="29"/>
        <v/>
      </c>
      <c r="M184" s="32" t="str">
        <f t="shared" si="34"/>
        <v/>
      </c>
      <c r="N184" s="32" t="str">
        <f t="shared" si="30"/>
        <v/>
      </c>
      <c r="O184" s="32" t="str">
        <f t="shared" si="31"/>
        <v/>
      </c>
      <c r="P184" s="32" t="str">
        <f t="shared" si="35"/>
        <v/>
      </c>
      <c r="Q184" s="33" t="str">
        <f t="shared" si="35"/>
        <v/>
      </c>
    </row>
    <row r="185" spans="2:17" x14ac:dyDescent="0.25">
      <c r="B185" s="9">
        <v>172</v>
      </c>
      <c r="C185" s="35"/>
      <c r="D185" s="2"/>
      <c r="E185" s="9" t="str">
        <f t="shared" si="24"/>
        <v/>
      </c>
      <c r="F185" s="54" t="str">
        <f t="shared" si="33"/>
        <v/>
      </c>
      <c r="G185" s="73" t="str">
        <f t="shared" si="25"/>
        <v/>
      </c>
      <c r="H185" s="56" t="str">
        <f t="shared" si="26"/>
        <v/>
      </c>
      <c r="I185" s="57" t="str">
        <f t="shared" si="27"/>
        <v/>
      </c>
      <c r="J185" s="58" t="str">
        <f t="shared" si="28"/>
        <v/>
      </c>
      <c r="L185" s="31" t="str">
        <f t="shared" si="29"/>
        <v/>
      </c>
      <c r="M185" s="32" t="str">
        <f t="shared" si="34"/>
        <v/>
      </c>
      <c r="N185" s="32" t="str">
        <f t="shared" si="30"/>
        <v/>
      </c>
      <c r="O185" s="32" t="str">
        <f t="shared" si="31"/>
        <v/>
      </c>
      <c r="P185" s="32" t="str">
        <f t="shared" si="35"/>
        <v/>
      </c>
      <c r="Q185" s="33" t="str">
        <f t="shared" si="35"/>
        <v/>
      </c>
    </row>
    <row r="186" spans="2:17" x14ac:dyDescent="0.25">
      <c r="B186" s="9">
        <v>173</v>
      </c>
      <c r="C186" s="35"/>
      <c r="D186" s="2"/>
      <c r="E186" s="9" t="str">
        <f t="shared" si="24"/>
        <v/>
      </c>
      <c r="F186" s="54" t="str">
        <f t="shared" si="33"/>
        <v/>
      </c>
      <c r="G186" s="73" t="str">
        <f t="shared" si="25"/>
        <v/>
      </c>
      <c r="H186" s="56" t="str">
        <f t="shared" si="26"/>
        <v/>
      </c>
      <c r="I186" s="57" t="str">
        <f t="shared" si="27"/>
        <v/>
      </c>
      <c r="J186" s="58" t="str">
        <f t="shared" si="28"/>
        <v/>
      </c>
      <c r="L186" s="31" t="str">
        <f t="shared" si="29"/>
        <v/>
      </c>
      <c r="M186" s="32" t="str">
        <f t="shared" si="34"/>
        <v/>
      </c>
      <c r="N186" s="32" t="str">
        <f t="shared" si="30"/>
        <v/>
      </c>
      <c r="O186" s="32" t="str">
        <f t="shared" si="31"/>
        <v/>
      </c>
      <c r="P186" s="32" t="str">
        <f t="shared" si="35"/>
        <v/>
      </c>
      <c r="Q186" s="33" t="str">
        <f t="shared" si="35"/>
        <v/>
      </c>
    </row>
    <row r="187" spans="2:17" x14ac:dyDescent="0.25">
      <c r="B187" s="9">
        <v>174</v>
      </c>
      <c r="C187" s="35"/>
      <c r="D187" s="2"/>
      <c r="E187" s="9" t="str">
        <f t="shared" si="24"/>
        <v/>
      </c>
      <c r="F187" s="54" t="str">
        <f t="shared" si="33"/>
        <v/>
      </c>
      <c r="G187" s="73" t="str">
        <f t="shared" si="25"/>
        <v/>
      </c>
      <c r="H187" s="56" t="str">
        <f t="shared" si="26"/>
        <v/>
      </c>
      <c r="I187" s="57" t="str">
        <f t="shared" si="27"/>
        <v/>
      </c>
      <c r="J187" s="58" t="str">
        <f t="shared" si="28"/>
        <v/>
      </c>
      <c r="L187" s="31" t="str">
        <f t="shared" si="29"/>
        <v/>
      </c>
      <c r="M187" s="32" t="str">
        <f t="shared" si="34"/>
        <v/>
      </c>
      <c r="N187" s="32" t="str">
        <f t="shared" si="30"/>
        <v/>
      </c>
      <c r="O187" s="32" t="str">
        <f t="shared" si="31"/>
        <v/>
      </c>
      <c r="P187" s="32" t="str">
        <f t="shared" si="35"/>
        <v/>
      </c>
      <c r="Q187" s="33" t="str">
        <f t="shared" si="35"/>
        <v/>
      </c>
    </row>
    <row r="188" spans="2:17" x14ac:dyDescent="0.25">
      <c r="B188" s="9">
        <v>175</v>
      </c>
      <c r="C188" s="35"/>
      <c r="D188" s="2"/>
      <c r="E188" s="9" t="str">
        <f t="shared" si="24"/>
        <v/>
      </c>
      <c r="F188" s="54" t="str">
        <f t="shared" si="33"/>
        <v/>
      </c>
      <c r="G188" s="73" t="str">
        <f t="shared" si="25"/>
        <v/>
      </c>
      <c r="H188" s="56" t="str">
        <f t="shared" si="26"/>
        <v/>
      </c>
      <c r="I188" s="57" t="str">
        <f t="shared" si="27"/>
        <v/>
      </c>
      <c r="J188" s="58" t="str">
        <f t="shared" si="28"/>
        <v/>
      </c>
      <c r="L188" s="31" t="str">
        <f t="shared" si="29"/>
        <v/>
      </c>
      <c r="M188" s="32" t="str">
        <f t="shared" si="34"/>
        <v/>
      </c>
      <c r="N188" s="32" t="str">
        <f t="shared" si="30"/>
        <v/>
      </c>
      <c r="O188" s="32" t="str">
        <f t="shared" si="31"/>
        <v/>
      </c>
      <c r="P188" s="32" t="str">
        <f t="shared" si="35"/>
        <v/>
      </c>
      <c r="Q188" s="33" t="str">
        <f t="shared" si="35"/>
        <v/>
      </c>
    </row>
    <row r="189" spans="2:17" x14ac:dyDescent="0.25">
      <c r="B189" s="9">
        <v>176</v>
      </c>
      <c r="C189" s="35"/>
      <c r="D189" s="2"/>
      <c r="E189" s="9" t="str">
        <f t="shared" si="24"/>
        <v/>
      </c>
      <c r="F189" s="54" t="str">
        <f t="shared" si="33"/>
        <v/>
      </c>
      <c r="G189" s="73" t="str">
        <f t="shared" si="25"/>
        <v/>
      </c>
      <c r="H189" s="56" t="str">
        <f t="shared" si="26"/>
        <v/>
      </c>
      <c r="I189" s="57" t="str">
        <f t="shared" si="27"/>
        <v/>
      </c>
      <c r="J189" s="58" t="str">
        <f t="shared" si="28"/>
        <v/>
      </c>
      <c r="L189" s="31" t="str">
        <f t="shared" si="29"/>
        <v/>
      </c>
      <c r="M189" s="32" t="str">
        <f t="shared" si="34"/>
        <v/>
      </c>
      <c r="N189" s="32" t="str">
        <f t="shared" si="30"/>
        <v/>
      </c>
      <c r="O189" s="32" t="str">
        <f t="shared" si="31"/>
        <v/>
      </c>
      <c r="P189" s="32" t="str">
        <f t="shared" si="35"/>
        <v/>
      </c>
      <c r="Q189" s="33" t="str">
        <f t="shared" si="35"/>
        <v/>
      </c>
    </row>
    <row r="190" spans="2:17" x14ac:dyDescent="0.25">
      <c r="B190" s="9">
        <v>177</v>
      </c>
      <c r="C190" s="35"/>
      <c r="D190" s="2"/>
      <c r="E190" s="9" t="str">
        <f t="shared" si="24"/>
        <v/>
      </c>
      <c r="F190" s="54" t="str">
        <f t="shared" si="33"/>
        <v/>
      </c>
      <c r="G190" s="73" t="str">
        <f t="shared" si="25"/>
        <v/>
      </c>
      <c r="H190" s="56" t="str">
        <f t="shared" si="26"/>
        <v/>
      </c>
      <c r="I190" s="57" t="str">
        <f t="shared" si="27"/>
        <v/>
      </c>
      <c r="J190" s="58" t="str">
        <f t="shared" si="28"/>
        <v/>
      </c>
      <c r="L190" s="31" t="str">
        <f t="shared" si="29"/>
        <v/>
      </c>
      <c r="M190" s="32" t="str">
        <f t="shared" si="34"/>
        <v/>
      </c>
      <c r="N190" s="32" t="str">
        <f t="shared" si="30"/>
        <v/>
      </c>
      <c r="O190" s="32" t="str">
        <f t="shared" si="31"/>
        <v/>
      </c>
      <c r="P190" s="32" t="str">
        <f t="shared" si="35"/>
        <v/>
      </c>
      <c r="Q190" s="33" t="str">
        <f t="shared" si="35"/>
        <v/>
      </c>
    </row>
    <row r="191" spans="2:17" x14ac:dyDescent="0.25">
      <c r="B191" s="9">
        <v>178</v>
      </c>
      <c r="C191" s="35"/>
      <c r="D191" s="2"/>
      <c r="E191" s="9" t="str">
        <f t="shared" si="24"/>
        <v/>
      </c>
      <c r="F191" s="54" t="str">
        <f t="shared" si="33"/>
        <v/>
      </c>
      <c r="G191" s="73" t="str">
        <f t="shared" si="25"/>
        <v/>
      </c>
      <c r="H191" s="56" t="str">
        <f t="shared" si="26"/>
        <v/>
      </c>
      <c r="I191" s="57" t="str">
        <f t="shared" si="27"/>
        <v/>
      </c>
      <c r="J191" s="58" t="str">
        <f t="shared" si="28"/>
        <v/>
      </c>
      <c r="L191" s="31" t="str">
        <f t="shared" si="29"/>
        <v/>
      </c>
      <c r="M191" s="32" t="str">
        <f t="shared" si="34"/>
        <v/>
      </c>
      <c r="N191" s="32" t="str">
        <f t="shared" si="30"/>
        <v/>
      </c>
      <c r="O191" s="32" t="str">
        <f t="shared" si="31"/>
        <v/>
      </c>
      <c r="P191" s="32" t="str">
        <f t="shared" si="35"/>
        <v/>
      </c>
      <c r="Q191" s="33" t="str">
        <f t="shared" si="35"/>
        <v/>
      </c>
    </row>
    <row r="192" spans="2:17" x14ac:dyDescent="0.25">
      <c r="B192" s="9">
        <v>179</v>
      </c>
      <c r="C192" s="35"/>
      <c r="D192" s="2"/>
      <c r="E192" s="9" t="str">
        <f t="shared" si="24"/>
        <v/>
      </c>
      <c r="F192" s="54" t="str">
        <f t="shared" si="33"/>
        <v/>
      </c>
      <c r="G192" s="73" t="str">
        <f t="shared" si="25"/>
        <v/>
      </c>
      <c r="H192" s="56" t="str">
        <f t="shared" si="26"/>
        <v/>
      </c>
      <c r="I192" s="57" t="str">
        <f t="shared" si="27"/>
        <v/>
      </c>
      <c r="J192" s="58" t="str">
        <f t="shared" si="28"/>
        <v/>
      </c>
      <c r="L192" s="31" t="str">
        <f t="shared" si="29"/>
        <v/>
      </c>
      <c r="M192" s="32" t="str">
        <f t="shared" si="34"/>
        <v/>
      </c>
      <c r="N192" s="32" t="str">
        <f t="shared" si="30"/>
        <v/>
      </c>
      <c r="O192" s="32" t="str">
        <f t="shared" si="31"/>
        <v/>
      </c>
      <c r="P192" s="32" t="str">
        <f t="shared" si="35"/>
        <v/>
      </c>
      <c r="Q192" s="33" t="str">
        <f t="shared" si="35"/>
        <v/>
      </c>
    </row>
    <row r="193" spans="2:17" x14ac:dyDescent="0.25">
      <c r="B193" s="9">
        <v>180</v>
      </c>
      <c r="C193" s="35"/>
      <c r="D193" s="2"/>
      <c r="E193" s="9" t="str">
        <f t="shared" si="24"/>
        <v/>
      </c>
      <c r="F193" s="54" t="str">
        <f t="shared" si="33"/>
        <v/>
      </c>
      <c r="G193" s="73" t="str">
        <f t="shared" si="25"/>
        <v/>
      </c>
      <c r="H193" s="56" t="str">
        <f t="shared" si="26"/>
        <v/>
      </c>
      <c r="I193" s="57" t="str">
        <f t="shared" si="27"/>
        <v/>
      </c>
      <c r="J193" s="58" t="str">
        <f t="shared" si="28"/>
        <v/>
      </c>
      <c r="L193" s="31" t="str">
        <f t="shared" si="29"/>
        <v/>
      </c>
      <c r="M193" s="32" t="str">
        <f t="shared" si="34"/>
        <v/>
      </c>
      <c r="N193" s="32" t="str">
        <f t="shared" si="30"/>
        <v/>
      </c>
      <c r="O193" s="32" t="str">
        <f t="shared" si="31"/>
        <v/>
      </c>
      <c r="P193" s="32" t="str">
        <f t="shared" si="35"/>
        <v/>
      </c>
      <c r="Q193" s="33" t="str">
        <f t="shared" si="35"/>
        <v/>
      </c>
    </row>
    <row r="194" spans="2:17" x14ac:dyDescent="0.25">
      <c r="B194" s="9">
        <v>181</v>
      </c>
      <c r="C194" s="35"/>
      <c r="D194" s="2"/>
      <c r="E194" s="9" t="str">
        <f t="shared" si="24"/>
        <v/>
      </c>
      <c r="F194" s="54" t="str">
        <f t="shared" si="33"/>
        <v/>
      </c>
      <c r="G194" s="73" t="str">
        <f t="shared" si="25"/>
        <v/>
      </c>
      <c r="H194" s="56" t="str">
        <f t="shared" si="26"/>
        <v/>
      </c>
      <c r="I194" s="57" t="str">
        <f t="shared" si="27"/>
        <v/>
      </c>
      <c r="J194" s="58" t="str">
        <f t="shared" si="28"/>
        <v/>
      </c>
      <c r="L194" s="31" t="str">
        <f t="shared" si="29"/>
        <v/>
      </c>
      <c r="M194" s="32" t="str">
        <f t="shared" si="34"/>
        <v/>
      </c>
      <c r="N194" s="32" t="str">
        <f t="shared" si="30"/>
        <v/>
      </c>
      <c r="O194" s="32" t="str">
        <f t="shared" si="31"/>
        <v/>
      </c>
      <c r="P194" s="32" t="str">
        <f t="shared" si="35"/>
        <v/>
      </c>
      <c r="Q194" s="33" t="str">
        <f t="shared" si="35"/>
        <v/>
      </c>
    </row>
    <row r="195" spans="2:17" x14ac:dyDescent="0.25">
      <c r="B195" s="9">
        <v>182</v>
      </c>
      <c r="C195" s="35"/>
      <c r="D195" s="2"/>
      <c r="E195" s="9" t="str">
        <f t="shared" si="24"/>
        <v/>
      </c>
      <c r="F195" s="54" t="str">
        <f t="shared" si="33"/>
        <v/>
      </c>
      <c r="G195" s="73" t="str">
        <f t="shared" si="25"/>
        <v/>
      </c>
      <c r="H195" s="56" t="str">
        <f t="shared" si="26"/>
        <v/>
      </c>
      <c r="I195" s="57" t="str">
        <f t="shared" si="27"/>
        <v/>
      </c>
      <c r="J195" s="58" t="str">
        <f t="shared" si="28"/>
        <v/>
      </c>
      <c r="L195" s="31" t="str">
        <f t="shared" si="29"/>
        <v/>
      </c>
      <c r="M195" s="32" t="str">
        <f t="shared" si="34"/>
        <v/>
      </c>
      <c r="N195" s="32" t="str">
        <f t="shared" si="30"/>
        <v/>
      </c>
      <c r="O195" s="32" t="str">
        <f t="shared" si="31"/>
        <v/>
      </c>
      <c r="P195" s="32" t="str">
        <f t="shared" si="35"/>
        <v/>
      </c>
      <c r="Q195" s="33" t="str">
        <f t="shared" si="35"/>
        <v/>
      </c>
    </row>
    <row r="196" spans="2:17" x14ac:dyDescent="0.25">
      <c r="B196" s="9">
        <v>183</v>
      </c>
      <c r="C196" s="35"/>
      <c r="D196" s="2"/>
      <c r="E196" s="9" t="str">
        <f t="shared" si="24"/>
        <v/>
      </c>
      <c r="F196" s="54" t="str">
        <f t="shared" si="33"/>
        <v/>
      </c>
      <c r="G196" s="73" t="str">
        <f t="shared" si="25"/>
        <v/>
      </c>
      <c r="H196" s="56" t="str">
        <f t="shared" si="26"/>
        <v/>
      </c>
      <c r="I196" s="57" t="str">
        <f t="shared" si="27"/>
        <v/>
      </c>
      <c r="J196" s="58" t="str">
        <f t="shared" si="28"/>
        <v/>
      </c>
      <c r="L196" s="31" t="str">
        <f t="shared" si="29"/>
        <v/>
      </c>
      <c r="M196" s="32" t="str">
        <f t="shared" si="34"/>
        <v/>
      </c>
      <c r="N196" s="32" t="str">
        <f t="shared" si="30"/>
        <v/>
      </c>
      <c r="O196" s="32" t="str">
        <f t="shared" si="31"/>
        <v/>
      </c>
      <c r="P196" s="32" t="str">
        <f t="shared" si="35"/>
        <v/>
      </c>
      <c r="Q196" s="33" t="str">
        <f t="shared" si="35"/>
        <v/>
      </c>
    </row>
    <row r="197" spans="2:17" x14ac:dyDescent="0.25">
      <c r="B197" s="9">
        <v>184</v>
      </c>
      <c r="C197" s="35"/>
      <c r="D197" s="2"/>
      <c r="E197" s="9" t="str">
        <f t="shared" si="24"/>
        <v/>
      </c>
      <c r="F197" s="54" t="str">
        <f t="shared" si="33"/>
        <v/>
      </c>
      <c r="G197" s="73" t="str">
        <f t="shared" si="25"/>
        <v/>
      </c>
      <c r="H197" s="56" t="str">
        <f t="shared" si="26"/>
        <v/>
      </c>
      <c r="I197" s="57" t="str">
        <f t="shared" si="27"/>
        <v/>
      </c>
      <c r="J197" s="58" t="str">
        <f t="shared" si="28"/>
        <v/>
      </c>
      <c r="L197" s="31" t="str">
        <f t="shared" si="29"/>
        <v/>
      </c>
      <c r="M197" s="32" t="str">
        <f t="shared" si="34"/>
        <v/>
      </c>
      <c r="N197" s="32" t="str">
        <f t="shared" si="30"/>
        <v/>
      </c>
      <c r="O197" s="32" t="str">
        <f t="shared" si="31"/>
        <v/>
      </c>
      <c r="P197" s="32" t="str">
        <f t="shared" si="35"/>
        <v/>
      </c>
      <c r="Q197" s="33" t="str">
        <f t="shared" si="35"/>
        <v/>
      </c>
    </row>
    <row r="198" spans="2:17" x14ac:dyDescent="0.25">
      <c r="B198" s="9">
        <v>185</v>
      </c>
      <c r="C198" s="35"/>
      <c r="D198" s="2"/>
      <c r="E198" s="9" t="str">
        <f t="shared" si="24"/>
        <v/>
      </c>
      <c r="F198" s="54" t="str">
        <f t="shared" si="33"/>
        <v/>
      </c>
      <c r="G198" s="73" t="str">
        <f t="shared" si="25"/>
        <v/>
      </c>
      <c r="H198" s="56" t="str">
        <f t="shared" si="26"/>
        <v/>
      </c>
      <c r="I198" s="57" t="str">
        <f t="shared" si="27"/>
        <v/>
      </c>
      <c r="J198" s="58" t="str">
        <f t="shared" si="28"/>
        <v/>
      </c>
      <c r="L198" s="31" t="str">
        <f t="shared" si="29"/>
        <v/>
      </c>
      <c r="M198" s="32" t="str">
        <f t="shared" si="34"/>
        <v/>
      </c>
      <c r="N198" s="32" t="str">
        <f t="shared" si="30"/>
        <v/>
      </c>
      <c r="O198" s="32" t="str">
        <f t="shared" si="31"/>
        <v/>
      </c>
      <c r="P198" s="32" t="str">
        <f t="shared" si="35"/>
        <v/>
      </c>
      <c r="Q198" s="33" t="str">
        <f t="shared" si="35"/>
        <v/>
      </c>
    </row>
    <row r="199" spans="2:17" x14ac:dyDescent="0.25">
      <c r="B199" s="9">
        <v>186</v>
      </c>
      <c r="C199" s="35"/>
      <c r="D199" s="2"/>
      <c r="E199" s="9" t="str">
        <f t="shared" si="24"/>
        <v/>
      </c>
      <c r="F199" s="54" t="str">
        <f t="shared" si="33"/>
        <v/>
      </c>
      <c r="G199" s="73" t="str">
        <f t="shared" si="25"/>
        <v/>
      </c>
      <c r="H199" s="56" t="str">
        <f t="shared" si="26"/>
        <v/>
      </c>
      <c r="I199" s="57" t="str">
        <f t="shared" si="27"/>
        <v/>
      </c>
      <c r="J199" s="58" t="str">
        <f t="shared" si="28"/>
        <v/>
      </c>
      <c r="L199" s="31" t="str">
        <f t="shared" si="29"/>
        <v/>
      </c>
      <c r="M199" s="32" t="str">
        <f t="shared" si="34"/>
        <v/>
      </c>
      <c r="N199" s="32" t="str">
        <f t="shared" si="30"/>
        <v/>
      </c>
      <c r="O199" s="32" t="str">
        <f t="shared" si="31"/>
        <v/>
      </c>
      <c r="P199" s="32" t="str">
        <f t="shared" si="35"/>
        <v/>
      </c>
      <c r="Q199" s="33" t="str">
        <f t="shared" si="35"/>
        <v/>
      </c>
    </row>
    <row r="200" spans="2:17" x14ac:dyDescent="0.25">
      <c r="B200" s="9">
        <v>187</v>
      </c>
      <c r="C200" s="35"/>
      <c r="D200" s="2"/>
      <c r="E200" s="9" t="str">
        <f t="shared" si="24"/>
        <v/>
      </c>
      <c r="F200" s="54" t="str">
        <f t="shared" si="33"/>
        <v/>
      </c>
      <c r="G200" s="73" t="str">
        <f t="shared" si="25"/>
        <v/>
      </c>
      <c r="H200" s="56" t="str">
        <f t="shared" si="26"/>
        <v/>
      </c>
      <c r="I200" s="57" t="str">
        <f t="shared" si="27"/>
        <v/>
      </c>
      <c r="J200" s="58" t="str">
        <f t="shared" si="28"/>
        <v/>
      </c>
      <c r="L200" s="31" t="str">
        <f t="shared" si="29"/>
        <v/>
      </c>
      <c r="M200" s="32" t="str">
        <f t="shared" si="34"/>
        <v/>
      </c>
      <c r="N200" s="32" t="str">
        <f t="shared" si="30"/>
        <v/>
      </c>
      <c r="O200" s="32" t="str">
        <f t="shared" si="31"/>
        <v/>
      </c>
      <c r="P200" s="32" t="str">
        <f t="shared" si="35"/>
        <v/>
      </c>
      <c r="Q200" s="33" t="str">
        <f t="shared" si="35"/>
        <v/>
      </c>
    </row>
    <row r="201" spans="2:17" x14ac:dyDescent="0.25">
      <c r="B201" s="9">
        <v>188</v>
      </c>
      <c r="C201" s="35"/>
      <c r="D201" s="2"/>
      <c r="E201" s="9" t="str">
        <f t="shared" si="24"/>
        <v/>
      </c>
      <c r="F201" s="54" t="str">
        <f t="shared" si="33"/>
        <v/>
      </c>
      <c r="G201" s="73" t="str">
        <f t="shared" si="25"/>
        <v/>
      </c>
      <c r="H201" s="56" t="str">
        <f t="shared" si="26"/>
        <v/>
      </c>
      <c r="I201" s="57" t="str">
        <f t="shared" si="27"/>
        <v/>
      </c>
      <c r="J201" s="58" t="str">
        <f t="shared" si="28"/>
        <v/>
      </c>
      <c r="L201" s="31" t="str">
        <f t="shared" si="29"/>
        <v/>
      </c>
      <c r="M201" s="32" t="str">
        <f t="shared" si="34"/>
        <v/>
      </c>
      <c r="N201" s="32" t="str">
        <f t="shared" si="30"/>
        <v/>
      </c>
      <c r="O201" s="32" t="str">
        <f t="shared" si="31"/>
        <v/>
      </c>
      <c r="P201" s="32" t="str">
        <f t="shared" si="35"/>
        <v/>
      </c>
      <c r="Q201" s="33" t="str">
        <f t="shared" si="35"/>
        <v/>
      </c>
    </row>
    <row r="202" spans="2:17" x14ac:dyDescent="0.25">
      <c r="B202" s="9">
        <v>189</v>
      </c>
      <c r="C202" s="35"/>
      <c r="D202" s="2"/>
      <c r="E202" s="9" t="str">
        <f t="shared" si="24"/>
        <v/>
      </c>
      <c r="F202" s="54" t="str">
        <f t="shared" si="33"/>
        <v/>
      </c>
      <c r="G202" s="73" t="str">
        <f t="shared" si="25"/>
        <v/>
      </c>
      <c r="H202" s="56" t="str">
        <f t="shared" si="26"/>
        <v/>
      </c>
      <c r="I202" s="57" t="str">
        <f t="shared" si="27"/>
        <v/>
      </c>
      <c r="J202" s="58" t="str">
        <f t="shared" si="28"/>
        <v/>
      </c>
      <c r="L202" s="31" t="str">
        <f t="shared" si="29"/>
        <v/>
      </c>
      <c r="M202" s="32" t="str">
        <f t="shared" si="34"/>
        <v/>
      </c>
      <c r="N202" s="32" t="str">
        <f t="shared" si="30"/>
        <v/>
      </c>
      <c r="O202" s="32" t="str">
        <f t="shared" si="31"/>
        <v/>
      </c>
      <c r="P202" s="32" t="str">
        <f t="shared" si="35"/>
        <v/>
      </c>
      <c r="Q202" s="33" t="str">
        <f t="shared" si="35"/>
        <v/>
      </c>
    </row>
    <row r="203" spans="2:17" ht="13.8" thickBot="1" x14ac:dyDescent="0.3">
      <c r="B203" s="10">
        <v>190</v>
      </c>
      <c r="C203" s="36"/>
      <c r="D203" s="2"/>
      <c r="E203" s="10" t="str">
        <f t="shared" si="24"/>
        <v/>
      </c>
      <c r="F203" s="26" t="str">
        <f t="shared" si="33"/>
        <v/>
      </c>
      <c r="G203" s="74" t="str">
        <f t="shared" si="25"/>
        <v/>
      </c>
      <c r="H203" s="60" t="str">
        <f t="shared" si="26"/>
        <v/>
      </c>
      <c r="I203" s="61" t="str">
        <f t="shared" si="27"/>
        <v/>
      </c>
      <c r="J203" s="62" t="str">
        <f t="shared" si="28"/>
        <v/>
      </c>
      <c r="L203" s="65" t="str">
        <f t="shared" si="29"/>
        <v/>
      </c>
      <c r="M203" s="66" t="str">
        <f t="shared" si="34"/>
        <v/>
      </c>
      <c r="N203" s="66" t="str">
        <f t="shared" si="30"/>
        <v/>
      </c>
      <c r="O203" s="66" t="str">
        <f t="shared" si="31"/>
        <v/>
      </c>
      <c r="P203" s="66" t="str">
        <f t="shared" si="35"/>
        <v/>
      </c>
      <c r="Q203" s="67" t="str">
        <f t="shared" si="35"/>
        <v/>
      </c>
    </row>
    <row r="204" spans="2:17" ht="13.8" thickTop="1" x14ac:dyDescent="0.25">
      <c r="B204" s="2"/>
      <c r="C204" s="2"/>
      <c r="D204" s="2"/>
      <c r="E204" s="2"/>
      <c r="F204" s="2"/>
      <c r="G204" s="43"/>
      <c r="H204" s="2"/>
    </row>
    <row r="205" spans="2:17" x14ac:dyDescent="0.25">
      <c r="B205" s="2"/>
      <c r="C205" s="2"/>
      <c r="D205" s="2"/>
      <c r="E205" s="2"/>
      <c r="F205" s="2"/>
      <c r="G205" s="43"/>
      <c r="H205" s="2"/>
    </row>
    <row r="206" spans="2:17" x14ac:dyDescent="0.25">
      <c r="B206" s="2"/>
      <c r="C206" s="2"/>
      <c r="D206" s="2"/>
      <c r="E206" s="2"/>
      <c r="F206" s="2"/>
      <c r="G206" s="43"/>
      <c r="H206" s="2"/>
    </row>
    <row r="207" spans="2:17" x14ac:dyDescent="0.25">
      <c r="B207" s="2"/>
      <c r="C207" s="2"/>
      <c r="D207" s="2"/>
      <c r="E207" s="2"/>
      <c r="F207" s="2"/>
      <c r="G207" s="43"/>
      <c r="H207" s="2"/>
    </row>
  </sheetData>
  <mergeCells count="14">
    <mergeCell ref="E8:G8"/>
    <mergeCell ref="E9:G9"/>
    <mergeCell ref="U3:V3"/>
    <mergeCell ref="E4:G4"/>
    <mergeCell ref="B11:C11"/>
    <mergeCell ref="E11:J11"/>
    <mergeCell ref="B3:C3"/>
    <mergeCell ref="E3:H3"/>
    <mergeCell ref="J3:K3"/>
    <mergeCell ref="M3:R3"/>
    <mergeCell ref="L11:Q11"/>
    <mergeCell ref="E5:G5"/>
    <mergeCell ref="E6:G6"/>
    <mergeCell ref="E7:G7"/>
  </mergeCells>
  <pageMargins left="0.75" right="0.75" top="1" bottom="1" header="0.5" footer="0.5"/>
  <pageSetup paperSize="9" orientation="portrait" verticalDpi="0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2B1F1-AEE4-4223-97A2-27D4C83B28EF}">
  <sheetPr codeName="Blad21"/>
  <dimension ref="B1:AU207"/>
  <sheetViews>
    <sheetView topLeftCell="A16" workbookViewId="0">
      <selection activeCell="B1" sqref="B1"/>
    </sheetView>
  </sheetViews>
  <sheetFormatPr defaultRowHeight="13.2" x14ac:dyDescent="0.25"/>
  <cols>
    <col min="1" max="1" width="2" customWidth="1"/>
    <col min="4" max="4" width="4.5546875" customWidth="1"/>
    <col min="6" max="6" width="10.6640625" bestFit="1" customWidth="1"/>
    <col min="11" max="11" width="8.33203125" customWidth="1"/>
  </cols>
  <sheetData>
    <row r="1" spans="2:47" ht="12" customHeight="1" x14ac:dyDescent="0.25">
      <c r="B1" s="4"/>
      <c r="E1" s="2"/>
      <c r="F1" s="1"/>
      <c r="G1" s="2"/>
      <c r="H1" s="2"/>
      <c r="S1" t="str">
        <f>Invoer!L1</f>
        <v>versie 1.2 juli 2009</v>
      </c>
    </row>
    <row r="2" spans="2:47" ht="5.25" customHeight="1" thickBot="1" x14ac:dyDescent="0.3">
      <c r="B2" s="51"/>
      <c r="H2" s="2"/>
    </row>
    <row r="3" spans="2:47" ht="14.4" thickTop="1" thickBot="1" x14ac:dyDescent="0.3">
      <c r="B3" s="152" t="s">
        <v>22</v>
      </c>
      <c r="C3" s="154"/>
      <c r="E3" s="152" t="s">
        <v>15</v>
      </c>
      <c r="F3" s="153"/>
      <c r="G3" s="153"/>
      <c r="H3" s="154"/>
      <c r="J3" s="152" t="s">
        <v>20</v>
      </c>
      <c r="K3" s="160"/>
      <c r="M3" s="152" t="s">
        <v>31</v>
      </c>
      <c r="N3" s="153"/>
      <c r="O3" s="153"/>
      <c r="P3" s="153"/>
      <c r="Q3" s="161"/>
      <c r="R3" s="162"/>
      <c r="U3" s="152" t="s">
        <v>23</v>
      </c>
      <c r="V3" s="160"/>
    </row>
    <row r="4" spans="2:47" ht="16.2" thickTop="1" x14ac:dyDescent="0.35">
      <c r="B4" s="18" t="s">
        <v>12</v>
      </c>
      <c r="C4" s="83" t="s">
        <v>139</v>
      </c>
      <c r="E4" s="155" t="s">
        <v>35</v>
      </c>
      <c r="F4" s="146"/>
      <c r="G4" s="147"/>
      <c r="H4" s="38">
        <v>5</v>
      </c>
      <c r="J4" s="16" t="s">
        <v>11</v>
      </c>
      <c r="K4" s="20">
        <f>COUNT(G14:G203)</f>
        <v>14</v>
      </c>
      <c r="M4" s="6" t="s">
        <v>12</v>
      </c>
      <c r="N4" s="88" t="s">
        <v>54</v>
      </c>
      <c r="O4" s="15" t="s">
        <v>53</v>
      </c>
      <c r="P4" s="15" t="s">
        <v>29</v>
      </c>
      <c r="Q4" s="68" t="s">
        <v>45</v>
      </c>
      <c r="R4" s="20" t="s">
        <v>30</v>
      </c>
      <c r="U4" s="69" t="s">
        <v>7</v>
      </c>
      <c r="V4" s="21">
        <f>IF(C6="","",((H7/1000)^3-1.5*(H6/1000)^2*(H7/1000)+0.5*(H6/1000)^3)/(4*(C6/1000)*(C7/1000)^3))</f>
        <v>314.93079324895945</v>
      </c>
    </row>
    <row r="5" spans="2:47" ht="16.2" thickBot="1" x14ac:dyDescent="0.4">
      <c r="B5" s="19" t="s">
        <v>27</v>
      </c>
      <c r="C5" s="27">
        <v>1325.6</v>
      </c>
      <c r="D5" s="2"/>
      <c r="E5" s="145" t="s">
        <v>14</v>
      </c>
      <c r="F5" s="148"/>
      <c r="G5" s="147"/>
      <c r="H5" s="28">
        <v>1</v>
      </c>
      <c r="J5" s="17" t="s">
        <v>18</v>
      </c>
      <c r="K5" s="21">
        <f>IF(I15="","",ROUND(AVERAGE(I15:I16),0))</f>
        <v>3243</v>
      </c>
      <c r="M5" s="13"/>
      <c r="N5" s="12" t="s">
        <v>48</v>
      </c>
      <c r="O5" s="14" t="s">
        <v>1</v>
      </c>
      <c r="P5" s="14" t="s">
        <v>1</v>
      </c>
      <c r="Q5" s="68" t="s">
        <v>46</v>
      </c>
      <c r="R5" s="22" t="s">
        <v>10</v>
      </c>
      <c r="U5" s="69" t="s">
        <v>8</v>
      </c>
      <c r="V5" s="87">
        <f>0.573*C5/1000+0.872*H8/1000</f>
        <v>2.2419688</v>
      </c>
    </row>
    <row r="6" spans="2:47" ht="14.4" thickTop="1" thickBot="1" x14ac:dyDescent="0.3">
      <c r="B6" s="19" t="s">
        <v>5</v>
      </c>
      <c r="C6" s="27">
        <v>50.2</v>
      </c>
      <c r="D6" s="2"/>
      <c r="E6" s="145" t="s">
        <v>26</v>
      </c>
      <c r="F6" s="146"/>
      <c r="G6" s="147"/>
      <c r="H6" s="28">
        <v>0</v>
      </c>
      <c r="J6" s="17" t="s">
        <v>44</v>
      </c>
      <c r="K6" s="21">
        <f>IF(J15="","",ROUND(AVERAGE(J15:J16),0))</f>
        <v>12</v>
      </c>
      <c r="M6" s="16"/>
      <c r="N6" s="45"/>
      <c r="O6" s="45"/>
      <c r="P6" s="45"/>
      <c r="Q6" s="15"/>
      <c r="R6" s="39"/>
      <c r="U6" s="13" t="s">
        <v>57</v>
      </c>
      <c r="V6" s="98">
        <f ca="1">IF(K5="","",(OFFSET(H14,K4-1,1)+OFFSET(H14,K4-1,1))/2)</f>
        <v>147</v>
      </c>
      <c r="AB6" t="s">
        <v>84</v>
      </c>
    </row>
    <row r="7" spans="2:47" ht="16.8" thickTop="1" thickBot="1" x14ac:dyDescent="0.4">
      <c r="B7" s="19" t="s">
        <v>6</v>
      </c>
      <c r="C7" s="27">
        <v>50.2</v>
      </c>
      <c r="D7" s="2"/>
      <c r="E7" s="145" t="s">
        <v>25</v>
      </c>
      <c r="F7" s="146"/>
      <c r="G7" s="147"/>
      <c r="H7" s="28">
        <v>200</v>
      </c>
      <c r="J7" s="17" t="s">
        <v>19</v>
      </c>
      <c r="K7" s="21">
        <f ca="1">IF(K5="n/b","",OFFSET(B14,K4-1,1))</f>
        <v>175</v>
      </c>
      <c r="M7" s="13" t="str">
        <f>IF(C4="","",C4)</f>
        <v>4V</v>
      </c>
      <c r="N7" s="42">
        <f ca="1">IF(K8="","",K$8)</f>
        <v>4.3806666666666656</v>
      </c>
      <c r="O7" s="42">
        <f ca="1">K9</f>
        <v>2.2544615384615385</v>
      </c>
      <c r="P7" s="46">
        <f>K5</f>
        <v>3243</v>
      </c>
      <c r="Q7" s="46">
        <f>K6</f>
        <v>12</v>
      </c>
      <c r="R7" s="50">
        <f ca="1">K7</f>
        <v>175</v>
      </c>
      <c r="AB7" t="s">
        <v>85</v>
      </c>
    </row>
    <row r="8" spans="2:47" ht="16.8" thickTop="1" thickBot="1" x14ac:dyDescent="0.4">
      <c r="B8" s="37" t="s">
        <v>51</v>
      </c>
      <c r="C8" s="82"/>
      <c r="D8" s="2"/>
      <c r="E8" s="145" t="s">
        <v>28</v>
      </c>
      <c r="F8" s="148"/>
      <c r="G8" s="146"/>
      <c r="H8" s="28">
        <v>1700</v>
      </c>
      <c r="J8" s="17" t="s">
        <v>49</v>
      </c>
      <c r="K8" s="87">
        <f ca="1">IF(G14="","",AVERAGE(G15:OFFSET(F14,MATCH(K7,C14:C200)-2,1)))</f>
        <v>4.3806666666666656</v>
      </c>
      <c r="L8" s="135"/>
      <c r="AB8" t="s">
        <v>141</v>
      </c>
    </row>
    <row r="9" spans="2:47" ht="16.8" thickTop="1" thickBot="1" x14ac:dyDescent="0.4">
      <c r="B9" s="23" t="s">
        <v>50</v>
      </c>
      <c r="C9" s="24">
        <f>IF(C7="","",1.5*H7*(C8-H9)/(C6*C7^2))</f>
        <v>-0.11857144365823319</v>
      </c>
      <c r="D9" s="2"/>
      <c r="E9" s="149" t="s">
        <v>55</v>
      </c>
      <c r="F9" s="150"/>
      <c r="G9" s="151"/>
      <c r="H9" s="29">
        <v>50</v>
      </c>
      <c r="J9" s="23" t="s">
        <v>52</v>
      </c>
      <c r="K9" s="24">
        <f ca="1">IF(H14="","",AVERAGE(H15:OFFSET(H14,MATCH(K7,C14:C200)-1,0)))</f>
        <v>2.2544615384615385</v>
      </c>
      <c r="L9" s="135"/>
      <c r="AB9" t="s">
        <v>142</v>
      </c>
    </row>
    <row r="10" spans="2:47" ht="6.75" customHeight="1" thickTop="1" thickBot="1" x14ac:dyDescent="0.3">
      <c r="B10" s="5"/>
      <c r="C10" s="5"/>
      <c r="D10" s="2"/>
      <c r="E10" s="2"/>
      <c r="F10" s="2"/>
      <c r="G10" s="2"/>
      <c r="H10" s="2"/>
      <c r="AB10" t="s">
        <v>134</v>
      </c>
    </row>
    <row r="11" spans="2:47" ht="14.4" thickTop="1" thickBot="1" x14ac:dyDescent="0.3">
      <c r="B11" s="163" t="s">
        <v>13</v>
      </c>
      <c r="C11" s="164"/>
      <c r="D11" s="2"/>
      <c r="E11" s="152" t="s">
        <v>16</v>
      </c>
      <c r="F11" s="165"/>
      <c r="G11" s="165"/>
      <c r="H11" s="161"/>
      <c r="I11" s="161"/>
      <c r="J11" s="162"/>
      <c r="L11" s="152" t="s">
        <v>17</v>
      </c>
      <c r="M11" s="153"/>
      <c r="N11" s="153"/>
      <c r="O11" s="153"/>
      <c r="P11" s="153"/>
      <c r="Q11" s="154"/>
      <c r="AB11" t="s">
        <v>143</v>
      </c>
    </row>
    <row r="12" spans="2:47" ht="16.2" thickTop="1" x14ac:dyDescent="0.35">
      <c r="B12" s="6"/>
      <c r="C12" s="8" t="s">
        <v>9</v>
      </c>
      <c r="D12" s="3"/>
      <c r="E12" s="52" t="s">
        <v>80</v>
      </c>
      <c r="F12" s="53" t="s">
        <v>36</v>
      </c>
      <c r="G12" s="53" t="s">
        <v>81</v>
      </c>
      <c r="H12" s="55" t="s">
        <v>37</v>
      </c>
      <c r="I12" s="7" t="s">
        <v>0</v>
      </c>
      <c r="J12" s="8" t="s">
        <v>2</v>
      </c>
      <c r="K12" s="138"/>
      <c r="L12" s="7" t="s">
        <v>38</v>
      </c>
      <c r="M12" s="25" t="s">
        <v>82</v>
      </c>
      <c r="N12" s="25" t="s">
        <v>39</v>
      </c>
      <c r="O12" s="25" t="s">
        <v>43</v>
      </c>
      <c r="P12" s="25" t="s">
        <v>24</v>
      </c>
      <c r="Q12" s="8" t="s">
        <v>21</v>
      </c>
    </row>
    <row r="13" spans="2:47" ht="13.8" thickBot="1" x14ac:dyDescent="0.3">
      <c r="B13" s="13"/>
      <c r="C13" s="11" t="s">
        <v>10</v>
      </c>
      <c r="D13" s="3"/>
      <c r="E13" s="10" t="s">
        <v>4</v>
      </c>
      <c r="F13" s="26" t="s">
        <v>4</v>
      </c>
      <c r="G13" s="26" t="s">
        <v>1</v>
      </c>
      <c r="H13" s="63" t="s">
        <v>1</v>
      </c>
      <c r="I13" s="10" t="s">
        <v>1</v>
      </c>
      <c r="J13" s="11" t="s">
        <v>3</v>
      </c>
      <c r="K13" s="136"/>
      <c r="L13" s="10" t="s">
        <v>40</v>
      </c>
      <c r="M13" s="26" t="s">
        <v>40</v>
      </c>
      <c r="N13" s="26" t="s">
        <v>41</v>
      </c>
      <c r="O13" s="26" t="s">
        <v>41</v>
      </c>
      <c r="P13" s="26" t="s">
        <v>42</v>
      </c>
      <c r="Q13" s="11" t="s">
        <v>42</v>
      </c>
    </row>
    <row r="14" spans="2:47" ht="13.8" thickTop="1" x14ac:dyDescent="0.25">
      <c r="B14" s="7">
        <v>1</v>
      </c>
      <c r="C14" s="34">
        <v>0</v>
      </c>
      <c r="D14" s="3"/>
      <c r="E14" s="9">
        <f t="shared" ref="E14:E77" si="0">IF(L14="","",ROUND(12*C$7/(2*H$7^2+2*H$6*H$7-H$6^2)*L14*1000000,0))</f>
        <v>1913</v>
      </c>
      <c r="F14" s="54">
        <f>IF(L14="","",ABS(ROUND(12*C$7/(2*(H$7/1000)^2+2*(H$6/1000)*(H$7/1000)-(H$6/1000)^2)*(M14-M$14)*1,0)))</f>
        <v>0</v>
      </c>
      <c r="G14" s="73">
        <f t="shared" ref="G14:G77" si="1">IF(L14="","",ROUND(1.5*((N14-O14)*1000*H$7)/(C$6*C$7^2),3))</f>
        <v>4.3609999999999998</v>
      </c>
      <c r="H14" s="56">
        <f t="shared" ref="H14:H77" si="2">IF(L14="","",ROUND(1.5*((N14/2-O14)*1000*H$7)/(C$6*C$7^2),3))</f>
        <v>2.2370000000000001</v>
      </c>
      <c r="I14" s="57">
        <f t="shared" ref="I14:I77" si="3">IF(L14="","",IF(P14&lt;=0,"foute meting",ROUND(0.000001*V$4*SQRT((1000000*Q14)^2+(1000000*P14+V$5*(2*PI()*H$5)^2)^2),0)))</f>
        <v>3171</v>
      </c>
      <c r="J14" s="58">
        <f t="shared" ref="J14:J77" si="4">IF(L14="","",ROUND(ATAN(Q14/P14)/PI()*180,1))</f>
        <v>5.2</v>
      </c>
      <c r="L14" s="31">
        <f t="shared" ref="L14:L77" si="5">IF(AG16&lt;=0,"",AG16)</f>
        <v>0.254</v>
      </c>
      <c r="M14" s="30">
        <f>IF(AG16="","",AG16/2-AE16)</f>
        <v>0.123</v>
      </c>
      <c r="N14" s="30">
        <f t="shared" ref="N14:N77" si="6">IF(AI16="","",AI16)</f>
        <v>1.7909999999999999</v>
      </c>
      <c r="O14" s="30">
        <f t="shared" ref="O14:O77" si="7">IF(AH16="","",AH16)</f>
        <v>-4.8000000000000001E-2</v>
      </c>
      <c r="P14" s="30">
        <f t="shared" ref="P14:Q45" si="8">IF(AJ16="","",AJ16)</f>
        <v>10.028</v>
      </c>
      <c r="Q14" s="59">
        <f t="shared" si="8"/>
        <v>0.92100000000000004</v>
      </c>
      <c r="AB14" t="s">
        <v>86</v>
      </c>
      <c r="AC14" t="s">
        <v>87</v>
      </c>
      <c r="AD14" t="s">
        <v>88</v>
      </c>
      <c r="AE14" t="s">
        <v>89</v>
      </c>
      <c r="AF14" t="s">
        <v>90</v>
      </c>
      <c r="AG14" t="s">
        <v>91</v>
      </c>
      <c r="AH14" t="s">
        <v>113</v>
      </c>
      <c r="AI14" t="s">
        <v>114</v>
      </c>
      <c r="AJ14" t="s">
        <v>92</v>
      </c>
      <c r="AK14" t="s">
        <v>93</v>
      </c>
      <c r="AL14" t="s">
        <v>94</v>
      </c>
      <c r="AM14" t="s">
        <v>95</v>
      </c>
      <c r="AN14" t="s">
        <v>96</v>
      </c>
      <c r="AO14" t="s">
        <v>97</v>
      </c>
      <c r="AP14" t="s">
        <v>98</v>
      </c>
      <c r="AQ14" t="s">
        <v>99</v>
      </c>
      <c r="AR14" t="s">
        <v>100</v>
      </c>
      <c r="AS14" t="s">
        <v>101</v>
      </c>
      <c r="AT14" t="s">
        <v>102</v>
      </c>
      <c r="AU14" t="s">
        <v>103</v>
      </c>
    </row>
    <row r="15" spans="2:47" x14ac:dyDescent="0.25">
      <c r="B15" s="9">
        <v>2</v>
      </c>
      <c r="C15" s="35">
        <v>10</v>
      </c>
      <c r="D15" s="3"/>
      <c r="E15" s="9">
        <f t="shared" si="0"/>
        <v>1514</v>
      </c>
      <c r="F15" s="54">
        <f t="shared" ref="F15:F78" si="9">IF(L15="","",ABS(ROUND(12*C$7/(2*(H$7/1000)^2+2*(H$6/1000)*(H$7/1000)-(H$6/1000)^2)*(M15-M$14)*1,0)))</f>
        <v>772</v>
      </c>
      <c r="G15" s="73">
        <f t="shared" si="1"/>
        <v>4.3680000000000003</v>
      </c>
      <c r="H15" s="56">
        <f t="shared" si="2"/>
        <v>2.2530000000000001</v>
      </c>
      <c r="I15" s="57">
        <f t="shared" si="3"/>
        <v>3239</v>
      </c>
      <c r="J15" s="58">
        <f t="shared" si="4"/>
        <v>11.7</v>
      </c>
      <c r="L15" s="31">
        <f t="shared" si="5"/>
        <v>0.20100000000000001</v>
      </c>
      <c r="M15" s="32">
        <f t="shared" ref="M15:M78" si="10">IF(AG17="","",AG17/2-AE17)</f>
        <v>0.22550000000000001</v>
      </c>
      <c r="N15" s="32">
        <f t="shared" si="6"/>
        <v>1.784</v>
      </c>
      <c r="O15" s="32">
        <f t="shared" si="7"/>
        <v>-5.8000000000000003E-2</v>
      </c>
      <c r="P15" s="32">
        <f t="shared" si="8"/>
        <v>10.07</v>
      </c>
      <c r="Q15" s="33">
        <f t="shared" si="8"/>
        <v>2.085</v>
      </c>
      <c r="AE15" t="s">
        <v>104</v>
      </c>
      <c r="AF15" t="s">
        <v>104</v>
      </c>
      <c r="AG15" t="s">
        <v>104</v>
      </c>
      <c r="AH15" t="s">
        <v>105</v>
      </c>
      <c r="AI15" t="s">
        <v>105</v>
      </c>
      <c r="AJ15" t="s">
        <v>106</v>
      </c>
      <c r="AK15" t="s">
        <v>106</v>
      </c>
      <c r="AL15" t="s">
        <v>107</v>
      </c>
      <c r="AN15" t="s">
        <v>106</v>
      </c>
      <c r="AO15" t="s">
        <v>106</v>
      </c>
      <c r="AP15" t="s">
        <v>108</v>
      </c>
      <c r="AQ15" t="s">
        <v>107</v>
      </c>
      <c r="AS15" t="s">
        <v>109</v>
      </c>
      <c r="AT15" t="s">
        <v>107</v>
      </c>
    </row>
    <row r="16" spans="2:47" x14ac:dyDescent="0.25">
      <c r="B16" s="9">
        <v>3</v>
      </c>
      <c r="C16" s="35">
        <v>20</v>
      </c>
      <c r="D16" s="3"/>
      <c r="E16" s="9">
        <f t="shared" si="0"/>
        <v>1506</v>
      </c>
      <c r="F16" s="54">
        <f t="shared" si="9"/>
        <v>1182</v>
      </c>
      <c r="G16" s="73">
        <f t="shared" si="1"/>
        <v>4.375</v>
      </c>
      <c r="H16" s="56">
        <f t="shared" si="2"/>
        <v>2.2530000000000001</v>
      </c>
      <c r="I16" s="57">
        <f t="shared" si="3"/>
        <v>3247</v>
      </c>
      <c r="J16" s="58">
        <f t="shared" si="4"/>
        <v>12.2</v>
      </c>
      <c r="L16" s="31">
        <f t="shared" si="5"/>
        <v>0.2</v>
      </c>
      <c r="M16" s="32">
        <f t="shared" si="10"/>
        <v>0.28000000000000003</v>
      </c>
      <c r="N16" s="32">
        <f t="shared" si="6"/>
        <v>1.79</v>
      </c>
      <c r="O16" s="32">
        <f t="shared" si="7"/>
        <v>-5.5E-2</v>
      </c>
      <c r="P16" s="32">
        <f t="shared" si="8"/>
        <v>10.079000000000001</v>
      </c>
      <c r="Q16" s="33">
        <f t="shared" si="8"/>
        <v>2.1739999999999999</v>
      </c>
      <c r="AB16">
        <v>1</v>
      </c>
      <c r="AC16">
        <v>4</v>
      </c>
      <c r="AD16">
        <v>1</v>
      </c>
      <c r="AE16">
        <v>4.0000000000000001E-3</v>
      </c>
      <c r="AF16">
        <v>-0.25</v>
      </c>
      <c r="AG16">
        <v>0.254</v>
      </c>
      <c r="AH16">
        <v>-4.8000000000000001E-2</v>
      </c>
      <c r="AI16">
        <v>1.7909999999999999</v>
      </c>
      <c r="AJ16">
        <v>10.028</v>
      </c>
      <c r="AK16">
        <v>0.92100000000000004</v>
      </c>
      <c r="AL16">
        <v>4.9470000000000001</v>
      </c>
      <c r="AM16">
        <v>8.6999999999999994E-2</v>
      </c>
      <c r="AN16">
        <v>10.097</v>
      </c>
      <c r="AO16">
        <v>9.4659999999999993</v>
      </c>
      <c r="AP16">
        <v>2.4E-2</v>
      </c>
      <c r="AQ16">
        <v>5.306</v>
      </c>
      <c r="AR16">
        <v>9.2999999999999999E-2</v>
      </c>
      <c r="AS16">
        <v>1</v>
      </c>
      <c r="AT16">
        <v>0</v>
      </c>
      <c r="AU16">
        <v>64</v>
      </c>
    </row>
    <row r="17" spans="2:47" x14ac:dyDescent="0.25">
      <c r="B17" s="9">
        <v>4</v>
      </c>
      <c r="C17" s="35">
        <v>30</v>
      </c>
      <c r="D17" s="3"/>
      <c r="E17" s="9">
        <f t="shared" si="0"/>
        <v>1521</v>
      </c>
      <c r="F17" s="54">
        <f t="shared" si="9"/>
        <v>1529</v>
      </c>
      <c r="G17" s="73">
        <f t="shared" si="1"/>
        <v>4.3819999999999997</v>
      </c>
      <c r="H17" s="56">
        <f t="shared" si="2"/>
        <v>2.254</v>
      </c>
      <c r="I17" s="57">
        <f t="shared" si="3"/>
        <v>3242</v>
      </c>
      <c r="J17" s="58">
        <f t="shared" si="4"/>
        <v>12.2</v>
      </c>
      <c r="L17" s="31">
        <f t="shared" si="5"/>
        <v>0.20200000000000001</v>
      </c>
      <c r="M17" s="32">
        <f t="shared" si="10"/>
        <v>0.32600000000000001</v>
      </c>
      <c r="N17" s="32">
        <f t="shared" si="6"/>
        <v>1.7949999999999999</v>
      </c>
      <c r="O17" s="32">
        <f t="shared" si="7"/>
        <v>-5.2999999999999999E-2</v>
      </c>
      <c r="P17" s="32">
        <f t="shared" si="8"/>
        <v>10.063000000000001</v>
      </c>
      <c r="Q17" s="33">
        <f t="shared" si="8"/>
        <v>2.17</v>
      </c>
      <c r="AB17">
        <v>1</v>
      </c>
      <c r="AC17">
        <v>4</v>
      </c>
      <c r="AD17">
        <v>2</v>
      </c>
      <c r="AE17">
        <v>-0.125</v>
      </c>
      <c r="AF17">
        <v>-0.32600000000000001</v>
      </c>
      <c r="AG17">
        <v>0.20100000000000001</v>
      </c>
      <c r="AH17">
        <v>-5.8000000000000003E-2</v>
      </c>
      <c r="AI17">
        <v>1.784</v>
      </c>
      <c r="AJ17">
        <v>10.07</v>
      </c>
      <c r="AK17">
        <v>2.085</v>
      </c>
      <c r="AL17">
        <v>11.699</v>
      </c>
      <c r="AM17">
        <v>0.20699999999999999</v>
      </c>
      <c r="AN17">
        <v>10.284000000000001</v>
      </c>
      <c r="AO17">
        <v>9.6150000000000002</v>
      </c>
      <c r="AP17">
        <v>4.9000000000000002E-2</v>
      </c>
      <c r="AQ17">
        <v>10.901999999999999</v>
      </c>
      <c r="AR17">
        <v>0.193</v>
      </c>
      <c r="AS17">
        <v>1</v>
      </c>
      <c r="AT17">
        <v>0</v>
      </c>
      <c r="AU17">
        <v>64</v>
      </c>
    </row>
    <row r="18" spans="2:47" x14ac:dyDescent="0.25">
      <c r="B18" s="9">
        <v>5</v>
      </c>
      <c r="C18" s="35">
        <v>40</v>
      </c>
      <c r="D18" s="3"/>
      <c r="E18" s="9">
        <f t="shared" si="0"/>
        <v>1498</v>
      </c>
      <c r="F18" s="54">
        <f t="shared" si="9"/>
        <v>1834</v>
      </c>
      <c r="G18" s="73">
        <f t="shared" si="1"/>
        <v>4.3819999999999997</v>
      </c>
      <c r="H18" s="56">
        <f t="shared" si="2"/>
        <v>2.2530000000000001</v>
      </c>
      <c r="I18" s="57">
        <f t="shared" si="3"/>
        <v>3226</v>
      </c>
      <c r="J18" s="58">
        <f t="shared" si="4"/>
        <v>12.2</v>
      </c>
      <c r="L18" s="31">
        <f t="shared" si="5"/>
        <v>0.19900000000000001</v>
      </c>
      <c r="M18" s="32">
        <f t="shared" si="10"/>
        <v>0.36650000000000005</v>
      </c>
      <c r="N18" s="32">
        <f t="shared" si="6"/>
        <v>1.796</v>
      </c>
      <c r="O18" s="32">
        <f t="shared" si="7"/>
        <v>-5.1999999999999998E-2</v>
      </c>
      <c r="P18" s="32">
        <f t="shared" si="8"/>
        <v>10.013</v>
      </c>
      <c r="Q18" s="33">
        <f t="shared" si="8"/>
        <v>2.165</v>
      </c>
      <c r="AB18">
        <v>1</v>
      </c>
      <c r="AC18">
        <v>4</v>
      </c>
      <c r="AD18">
        <v>3</v>
      </c>
      <c r="AE18">
        <v>-0.18</v>
      </c>
      <c r="AF18">
        <v>-0.38</v>
      </c>
      <c r="AG18">
        <v>0.2</v>
      </c>
      <c r="AH18">
        <v>-5.5E-2</v>
      </c>
      <c r="AI18">
        <v>1.79</v>
      </c>
      <c r="AJ18">
        <v>10.079000000000001</v>
      </c>
      <c r="AK18">
        <v>2.1739999999999999</v>
      </c>
      <c r="AL18">
        <v>12.17</v>
      </c>
      <c r="AM18">
        <v>0.216</v>
      </c>
      <c r="AN18">
        <v>10.311</v>
      </c>
      <c r="AO18">
        <v>9.6769999999999996</v>
      </c>
      <c r="AP18">
        <v>5.0999999999999997E-2</v>
      </c>
      <c r="AQ18">
        <v>11.372</v>
      </c>
      <c r="AR18">
        <v>0.20100000000000001</v>
      </c>
      <c r="AS18">
        <v>1</v>
      </c>
      <c r="AT18">
        <v>0</v>
      </c>
      <c r="AU18">
        <v>64</v>
      </c>
    </row>
    <row r="19" spans="2:47" x14ac:dyDescent="0.25">
      <c r="B19" s="9">
        <v>6</v>
      </c>
      <c r="C19" s="35">
        <v>50</v>
      </c>
      <c r="D19" s="3"/>
      <c r="E19" s="9">
        <f t="shared" si="0"/>
        <v>1461</v>
      </c>
      <c r="F19" s="54">
        <f t="shared" si="9"/>
        <v>2154</v>
      </c>
      <c r="G19" s="73">
        <f t="shared" si="1"/>
        <v>4.38</v>
      </c>
      <c r="H19" s="56">
        <f t="shared" si="2"/>
        <v>2.25</v>
      </c>
      <c r="I19" s="57">
        <f t="shared" si="3"/>
        <v>3206</v>
      </c>
      <c r="J19" s="58">
        <f t="shared" si="4"/>
        <v>12.4</v>
      </c>
      <c r="L19" s="31">
        <f t="shared" si="5"/>
        <v>0.19400000000000001</v>
      </c>
      <c r="M19" s="32">
        <f t="shared" si="10"/>
        <v>0.40900000000000003</v>
      </c>
      <c r="N19" s="32">
        <f t="shared" si="6"/>
        <v>1.796</v>
      </c>
      <c r="O19" s="32">
        <f t="shared" si="7"/>
        <v>-5.0999999999999997E-2</v>
      </c>
      <c r="P19" s="32">
        <f t="shared" si="8"/>
        <v>9.9429999999999996</v>
      </c>
      <c r="Q19" s="33">
        <f t="shared" si="8"/>
        <v>2.1869999999999998</v>
      </c>
      <c r="AB19">
        <v>1</v>
      </c>
      <c r="AC19">
        <v>4</v>
      </c>
      <c r="AD19">
        <v>4</v>
      </c>
      <c r="AE19">
        <v>-0.22500000000000001</v>
      </c>
      <c r="AF19">
        <v>-0.42699999999999999</v>
      </c>
      <c r="AG19">
        <v>0.20200000000000001</v>
      </c>
      <c r="AH19">
        <v>-5.2999999999999999E-2</v>
      </c>
      <c r="AI19">
        <v>1.7949999999999999</v>
      </c>
      <c r="AJ19">
        <v>10.063000000000001</v>
      </c>
      <c r="AK19">
        <v>2.17</v>
      </c>
      <c r="AL19">
        <v>12.167999999999999</v>
      </c>
      <c r="AM19">
        <v>0.216</v>
      </c>
      <c r="AN19">
        <v>10.295</v>
      </c>
      <c r="AO19">
        <v>9.6809999999999992</v>
      </c>
      <c r="AP19">
        <v>5.0999999999999997E-2</v>
      </c>
      <c r="AQ19">
        <v>11.394</v>
      </c>
      <c r="AR19">
        <v>0.20200000000000001</v>
      </c>
      <c r="AS19">
        <v>1</v>
      </c>
      <c r="AT19">
        <v>0</v>
      </c>
      <c r="AU19">
        <v>64</v>
      </c>
    </row>
    <row r="20" spans="2:47" x14ac:dyDescent="0.25">
      <c r="B20" s="9">
        <v>7</v>
      </c>
      <c r="C20" s="35">
        <v>60</v>
      </c>
      <c r="D20" s="3"/>
      <c r="E20" s="9">
        <f t="shared" si="0"/>
        <v>1506</v>
      </c>
      <c r="F20" s="54">
        <f t="shared" si="9"/>
        <v>2432</v>
      </c>
      <c r="G20" s="73">
        <f t="shared" si="1"/>
        <v>4.3819999999999997</v>
      </c>
      <c r="H20" s="56">
        <f t="shared" si="2"/>
        <v>2.2530000000000001</v>
      </c>
      <c r="I20" s="57">
        <f t="shared" si="3"/>
        <v>3177</v>
      </c>
      <c r="J20" s="58">
        <f t="shared" si="4"/>
        <v>12.6</v>
      </c>
      <c r="L20" s="31">
        <f t="shared" si="5"/>
        <v>0.2</v>
      </c>
      <c r="M20" s="32">
        <f t="shared" si="10"/>
        <v>0.44599999999999995</v>
      </c>
      <c r="N20" s="32">
        <f t="shared" si="6"/>
        <v>1.796</v>
      </c>
      <c r="O20" s="32">
        <f t="shared" si="7"/>
        <v>-5.1999999999999998E-2</v>
      </c>
      <c r="P20" s="32">
        <f t="shared" si="8"/>
        <v>9.8460000000000001</v>
      </c>
      <c r="Q20" s="33">
        <f t="shared" si="8"/>
        <v>2.1930000000000001</v>
      </c>
      <c r="AB20">
        <v>1</v>
      </c>
      <c r="AC20">
        <v>4</v>
      </c>
      <c r="AD20">
        <v>5</v>
      </c>
      <c r="AE20">
        <v>-0.26700000000000002</v>
      </c>
      <c r="AF20">
        <v>-0.46600000000000003</v>
      </c>
      <c r="AG20">
        <v>0.19900000000000001</v>
      </c>
      <c r="AH20">
        <v>-5.1999999999999998E-2</v>
      </c>
      <c r="AI20">
        <v>1.796</v>
      </c>
      <c r="AJ20">
        <v>10.013</v>
      </c>
      <c r="AK20">
        <v>2.165</v>
      </c>
      <c r="AL20">
        <v>12.2</v>
      </c>
      <c r="AM20">
        <v>0.216</v>
      </c>
      <c r="AN20">
        <v>10.244</v>
      </c>
      <c r="AO20">
        <v>9.7149999999999999</v>
      </c>
      <c r="AP20">
        <v>5.1999999999999998E-2</v>
      </c>
      <c r="AQ20">
        <v>11.513999999999999</v>
      </c>
      <c r="AR20">
        <v>0.20399999999999999</v>
      </c>
      <c r="AS20">
        <v>1</v>
      </c>
      <c r="AT20">
        <v>0</v>
      </c>
      <c r="AU20">
        <v>64</v>
      </c>
    </row>
    <row r="21" spans="2:47" x14ac:dyDescent="0.25">
      <c r="B21" s="9">
        <v>8</v>
      </c>
      <c r="C21" s="35">
        <v>70</v>
      </c>
      <c r="D21" s="3"/>
      <c r="E21" s="9">
        <f t="shared" si="0"/>
        <v>1521</v>
      </c>
      <c r="F21" s="54">
        <f t="shared" si="9"/>
        <v>2733</v>
      </c>
      <c r="G21" s="73">
        <f t="shared" si="1"/>
        <v>4.38</v>
      </c>
      <c r="H21" s="56">
        <f t="shared" si="2"/>
        <v>2.25</v>
      </c>
      <c r="I21" s="57">
        <f t="shared" si="3"/>
        <v>3156</v>
      </c>
      <c r="J21" s="58">
        <f t="shared" si="4"/>
        <v>12.7</v>
      </c>
      <c r="L21" s="31">
        <f t="shared" si="5"/>
        <v>0.20200000000000001</v>
      </c>
      <c r="M21" s="32">
        <f t="shared" si="10"/>
        <v>0.48599999999999999</v>
      </c>
      <c r="N21" s="32">
        <f t="shared" si="6"/>
        <v>1.796</v>
      </c>
      <c r="O21" s="32">
        <f t="shared" si="7"/>
        <v>-5.0999999999999997E-2</v>
      </c>
      <c r="P21" s="32">
        <f t="shared" si="8"/>
        <v>9.7789999999999999</v>
      </c>
      <c r="Q21" s="33">
        <f t="shared" si="8"/>
        <v>2.1949999999999998</v>
      </c>
      <c r="AB21">
        <v>1</v>
      </c>
      <c r="AC21">
        <v>4</v>
      </c>
      <c r="AD21">
        <v>6</v>
      </c>
      <c r="AE21">
        <v>-0.312</v>
      </c>
      <c r="AF21">
        <v>-0.505</v>
      </c>
      <c r="AG21">
        <v>0.19400000000000001</v>
      </c>
      <c r="AH21">
        <v>-5.0999999999999997E-2</v>
      </c>
      <c r="AI21">
        <v>1.796</v>
      </c>
      <c r="AJ21">
        <v>9.9429999999999996</v>
      </c>
      <c r="AK21">
        <v>2.1869999999999998</v>
      </c>
      <c r="AL21">
        <v>12.407</v>
      </c>
      <c r="AM21">
        <v>0.22</v>
      </c>
      <c r="AN21">
        <v>10.180999999999999</v>
      </c>
      <c r="AO21">
        <v>9.6940000000000008</v>
      </c>
      <c r="AP21">
        <v>5.2999999999999999E-2</v>
      </c>
      <c r="AQ21">
        <v>11.754</v>
      </c>
      <c r="AR21">
        <v>0.20799999999999999</v>
      </c>
      <c r="AS21">
        <v>1</v>
      </c>
      <c r="AT21">
        <v>0</v>
      </c>
      <c r="AU21">
        <v>64</v>
      </c>
    </row>
    <row r="22" spans="2:47" x14ac:dyDescent="0.25">
      <c r="B22" s="9">
        <v>9</v>
      </c>
      <c r="C22" s="35">
        <v>80</v>
      </c>
      <c r="D22" s="3"/>
      <c r="E22" s="9">
        <f t="shared" si="0"/>
        <v>1521</v>
      </c>
      <c r="F22" s="54">
        <f t="shared" si="9"/>
        <v>3020</v>
      </c>
      <c r="G22" s="73">
        <f t="shared" si="1"/>
        <v>4.3869999999999996</v>
      </c>
      <c r="H22" s="56">
        <f t="shared" si="2"/>
        <v>2.254</v>
      </c>
      <c r="I22" s="57">
        <f t="shared" si="3"/>
        <v>3126</v>
      </c>
      <c r="J22" s="58">
        <f t="shared" si="4"/>
        <v>12.8</v>
      </c>
      <c r="L22" s="31">
        <f t="shared" si="5"/>
        <v>0.20200000000000001</v>
      </c>
      <c r="M22" s="32">
        <f t="shared" si="10"/>
        <v>0.52400000000000002</v>
      </c>
      <c r="N22" s="32">
        <f t="shared" si="6"/>
        <v>1.7989999999999999</v>
      </c>
      <c r="O22" s="32">
        <f t="shared" si="7"/>
        <v>-5.0999999999999997E-2</v>
      </c>
      <c r="P22" s="32">
        <f t="shared" si="8"/>
        <v>9.68</v>
      </c>
      <c r="Q22" s="33">
        <f t="shared" si="8"/>
        <v>2.202</v>
      </c>
      <c r="AB22">
        <v>1</v>
      </c>
      <c r="AC22">
        <v>4</v>
      </c>
      <c r="AD22">
        <v>7</v>
      </c>
      <c r="AE22">
        <v>-0.34599999999999997</v>
      </c>
      <c r="AF22">
        <v>-0.54600000000000004</v>
      </c>
      <c r="AG22">
        <v>0.2</v>
      </c>
      <c r="AH22">
        <v>-5.1999999999999998E-2</v>
      </c>
      <c r="AI22">
        <v>1.796</v>
      </c>
      <c r="AJ22">
        <v>9.8460000000000001</v>
      </c>
      <c r="AK22">
        <v>2.1930000000000001</v>
      </c>
      <c r="AL22">
        <v>12.558</v>
      </c>
      <c r="AM22">
        <v>0.223</v>
      </c>
      <c r="AN22">
        <v>10.087</v>
      </c>
      <c r="AO22">
        <v>9.5259999999999998</v>
      </c>
      <c r="AP22">
        <v>5.3999999999999999E-2</v>
      </c>
      <c r="AQ22">
        <v>11.789</v>
      </c>
      <c r="AR22">
        <v>0.20899999999999999</v>
      </c>
      <c r="AS22">
        <v>1</v>
      </c>
      <c r="AT22">
        <v>0</v>
      </c>
      <c r="AU22">
        <v>64</v>
      </c>
    </row>
    <row r="23" spans="2:47" x14ac:dyDescent="0.25">
      <c r="B23" s="9">
        <v>10</v>
      </c>
      <c r="C23" s="35">
        <v>90</v>
      </c>
      <c r="D23" s="3"/>
      <c r="E23" s="9">
        <f t="shared" si="0"/>
        <v>1529</v>
      </c>
      <c r="F23" s="54">
        <f t="shared" si="9"/>
        <v>3332</v>
      </c>
      <c r="G23" s="73">
        <f t="shared" si="1"/>
        <v>4.3849999999999998</v>
      </c>
      <c r="H23" s="56">
        <f t="shared" si="2"/>
        <v>2.254</v>
      </c>
      <c r="I23" s="57">
        <f t="shared" si="3"/>
        <v>3104</v>
      </c>
      <c r="J23" s="58">
        <f t="shared" si="4"/>
        <v>13</v>
      </c>
      <c r="L23" s="31">
        <f t="shared" si="5"/>
        <v>0.20300000000000001</v>
      </c>
      <c r="M23" s="32">
        <f t="shared" si="10"/>
        <v>0.5655</v>
      </c>
      <c r="N23" s="32">
        <f t="shared" si="6"/>
        <v>1.7969999999999999</v>
      </c>
      <c r="O23" s="32">
        <f t="shared" si="7"/>
        <v>-5.1999999999999998E-2</v>
      </c>
      <c r="P23" s="32">
        <f t="shared" si="8"/>
        <v>9.6039999999999992</v>
      </c>
      <c r="Q23" s="33">
        <f t="shared" si="8"/>
        <v>2.218</v>
      </c>
      <c r="AB23">
        <v>1</v>
      </c>
      <c r="AC23">
        <v>4</v>
      </c>
      <c r="AD23">
        <v>8</v>
      </c>
      <c r="AE23">
        <v>-0.38500000000000001</v>
      </c>
      <c r="AF23">
        <v>-0.58699999999999997</v>
      </c>
      <c r="AG23">
        <v>0.20200000000000001</v>
      </c>
      <c r="AH23">
        <v>-5.0999999999999997E-2</v>
      </c>
      <c r="AI23">
        <v>1.796</v>
      </c>
      <c r="AJ23">
        <v>9.7789999999999999</v>
      </c>
      <c r="AK23">
        <v>2.1949999999999998</v>
      </c>
      <c r="AL23">
        <v>12.65</v>
      </c>
      <c r="AM23">
        <v>0.224</v>
      </c>
      <c r="AN23">
        <v>10.022</v>
      </c>
      <c r="AO23">
        <v>9.5150000000000006</v>
      </c>
      <c r="AP23">
        <v>5.5E-2</v>
      </c>
      <c r="AQ23">
        <v>11.952</v>
      </c>
      <c r="AR23">
        <v>0.21199999999999999</v>
      </c>
      <c r="AS23">
        <v>1</v>
      </c>
      <c r="AT23">
        <v>0</v>
      </c>
      <c r="AU23">
        <v>64</v>
      </c>
    </row>
    <row r="24" spans="2:47" x14ac:dyDescent="0.25">
      <c r="B24" s="9">
        <v>11</v>
      </c>
      <c r="C24" s="35">
        <v>100</v>
      </c>
      <c r="D24" s="3"/>
      <c r="E24" s="9">
        <f t="shared" si="0"/>
        <v>1566</v>
      </c>
      <c r="F24" s="54">
        <f t="shared" si="9"/>
        <v>3637</v>
      </c>
      <c r="G24" s="73">
        <f t="shared" si="1"/>
        <v>4.3819999999999997</v>
      </c>
      <c r="H24" s="56">
        <f t="shared" si="2"/>
        <v>2.2530000000000001</v>
      </c>
      <c r="I24" s="57">
        <f t="shared" si="3"/>
        <v>3072</v>
      </c>
      <c r="J24" s="58">
        <f t="shared" si="4"/>
        <v>13.2</v>
      </c>
      <c r="L24" s="31">
        <f t="shared" si="5"/>
        <v>0.20799999999999999</v>
      </c>
      <c r="M24" s="32">
        <f t="shared" si="10"/>
        <v>0.60599999999999998</v>
      </c>
      <c r="N24" s="32">
        <f t="shared" si="6"/>
        <v>1.796</v>
      </c>
      <c r="O24" s="32">
        <f t="shared" si="7"/>
        <v>-5.1999999999999998E-2</v>
      </c>
      <c r="P24" s="32">
        <f t="shared" si="8"/>
        <v>9.4960000000000004</v>
      </c>
      <c r="Q24" s="33">
        <f t="shared" si="8"/>
        <v>2.2349999999999999</v>
      </c>
      <c r="AB24">
        <v>1</v>
      </c>
      <c r="AC24">
        <v>4</v>
      </c>
      <c r="AD24">
        <v>9</v>
      </c>
      <c r="AE24">
        <v>-0.42299999999999999</v>
      </c>
      <c r="AF24">
        <v>-0.625</v>
      </c>
      <c r="AG24">
        <v>0.20200000000000001</v>
      </c>
      <c r="AH24">
        <v>-5.0999999999999997E-2</v>
      </c>
      <c r="AI24">
        <v>1.7989999999999999</v>
      </c>
      <c r="AJ24">
        <v>9.68</v>
      </c>
      <c r="AK24">
        <v>2.202</v>
      </c>
      <c r="AL24">
        <v>12.817</v>
      </c>
      <c r="AM24">
        <v>0.22800000000000001</v>
      </c>
      <c r="AN24">
        <v>9.9280000000000008</v>
      </c>
      <c r="AO24">
        <v>9.4990000000000006</v>
      </c>
      <c r="AP24">
        <v>5.6000000000000001E-2</v>
      </c>
      <c r="AQ24">
        <v>12.198</v>
      </c>
      <c r="AR24">
        <v>0.216</v>
      </c>
      <c r="AS24">
        <v>1</v>
      </c>
      <c r="AT24">
        <v>0</v>
      </c>
      <c r="AU24">
        <v>64</v>
      </c>
    </row>
    <row r="25" spans="2:47" x14ac:dyDescent="0.25">
      <c r="B25" s="9">
        <v>12</v>
      </c>
      <c r="C25" s="35">
        <v>125</v>
      </c>
      <c r="D25" s="3"/>
      <c r="E25" s="9">
        <f t="shared" si="0"/>
        <v>1649</v>
      </c>
      <c r="F25" s="54">
        <f t="shared" si="9"/>
        <v>4590</v>
      </c>
      <c r="G25" s="73">
        <f t="shared" si="1"/>
        <v>4.3849999999999998</v>
      </c>
      <c r="H25" s="56">
        <f t="shared" si="2"/>
        <v>2.254</v>
      </c>
      <c r="I25" s="57">
        <f t="shared" si="3"/>
        <v>2911</v>
      </c>
      <c r="J25" s="58">
        <f t="shared" si="4"/>
        <v>14.5</v>
      </c>
      <c r="L25" s="31">
        <f t="shared" si="5"/>
        <v>0.219</v>
      </c>
      <c r="M25" s="32">
        <f t="shared" si="10"/>
        <v>0.73250000000000004</v>
      </c>
      <c r="N25" s="32">
        <f t="shared" si="6"/>
        <v>1.7969999999999999</v>
      </c>
      <c r="O25" s="32">
        <f t="shared" si="7"/>
        <v>-5.1999999999999998E-2</v>
      </c>
      <c r="P25" s="32">
        <f t="shared" si="8"/>
        <v>8.9469999999999992</v>
      </c>
      <c r="Q25" s="33">
        <f t="shared" si="8"/>
        <v>2.3170000000000002</v>
      </c>
      <c r="AB25">
        <v>1</v>
      </c>
      <c r="AC25">
        <v>4</v>
      </c>
      <c r="AD25">
        <v>10</v>
      </c>
      <c r="AE25">
        <v>-0.46400000000000002</v>
      </c>
      <c r="AF25">
        <v>-0.66700000000000004</v>
      </c>
      <c r="AG25">
        <v>0.20300000000000001</v>
      </c>
      <c r="AH25">
        <v>-5.1999999999999998E-2</v>
      </c>
      <c r="AI25">
        <v>1.7969999999999999</v>
      </c>
      <c r="AJ25">
        <v>9.6039999999999992</v>
      </c>
      <c r="AK25">
        <v>2.218</v>
      </c>
      <c r="AL25">
        <v>13.002000000000001</v>
      </c>
      <c r="AM25">
        <v>0.23100000000000001</v>
      </c>
      <c r="AN25">
        <v>9.8559999999999999</v>
      </c>
      <c r="AO25">
        <v>9.3140000000000001</v>
      </c>
      <c r="AP25">
        <v>5.8000000000000003E-2</v>
      </c>
      <c r="AQ25">
        <v>12.227</v>
      </c>
      <c r="AR25">
        <v>0.217</v>
      </c>
      <c r="AS25">
        <v>1</v>
      </c>
      <c r="AT25">
        <v>0</v>
      </c>
      <c r="AU25">
        <v>64</v>
      </c>
    </row>
    <row r="26" spans="2:47" x14ac:dyDescent="0.25">
      <c r="B26" s="9">
        <v>13</v>
      </c>
      <c r="C26" s="35">
        <v>150</v>
      </c>
      <c r="D26" s="3"/>
      <c r="E26" s="9">
        <f t="shared" si="0"/>
        <v>2146</v>
      </c>
      <c r="F26" s="54">
        <f t="shared" si="9"/>
        <v>6216</v>
      </c>
      <c r="G26" s="73">
        <f t="shared" si="1"/>
        <v>4.38</v>
      </c>
      <c r="H26" s="56">
        <f t="shared" si="2"/>
        <v>2.2519999999999998</v>
      </c>
      <c r="I26" s="57">
        <f t="shared" si="3"/>
        <v>2510</v>
      </c>
      <c r="J26" s="58">
        <f t="shared" si="4"/>
        <v>19.2</v>
      </c>
      <c r="L26" s="31">
        <f t="shared" si="5"/>
        <v>0.28499999999999998</v>
      </c>
      <c r="M26" s="32">
        <f t="shared" si="10"/>
        <v>0.94850000000000001</v>
      </c>
      <c r="N26" s="32">
        <f t="shared" si="6"/>
        <v>1.7949999999999999</v>
      </c>
      <c r="O26" s="32">
        <f t="shared" si="7"/>
        <v>-5.1999999999999998E-2</v>
      </c>
      <c r="P26" s="32">
        <f t="shared" si="8"/>
        <v>7.5270000000000001</v>
      </c>
      <c r="Q26" s="33">
        <f t="shared" si="8"/>
        <v>2.6230000000000002</v>
      </c>
      <c r="AB26">
        <v>1</v>
      </c>
      <c r="AC26">
        <v>4</v>
      </c>
      <c r="AD26">
        <v>11</v>
      </c>
      <c r="AE26">
        <v>-0.502</v>
      </c>
      <c r="AF26">
        <v>-0.70899999999999996</v>
      </c>
      <c r="AG26">
        <v>0.20799999999999999</v>
      </c>
      <c r="AH26">
        <v>-5.1999999999999998E-2</v>
      </c>
      <c r="AI26">
        <v>1.796</v>
      </c>
      <c r="AJ26">
        <v>9.4960000000000004</v>
      </c>
      <c r="AK26">
        <v>2.2349999999999999</v>
      </c>
      <c r="AL26">
        <v>13.247</v>
      </c>
      <c r="AM26">
        <v>0.23499999999999999</v>
      </c>
      <c r="AN26">
        <v>9.7550000000000008</v>
      </c>
      <c r="AO26">
        <v>9.2149999999999999</v>
      </c>
      <c r="AP26">
        <v>5.8999999999999997E-2</v>
      </c>
      <c r="AQ26">
        <v>12.455</v>
      </c>
      <c r="AR26">
        <v>0.221</v>
      </c>
      <c r="AS26">
        <v>1</v>
      </c>
      <c r="AT26">
        <v>0</v>
      </c>
      <c r="AU26">
        <v>64</v>
      </c>
    </row>
    <row r="27" spans="2:47" x14ac:dyDescent="0.25">
      <c r="B27" s="9">
        <v>14</v>
      </c>
      <c r="C27" s="35">
        <v>175</v>
      </c>
      <c r="D27" s="3"/>
      <c r="E27" s="9">
        <f t="shared" si="0"/>
        <v>34608</v>
      </c>
      <c r="F27" s="54">
        <f t="shared" si="9"/>
        <v>48403</v>
      </c>
      <c r="G27" s="73">
        <f t="shared" si="1"/>
        <v>4.4039999999999999</v>
      </c>
      <c r="H27" s="56">
        <f t="shared" si="2"/>
        <v>2.2749999999999999</v>
      </c>
      <c r="I27" s="57">
        <f t="shared" si="3"/>
        <v>147</v>
      </c>
      <c r="J27" s="58">
        <f t="shared" si="4"/>
        <v>12.8</v>
      </c>
      <c r="L27" s="31">
        <f t="shared" si="5"/>
        <v>4.5960000000000001</v>
      </c>
      <c r="M27" s="32">
        <f t="shared" si="10"/>
        <v>6.5510000000000002</v>
      </c>
      <c r="N27" s="32">
        <f t="shared" si="6"/>
        <v>1.7949999999999999</v>
      </c>
      <c r="O27" s="32">
        <f t="shared" si="7"/>
        <v>-6.2E-2</v>
      </c>
      <c r="P27" s="32">
        <f t="shared" si="8"/>
        <v>0.45400000000000001</v>
      </c>
      <c r="Q27" s="33">
        <f t="shared" si="8"/>
        <v>0.10299999999999999</v>
      </c>
      <c r="AB27">
        <v>1</v>
      </c>
      <c r="AC27">
        <v>4</v>
      </c>
      <c r="AD27">
        <v>12</v>
      </c>
      <c r="AE27">
        <v>-0.623</v>
      </c>
      <c r="AF27">
        <v>-0.84199999999999997</v>
      </c>
      <c r="AG27">
        <v>0.219</v>
      </c>
      <c r="AH27">
        <v>-5.1999999999999998E-2</v>
      </c>
      <c r="AI27">
        <v>1.7969999999999999</v>
      </c>
      <c r="AJ27">
        <v>8.9469999999999992</v>
      </c>
      <c r="AK27">
        <v>2.3170000000000002</v>
      </c>
      <c r="AL27">
        <v>14.516999999999999</v>
      </c>
      <c r="AM27">
        <v>0.25900000000000001</v>
      </c>
      <c r="AN27">
        <v>9.2420000000000009</v>
      </c>
      <c r="AO27">
        <v>8.8049999999999997</v>
      </c>
      <c r="AP27">
        <v>6.8000000000000005E-2</v>
      </c>
      <c r="AQ27">
        <v>13.763</v>
      </c>
      <c r="AR27">
        <v>0.245</v>
      </c>
      <c r="AS27">
        <v>1</v>
      </c>
      <c r="AT27">
        <v>0</v>
      </c>
      <c r="AU27">
        <v>64</v>
      </c>
    </row>
    <row r="28" spans="2:47" x14ac:dyDescent="0.25">
      <c r="B28" s="9">
        <v>15</v>
      </c>
      <c r="C28" s="35">
        <v>200</v>
      </c>
      <c r="D28" s="3"/>
      <c r="E28" s="9" t="str">
        <f t="shared" si="0"/>
        <v/>
      </c>
      <c r="F28" s="54" t="str">
        <f t="shared" si="9"/>
        <v/>
      </c>
      <c r="G28" s="73" t="str">
        <f t="shared" si="1"/>
        <v/>
      </c>
      <c r="H28" s="56" t="str">
        <f t="shared" si="2"/>
        <v/>
      </c>
      <c r="I28" s="57" t="str">
        <f t="shared" si="3"/>
        <v/>
      </c>
      <c r="J28" s="58" t="str">
        <f t="shared" si="4"/>
        <v/>
      </c>
      <c r="L28" s="31" t="str">
        <f t="shared" si="5"/>
        <v/>
      </c>
      <c r="M28" s="32" t="str">
        <f t="shared" si="10"/>
        <v/>
      </c>
      <c r="N28" s="32" t="str">
        <f t="shared" si="6"/>
        <v/>
      </c>
      <c r="O28" s="32" t="str">
        <f t="shared" si="7"/>
        <v/>
      </c>
      <c r="P28" s="32" t="str">
        <f t="shared" si="8"/>
        <v/>
      </c>
      <c r="Q28" s="33" t="str">
        <f t="shared" si="8"/>
        <v/>
      </c>
      <c r="AB28">
        <v>1</v>
      </c>
      <c r="AC28">
        <v>4</v>
      </c>
      <c r="AD28">
        <v>13</v>
      </c>
      <c r="AE28">
        <v>-0.80600000000000005</v>
      </c>
      <c r="AF28">
        <v>-1.091</v>
      </c>
      <c r="AG28">
        <v>0.28499999999999998</v>
      </c>
      <c r="AH28">
        <v>-5.1999999999999998E-2</v>
      </c>
      <c r="AI28">
        <v>1.7949999999999999</v>
      </c>
      <c r="AJ28">
        <v>7.5270000000000001</v>
      </c>
      <c r="AK28">
        <v>2.6230000000000002</v>
      </c>
      <c r="AL28">
        <v>19.225000000000001</v>
      </c>
      <c r="AM28">
        <v>0.34899999999999998</v>
      </c>
      <c r="AN28">
        <v>7.9720000000000004</v>
      </c>
      <c r="AO28">
        <v>7.5730000000000004</v>
      </c>
      <c r="AP28">
        <v>0.104</v>
      </c>
      <c r="AQ28">
        <v>18.18</v>
      </c>
      <c r="AR28">
        <v>0.32800000000000001</v>
      </c>
      <c r="AS28">
        <v>1</v>
      </c>
      <c r="AT28">
        <v>0</v>
      </c>
      <c r="AU28">
        <v>64</v>
      </c>
    </row>
    <row r="29" spans="2:47" x14ac:dyDescent="0.25">
      <c r="B29" s="9">
        <v>16</v>
      </c>
      <c r="C29" s="35">
        <v>225</v>
      </c>
      <c r="D29" s="3"/>
      <c r="E29" s="9" t="str">
        <f t="shared" si="0"/>
        <v/>
      </c>
      <c r="F29" s="54" t="str">
        <f t="shared" si="9"/>
        <v/>
      </c>
      <c r="G29" s="73" t="str">
        <f t="shared" si="1"/>
        <v/>
      </c>
      <c r="H29" s="56" t="str">
        <f t="shared" si="2"/>
        <v/>
      </c>
      <c r="I29" s="57" t="str">
        <f t="shared" si="3"/>
        <v/>
      </c>
      <c r="J29" s="58" t="str">
        <f t="shared" si="4"/>
        <v/>
      </c>
      <c r="L29" s="31" t="str">
        <f t="shared" si="5"/>
        <v/>
      </c>
      <c r="M29" s="32" t="str">
        <f t="shared" si="10"/>
        <v/>
      </c>
      <c r="N29" s="32" t="str">
        <f t="shared" si="6"/>
        <v/>
      </c>
      <c r="O29" s="32" t="str">
        <f t="shared" si="7"/>
        <v/>
      </c>
      <c r="P29" s="32" t="str">
        <f t="shared" si="8"/>
        <v/>
      </c>
      <c r="Q29" s="33" t="str">
        <f t="shared" si="8"/>
        <v/>
      </c>
      <c r="AB29">
        <v>1</v>
      </c>
      <c r="AC29">
        <v>4</v>
      </c>
      <c r="AD29">
        <v>14</v>
      </c>
      <c r="AE29">
        <v>-4.2530000000000001</v>
      </c>
      <c r="AF29">
        <v>-8.8480000000000008</v>
      </c>
      <c r="AG29">
        <v>4.5960000000000001</v>
      </c>
      <c r="AH29">
        <v>-6.2E-2</v>
      </c>
      <c r="AI29">
        <v>1.7949999999999999</v>
      </c>
      <c r="AJ29">
        <v>0.45400000000000001</v>
      </c>
      <c r="AK29">
        <v>0.10299999999999999</v>
      </c>
      <c r="AL29">
        <v>12.83</v>
      </c>
      <c r="AM29">
        <v>0.22800000000000001</v>
      </c>
      <c r="AN29">
        <v>0.46500000000000002</v>
      </c>
      <c r="AO29">
        <v>0.4</v>
      </c>
      <c r="AP29">
        <v>0.80400000000000005</v>
      </c>
      <c r="AQ29">
        <v>7.319</v>
      </c>
      <c r="AR29">
        <v>0.128</v>
      </c>
      <c r="AS29">
        <v>1</v>
      </c>
      <c r="AT29">
        <v>0</v>
      </c>
      <c r="AU29">
        <v>64</v>
      </c>
    </row>
    <row r="30" spans="2:47" x14ac:dyDescent="0.25">
      <c r="B30" s="9">
        <v>17</v>
      </c>
      <c r="C30" s="35">
        <v>250</v>
      </c>
      <c r="D30" s="3"/>
      <c r="E30" s="9" t="str">
        <f t="shared" si="0"/>
        <v/>
      </c>
      <c r="F30" s="54" t="str">
        <f t="shared" si="9"/>
        <v/>
      </c>
      <c r="G30" s="73" t="str">
        <f t="shared" si="1"/>
        <v/>
      </c>
      <c r="H30" s="56" t="str">
        <f t="shared" si="2"/>
        <v/>
      </c>
      <c r="I30" s="57" t="str">
        <f t="shared" si="3"/>
        <v/>
      </c>
      <c r="J30" s="58" t="str">
        <f t="shared" si="4"/>
        <v/>
      </c>
      <c r="L30" s="31" t="str">
        <f t="shared" si="5"/>
        <v/>
      </c>
      <c r="M30" s="32" t="str">
        <f t="shared" si="10"/>
        <v/>
      </c>
      <c r="N30" s="32" t="str">
        <f t="shared" si="6"/>
        <v/>
      </c>
      <c r="O30" s="32" t="str">
        <f t="shared" si="7"/>
        <v/>
      </c>
      <c r="P30" s="32" t="str">
        <f t="shared" si="8"/>
        <v/>
      </c>
      <c r="Q30" s="33" t="str">
        <f t="shared" si="8"/>
        <v/>
      </c>
    </row>
    <row r="31" spans="2:47" x14ac:dyDescent="0.25">
      <c r="B31" s="9">
        <v>18</v>
      </c>
      <c r="C31" s="35">
        <v>275</v>
      </c>
      <c r="D31" s="3"/>
      <c r="E31" s="9" t="str">
        <f t="shared" si="0"/>
        <v/>
      </c>
      <c r="F31" s="54" t="str">
        <f t="shared" si="9"/>
        <v/>
      </c>
      <c r="G31" s="73" t="str">
        <f t="shared" si="1"/>
        <v/>
      </c>
      <c r="H31" s="56" t="str">
        <f t="shared" si="2"/>
        <v/>
      </c>
      <c r="I31" s="57" t="str">
        <f t="shared" si="3"/>
        <v/>
      </c>
      <c r="J31" s="58" t="str">
        <f t="shared" si="4"/>
        <v/>
      </c>
      <c r="L31" s="31" t="str">
        <f t="shared" si="5"/>
        <v/>
      </c>
      <c r="M31" s="32" t="str">
        <f t="shared" si="10"/>
        <v/>
      </c>
      <c r="N31" s="32" t="str">
        <f t="shared" si="6"/>
        <v/>
      </c>
      <c r="O31" s="32" t="str">
        <f t="shared" si="7"/>
        <v/>
      </c>
      <c r="P31" s="32" t="str">
        <f t="shared" si="8"/>
        <v/>
      </c>
      <c r="Q31" s="33" t="str">
        <f t="shared" si="8"/>
        <v/>
      </c>
    </row>
    <row r="32" spans="2:47" x14ac:dyDescent="0.25">
      <c r="B32" s="9">
        <v>19</v>
      </c>
      <c r="C32" s="35">
        <v>300</v>
      </c>
      <c r="D32" s="3"/>
      <c r="E32" s="9" t="str">
        <f t="shared" si="0"/>
        <v/>
      </c>
      <c r="F32" s="54" t="str">
        <f t="shared" si="9"/>
        <v/>
      </c>
      <c r="G32" s="73" t="str">
        <f t="shared" si="1"/>
        <v/>
      </c>
      <c r="H32" s="56" t="str">
        <f t="shared" si="2"/>
        <v/>
      </c>
      <c r="I32" s="57" t="str">
        <f t="shared" si="3"/>
        <v/>
      </c>
      <c r="J32" s="58" t="str">
        <f t="shared" si="4"/>
        <v/>
      </c>
      <c r="L32" s="31" t="str">
        <f t="shared" si="5"/>
        <v/>
      </c>
      <c r="M32" s="32" t="str">
        <f t="shared" si="10"/>
        <v/>
      </c>
      <c r="N32" s="32" t="str">
        <f t="shared" si="6"/>
        <v/>
      </c>
      <c r="O32" s="32" t="str">
        <f t="shared" si="7"/>
        <v/>
      </c>
      <c r="P32" s="32" t="str">
        <f t="shared" si="8"/>
        <v/>
      </c>
      <c r="Q32" s="33" t="str">
        <f t="shared" si="8"/>
        <v/>
      </c>
    </row>
    <row r="33" spans="2:17" x14ac:dyDescent="0.25">
      <c r="B33" s="9">
        <v>20</v>
      </c>
      <c r="C33" s="35">
        <v>325</v>
      </c>
      <c r="D33" s="3"/>
      <c r="E33" s="9" t="str">
        <f t="shared" si="0"/>
        <v/>
      </c>
      <c r="F33" s="54" t="str">
        <f t="shared" si="9"/>
        <v/>
      </c>
      <c r="G33" s="73" t="str">
        <f t="shared" si="1"/>
        <v/>
      </c>
      <c r="H33" s="56" t="str">
        <f t="shared" si="2"/>
        <v/>
      </c>
      <c r="I33" s="57" t="str">
        <f t="shared" si="3"/>
        <v/>
      </c>
      <c r="J33" s="58" t="str">
        <f t="shared" si="4"/>
        <v/>
      </c>
      <c r="L33" s="31" t="str">
        <f t="shared" si="5"/>
        <v/>
      </c>
      <c r="M33" s="32" t="str">
        <f t="shared" si="10"/>
        <v/>
      </c>
      <c r="N33" s="32" t="str">
        <f t="shared" si="6"/>
        <v/>
      </c>
      <c r="O33" s="32" t="str">
        <f t="shared" si="7"/>
        <v/>
      </c>
      <c r="P33" s="32" t="str">
        <f t="shared" si="8"/>
        <v/>
      </c>
      <c r="Q33" s="33" t="str">
        <f t="shared" si="8"/>
        <v/>
      </c>
    </row>
    <row r="34" spans="2:17" x14ac:dyDescent="0.25">
      <c r="B34" s="9">
        <v>21</v>
      </c>
      <c r="C34" s="35">
        <v>350</v>
      </c>
      <c r="D34" s="3"/>
      <c r="E34" s="9" t="str">
        <f t="shared" si="0"/>
        <v/>
      </c>
      <c r="F34" s="54" t="str">
        <f t="shared" si="9"/>
        <v/>
      </c>
      <c r="G34" s="73" t="str">
        <f t="shared" si="1"/>
        <v/>
      </c>
      <c r="H34" s="56" t="str">
        <f t="shared" si="2"/>
        <v/>
      </c>
      <c r="I34" s="57" t="str">
        <f t="shared" si="3"/>
        <v/>
      </c>
      <c r="J34" s="58" t="str">
        <f t="shared" si="4"/>
        <v/>
      </c>
      <c r="L34" s="31" t="str">
        <f t="shared" si="5"/>
        <v/>
      </c>
      <c r="M34" s="32" t="str">
        <f t="shared" si="10"/>
        <v/>
      </c>
      <c r="N34" s="32" t="str">
        <f t="shared" si="6"/>
        <v/>
      </c>
      <c r="O34" s="32" t="str">
        <f t="shared" si="7"/>
        <v/>
      </c>
      <c r="P34" s="32" t="str">
        <f t="shared" si="8"/>
        <v/>
      </c>
      <c r="Q34" s="33" t="str">
        <f t="shared" si="8"/>
        <v/>
      </c>
    </row>
    <row r="35" spans="2:17" x14ac:dyDescent="0.25">
      <c r="B35" s="9">
        <v>22</v>
      </c>
      <c r="C35" s="35">
        <v>375</v>
      </c>
      <c r="D35" s="3"/>
      <c r="E35" s="9" t="str">
        <f t="shared" si="0"/>
        <v/>
      </c>
      <c r="F35" s="54" t="str">
        <f t="shared" si="9"/>
        <v/>
      </c>
      <c r="G35" s="73" t="str">
        <f t="shared" si="1"/>
        <v/>
      </c>
      <c r="H35" s="56" t="str">
        <f t="shared" si="2"/>
        <v/>
      </c>
      <c r="I35" s="57" t="str">
        <f t="shared" si="3"/>
        <v/>
      </c>
      <c r="J35" s="58" t="str">
        <f t="shared" si="4"/>
        <v/>
      </c>
      <c r="L35" s="31" t="str">
        <f t="shared" si="5"/>
        <v/>
      </c>
      <c r="M35" s="32" t="str">
        <f t="shared" si="10"/>
        <v/>
      </c>
      <c r="N35" s="32" t="str">
        <f t="shared" si="6"/>
        <v/>
      </c>
      <c r="O35" s="32" t="str">
        <f t="shared" si="7"/>
        <v/>
      </c>
      <c r="P35" s="32" t="str">
        <f t="shared" si="8"/>
        <v/>
      </c>
      <c r="Q35" s="33" t="str">
        <f t="shared" si="8"/>
        <v/>
      </c>
    </row>
    <row r="36" spans="2:17" x14ac:dyDescent="0.25">
      <c r="B36" s="9">
        <v>23</v>
      </c>
      <c r="C36" s="35">
        <v>400</v>
      </c>
      <c r="D36" s="3"/>
      <c r="E36" s="9" t="str">
        <f t="shared" si="0"/>
        <v/>
      </c>
      <c r="F36" s="54" t="str">
        <f t="shared" si="9"/>
        <v/>
      </c>
      <c r="G36" s="73" t="str">
        <f t="shared" si="1"/>
        <v/>
      </c>
      <c r="H36" s="56" t="str">
        <f t="shared" si="2"/>
        <v/>
      </c>
      <c r="I36" s="57" t="str">
        <f t="shared" si="3"/>
        <v/>
      </c>
      <c r="J36" s="58" t="str">
        <f t="shared" si="4"/>
        <v/>
      </c>
      <c r="L36" s="31" t="str">
        <f t="shared" si="5"/>
        <v/>
      </c>
      <c r="M36" s="32" t="str">
        <f t="shared" si="10"/>
        <v/>
      </c>
      <c r="N36" s="32" t="str">
        <f t="shared" si="6"/>
        <v/>
      </c>
      <c r="O36" s="32" t="str">
        <f t="shared" si="7"/>
        <v/>
      </c>
      <c r="P36" s="32" t="str">
        <f t="shared" si="8"/>
        <v/>
      </c>
      <c r="Q36" s="33" t="str">
        <f t="shared" si="8"/>
        <v/>
      </c>
    </row>
    <row r="37" spans="2:17" x14ac:dyDescent="0.25">
      <c r="B37" s="9">
        <v>24</v>
      </c>
      <c r="C37" s="35">
        <v>425</v>
      </c>
      <c r="D37" s="3"/>
      <c r="E37" s="9" t="str">
        <f t="shared" si="0"/>
        <v/>
      </c>
      <c r="F37" s="54" t="str">
        <f t="shared" si="9"/>
        <v/>
      </c>
      <c r="G37" s="73" t="str">
        <f t="shared" si="1"/>
        <v/>
      </c>
      <c r="H37" s="56" t="str">
        <f t="shared" si="2"/>
        <v/>
      </c>
      <c r="I37" s="57" t="str">
        <f t="shared" si="3"/>
        <v/>
      </c>
      <c r="J37" s="58" t="str">
        <f t="shared" si="4"/>
        <v/>
      </c>
      <c r="L37" s="31" t="str">
        <f t="shared" si="5"/>
        <v/>
      </c>
      <c r="M37" s="32" t="str">
        <f t="shared" si="10"/>
        <v/>
      </c>
      <c r="N37" s="32" t="str">
        <f t="shared" si="6"/>
        <v/>
      </c>
      <c r="O37" s="32" t="str">
        <f t="shared" si="7"/>
        <v/>
      </c>
      <c r="P37" s="32" t="str">
        <f t="shared" si="8"/>
        <v/>
      </c>
      <c r="Q37" s="33" t="str">
        <f t="shared" si="8"/>
        <v/>
      </c>
    </row>
    <row r="38" spans="2:17" x14ac:dyDescent="0.25">
      <c r="B38" s="9">
        <v>25</v>
      </c>
      <c r="C38" s="35">
        <v>450</v>
      </c>
      <c r="D38" s="3"/>
      <c r="E38" s="9" t="str">
        <f t="shared" si="0"/>
        <v/>
      </c>
      <c r="F38" s="54" t="str">
        <f t="shared" si="9"/>
        <v/>
      </c>
      <c r="G38" s="73" t="str">
        <f t="shared" si="1"/>
        <v/>
      </c>
      <c r="H38" s="56" t="str">
        <f t="shared" si="2"/>
        <v/>
      </c>
      <c r="I38" s="57" t="str">
        <f t="shared" si="3"/>
        <v/>
      </c>
      <c r="J38" s="58" t="str">
        <f t="shared" si="4"/>
        <v/>
      </c>
      <c r="L38" s="31" t="str">
        <f t="shared" si="5"/>
        <v/>
      </c>
      <c r="M38" s="32" t="str">
        <f t="shared" si="10"/>
        <v/>
      </c>
      <c r="N38" s="32" t="str">
        <f t="shared" si="6"/>
        <v/>
      </c>
      <c r="O38" s="32" t="str">
        <f t="shared" si="7"/>
        <v/>
      </c>
      <c r="P38" s="32" t="str">
        <f t="shared" si="8"/>
        <v/>
      </c>
      <c r="Q38" s="33" t="str">
        <f t="shared" si="8"/>
        <v/>
      </c>
    </row>
    <row r="39" spans="2:17" x14ac:dyDescent="0.25">
      <c r="B39" s="9">
        <v>26</v>
      </c>
      <c r="C39" s="35">
        <v>475</v>
      </c>
      <c r="D39" s="3"/>
      <c r="E39" s="9" t="str">
        <f t="shared" si="0"/>
        <v/>
      </c>
      <c r="F39" s="54" t="str">
        <f t="shared" si="9"/>
        <v/>
      </c>
      <c r="G39" s="73" t="str">
        <f t="shared" si="1"/>
        <v/>
      </c>
      <c r="H39" s="56" t="str">
        <f t="shared" si="2"/>
        <v/>
      </c>
      <c r="I39" s="57" t="str">
        <f t="shared" si="3"/>
        <v/>
      </c>
      <c r="J39" s="58" t="str">
        <f t="shared" si="4"/>
        <v/>
      </c>
      <c r="L39" s="31" t="str">
        <f t="shared" si="5"/>
        <v/>
      </c>
      <c r="M39" s="32" t="str">
        <f t="shared" si="10"/>
        <v/>
      </c>
      <c r="N39" s="32" t="str">
        <f t="shared" si="6"/>
        <v/>
      </c>
      <c r="O39" s="32" t="str">
        <f t="shared" si="7"/>
        <v/>
      </c>
      <c r="P39" s="32" t="str">
        <f t="shared" si="8"/>
        <v/>
      </c>
      <c r="Q39" s="33" t="str">
        <f t="shared" si="8"/>
        <v/>
      </c>
    </row>
    <row r="40" spans="2:17" x14ac:dyDescent="0.25">
      <c r="B40" s="9">
        <v>27</v>
      </c>
      <c r="C40" s="35">
        <v>500</v>
      </c>
      <c r="D40" s="3"/>
      <c r="E40" s="9" t="str">
        <f t="shared" si="0"/>
        <v/>
      </c>
      <c r="F40" s="54" t="str">
        <f t="shared" si="9"/>
        <v/>
      </c>
      <c r="G40" s="73" t="str">
        <f t="shared" si="1"/>
        <v/>
      </c>
      <c r="H40" s="56" t="str">
        <f t="shared" si="2"/>
        <v/>
      </c>
      <c r="I40" s="57" t="str">
        <f t="shared" si="3"/>
        <v/>
      </c>
      <c r="J40" s="58" t="str">
        <f t="shared" si="4"/>
        <v/>
      </c>
      <c r="L40" s="31" t="str">
        <f t="shared" si="5"/>
        <v/>
      </c>
      <c r="M40" s="32" t="str">
        <f t="shared" si="10"/>
        <v/>
      </c>
      <c r="N40" s="32" t="str">
        <f t="shared" si="6"/>
        <v/>
      </c>
      <c r="O40" s="32" t="str">
        <f t="shared" si="7"/>
        <v/>
      </c>
      <c r="P40" s="32" t="str">
        <f t="shared" si="8"/>
        <v/>
      </c>
      <c r="Q40" s="33" t="str">
        <f t="shared" si="8"/>
        <v/>
      </c>
    </row>
    <row r="41" spans="2:17" x14ac:dyDescent="0.25">
      <c r="B41" s="9">
        <v>28</v>
      </c>
      <c r="C41" s="35">
        <v>600</v>
      </c>
      <c r="D41" s="3"/>
      <c r="E41" s="9" t="str">
        <f t="shared" si="0"/>
        <v/>
      </c>
      <c r="F41" s="54" t="str">
        <f t="shared" si="9"/>
        <v/>
      </c>
      <c r="G41" s="73" t="str">
        <f t="shared" si="1"/>
        <v/>
      </c>
      <c r="H41" s="56" t="str">
        <f t="shared" si="2"/>
        <v/>
      </c>
      <c r="I41" s="57" t="str">
        <f t="shared" si="3"/>
        <v/>
      </c>
      <c r="J41" s="58" t="str">
        <f t="shared" si="4"/>
        <v/>
      </c>
      <c r="L41" s="31" t="str">
        <f t="shared" si="5"/>
        <v/>
      </c>
      <c r="M41" s="32" t="str">
        <f t="shared" si="10"/>
        <v/>
      </c>
      <c r="N41" s="32" t="str">
        <f t="shared" si="6"/>
        <v/>
      </c>
      <c r="O41" s="32" t="str">
        <f t="shared" si="7"/>
        <v/>
      </c>
      <c r="P41" s="32" t="str">
        <f t="shared" si="8"/>
        <v/>
      </c>
      <c r="Q41" s="33" t="str">
        <f t="shared" si="8"/>
        <v/>
      </c>
    </row>
    <row r="42" spans="2:17" x14ac:dyDescent="0.25">
      <c r="B42" s="9">
        <v>29</v>
      </c>
      <c r="C42" s="35">
        <v>700</v>
      </c>
      <c r="D42" s="3"/>
      <c r="E42" s="9" t="str">
        <f t="shared" si="0"/>
        <v/>
      </c>
      <c r="F42" s="54" t="str">
        <f t="shared" si="9"/>
        <v/>
      </c>
      <c r="G42" s="73" t="str">
        <f t="shared" si="1"/>
        <v/>
      </c>
      <c r="H42" s="56" t="str">
        <f t="shared" si="2"/>
        <v/>
      </c>
      <c r="I42" s="57" t="str">
        <f t="shared" si="3"/>
        <v/>
      </c>
      <c r="J42" s="58" t="str">
        <f t="shared" si="4"/>
        <v/>
      </c>
      <c r="L42" s="31" t="str">
        <f t="shared" si="5"/>
        <v/>
      </c>
      <c r="M42" s="32" t="str">
        <f t="shared" si="10"/>
        <v/>
      </c>
      <c r="N42" s="32" t="str">
        <f t="shared" si="6"/>
        <v/>
      </c>
      <c r="O42" s="32" t="str">
        <f t="shared" si="7"/>
        <v/>
      </c>
      <c r="P42" s="32" t="str">
        <f t="shared" si="8"/>
        <v/>
      </c>
      <c r="Q42" s="33" t="str">
        <f t="shared" si="8"/>
        <v/>
      </c>
    </row>
    <row r="43" spans="2:17" x14ac:dyDescent="0.25">
      <c r="B43" s="9">
        <v>30</v>
      </c>
      <c r="C43" s="35">
        <v>800</v>
      </c>
      <c r="D43" s="3"/>
      <c r="E43" s="9" t="str">
        <f t="shared" si="0"/>
        <v/>
      </c>
      <c r="F43" s="54" t="str">
        <f t="shared" si="9"/>
        <v/>
      </c>
      <c r="G43" s="73" t="str">
        <f t="shared" si="1"/>
        <v/>
      </c>
      <c r="H43" s="56" t="str">
        <f t="shared" si="2"/>
        <v/>
      </c>
      <c r="I43" s="57" t="str">
        <f t="shared" si="3"/>
        <v/>
      </c>
      <c r="J43" s="58" t="str">
        <f t="shared" si="4"/>
        <v/>
      </c>
      <c r="L43" s="31" t="str">
        <f t="shared" si="5"/>
        <v/>
      </c>
      <c r="M43" s="32" t="str">
        <f t="shared" si="10"/>
        <v/>
      </c>
      <c r="N43" s="32" t="str">
        <f t="shared" si="6"/>
        <v/>
      </c>
      <c r="O43" s="32" t="str">
        <f t="shared" si="7"/>
        <v/>
      </c>
      <c r="P43" s="32" t="str">
        <f t="shared" si="8"/>
        <v/>
      </c>
      <c r="Q43" s="33" t="str">
        <f t="shared" si="8"/>
        <v/>
      </c>
    </row>
    <row r="44" spans="2:17" x14ac:dyDescent="0.25">
      <c r="B44" s="9">
        <v>31</v>
      </c>
      <c r="C44" s="35">
        <v>900</v>
      </c>
      <c r="D44" s="3"/>
      <c r="E44" s="9" t="str">
        <f t="shared" si="0"/>
        <v/>
      </c>
      <c r="F44" s="54" t="str">
        <f t="shared" si="9"/>
        <v/>
      </c>
      <c r="G44" s="73" t="str">
        <f t="shared" si="1"/>
        <v/>
      </c>
      <c r="H44" s="56" t="str">
        <f t="shared" si="2"/>
        <v/>
      </c>
      <c r="I44" s="57" t="str">
        <f t="shared" si="3"/>
        <v/>
      </c>
      <c r="J44" s="58" t="str">
        <f t="shared" si="4"/>
        <v/>
      </c>
      <c r="L44" s="31" t="str">
        <f t="shared" si="5"/>
        <v/>
      </c>
      <c r="M44" s="32" t="str">
        <f t="shared" si="10"/>
        <v/>
      </c>
      <c r="N44" s="32" t="str">
        <f t="shared" si="6"/>
        <v/>
      </c>
      <c r="O44" s="32" t="str">
        <f t="shared" si="7"/>
        <v/>
      </c>
      <c r="P44" s="32" t="str">
        <f t="shared" si="8"/>
        <v/>
      </c>
      <c r="Q44" s="33" t="str">
        <f t="shared" si="8"/>
        <v/>
      </c>
    </row>
    <row r="45" spans="2:17" x14ac:dyDescent="0.25">
      <c r="B45" s="9">
        <v>32</v>
      </c>
      <c r="C45" s="35">
        <v>1000</v>
      </c>
      <c r="D45" s="3"/>
      <c r="E45" s="9" t="str">
        <f t="shared" si="0"/>
        <v/>
      </c>
      <c r="F45" s="54" t="str">
        <f t="shared" si="9"/>
        <v/>
      </c>
      <c r="G45" s="73" t="str">
        <f t="shared" si="1"/>
        <v/>
      </c>
      <c r="H45" s="56" t="str">
        <f t="shared" si="2"/>
        <v/>
      </c>
      <c r="I45" s="57" t="str">
        <f t="shared" si="3"/>
        <v/>
      </c>
      <c r="J45" s="58" t="str">
        <f t="shared" si="4"/>
        <v/>
      </c>
      <c r="L45" s="31" t="str">
        <f t="shared" si="5"/>
        <v/>
      </c>
      <c r="M45" s="32" t="str">
        <f t="shared" si="10"/>
        <v/>
      </c>
      <c r="N45" s="32" t="str">
        <f t="shared" si="6"/>
        <v/>
      </c>
      <c r="O45" s="32" t="str">
        <f t="shared" si="7"/>
        <v/>
      </c>
      <c r="P45" s="32" t="str">
        <f t="shared" si="8"/>
        <v/>
      </c>
      <c r="Q45" s="33" t="str">
        <f t="shared" si="8"/>
        <v/>
      </c>
    </row>
    <row r="46" spans="2:17" x14ac:dyDescent="0.25">
      <c r="B46" s="9">
        <v>33</v>
      </c>
      <c r="C46" s="35">
        <v>1100</v>
      </c>
      <c r="D46" s="3"/>
      <c r="E46" s="9" t="str">
        <f t="shared" si="0"/>
        <v/>
      </c>
      <c r="F46" s="54" t="str">
        <f t="shared" si="9"/>
        <v/>
      </c>
      <c r="G46" s="73" t="str">
        <f t="shared" si="1"/>
        <v/>
      </c>
      <c r="H46" s="56" t="str">
        <f t="shared" si="2"/>
        <v/>
      </c>
      <c r="I46" s="57" t="str">
        <f t="shared" si="3"/>
        <v/>
      </c>
      <c r="J46" s="58" t="str">
        <f t="shared" si="4"/>
        <v/>
      </c>
      <c r="L46" s="31" t="str">
        <f t="shared" si="5"/>
        <v/>
      </c>
      <c r="M46" s="32" t="str">
        <f t="shared" si="10"/>
        <v/>
      </c>
      <c r="N46" s="32" t="str">
        <f t="shared" si="6"/>
        <v/>
      </c>
      <c r="O46" s="32" t="str">
        <f t="shared" si="7"/>
        <v/>
      </c>
      <c r="P46" s="32" t="str">
        <f t="shared" ref="P46:Q77" si="11">IF(AJ48="","",AJ48)</f>
        <v/>
      </c>
      <c r="Q46" s="33" t="str">
        <f t="shared" si="11"/>
        <v/>
      </c>
    </row>
    <row r="47" spans="2:17" x14ac:dyDescent="0.25">
      <c r="B47" s="9">
        <v>34</v>
      </c>
      <c r="C47" s="35">
        <v>1200</v>
      </c>
      <c r="D47" s="3"/>
      <c r="E47" s="9" t="str">
        <f t="shared" si="0"/>
        <v/>
      </c>
      <c r="F47" s="54" t="str">
        <f t="shared" si="9"/>
        <v/>
      </c>
      <c r="G47" s="73" t="str">
        <f t="shared" si="1"/>
        <v/>
      </c>
      <c r="H47" s="56" t="str">
        <f t="shared" si="2"/>
        <v/>
      </c>
      <c r="I47" s="57" t="str">
        <f t="shared" si="3"/>
        <v/>
      </c>
      <c r="J47" s="58" t="str">
        <f t="shared" si="4"/>
        <v/>
      </c>
      <c r="L47" s="31" t="str">
        <f t="shared" si="5"/>
        <v/>
      </c>
      <c r="M47" s="32" t="str">
        <f t="shared" si="10"/>
        <v/>
      </c>
      <c r="N47" s="32" t="str">
        <f t="shared" si="6"/>
        <v/>
      </c>
      <c r="O47" s="32" t="str">
        <f t="shared" si="7"/>
        <v/>
      </c>
      <c r="P47" s="32" t="str">
        <f t="shared" si="11"/>
        <v/>
      </c>
      <c r="Q47" s="33" t="str">
        <f t="shared" si="11"/>
        <v/>
      </c>
    </row>
    <row r="48" spans="2:17" x14ac:dyDescent="0.25">
      <c r="B48" s="9">
        <v>35</v>
      </c>
      <c r="C48" s="35">
        <v>1300</v>
      </c>
      <c r="D48" s="3"/>
      <c r="E48" s="9" t="str">
        <f t="shared" si="0"/>
        <v/>
      </c>
      <c r="F48" s="54" t="str">
        <f t="shared" si="9"/>
        <v/>
      </c>
      <c r="G48" s="73" t="str">
        <f t="shared" si="1"/>
        <v/>
      </c>
      <c r="H48" s="56" t="str">
        <f t="shared" si="2"/>
        <v/>
      </c>
      <c r="I48" s="57" t="str">
        <f t="shared" si="3"/>
        <v/>
      </c>
      <c r="J48" s="58" t="str">
        <f t="shared" si="4"/>
        <v/>
      </c>
      <c r="L48" s="31" t="str">
        <f t="shared" si="5"/>
        <v/>
      </c>
      <c r="M48" s="32" t="str">
        <f t="shared" si="10"/>
        <v/>
      </c>
      <c r="N48" s="32" t="str">
        <f t="shared" si="6"/>
        <v/>
      </c>
      <c r="O48" s="32" t="str">
        <f t="shared" si="7"/>
        <v/>
      </c>
      <c r="P48" s="32" t="str">
        <f t="shared" si="11"/>
        <v/>
      </c>
      <c r="Q48" s="33" t="str">
        <f t="shared" si="11"/>
        <v/>
      </c>
    </row>
    <row r="49" spans="2:17" x14ac:dyDescent="0.25">
      <c r="B49" s="9">
        <v>36</v>
      </c>
      <c r="C49" s="35">
        <v>1400</v>
      </c>
      <c r="D49" s="3"/>
      <c r="E49" s="9" t="str">
        <f t="shared" si="0"/>
        <v/>
      </c>
      <c r="F49" s="54" t="str">
        <f t="shared" si="9"/>
        <v/>
      </c>
      <c r="G49" s="73" t="str">
        <f t="shared" si="1"/>
        <v/>
      </c>
      <c r="H49" s="56" t="str">
        <f t="shared" si="2"/>
        <v/>
      </c>
      <c r="I49" s="57" t="str">
        <f t="shared" si="3"/>
        <v/>
      </c>
      <c r="J49" s="58" t="str">
        <f t="shared" si="4"/>
        <v/>
      </c>
      <c r="L49" s="31" t="str">
        <f t="shared" si="5"/>
        <v/>
      </c>
      <c r="M49" s="32" t="str">
        <f t="shared" si="10"/>
        <v/>
      </c>
      <c r="N49" s="32" t="str">
        <f t="shared" si="6"/>
        <v/>
      </c>
      <c r="O49" s="32" t="str">
        <f t="shared" si="7"/>
        <v/>
      </c>
      <c r="P49" s="32" t="str">
        <f t="shared" si="11"/>
        <v/>
      </c>
      <c r="Q49" s="33" t="str">
        <f t="shared" si="11"/>
        <v/>
      </c>
    </row>
    <row r="50" spans="2:17" x14ac:dyDescent="0.25">
      <c r="B50" s="9">
        <v>37</v>
      </c>
      <c r="C50" s="35">
        <v>1500</v>
      </c>
      <c r="D50" s="3"/>
      <c r="E50" s="9" t="str">
        <f t="shared" si="0"/>
        <v/>
      </c>
      <c r="F50" s="54" t="str">
        <f t="shared" si="9"/>
        <v/>
      </c>
      <c r="G50" s="73" t="str">
        <f t="shared" si="1"/>
        <v/>
      </c>
      <c r="H50" s="56" t="str">
        <f t="shared" si="2"/>
        <v/>
      </c>
      <c r="I50" s="57" t="str">
        <f t="shared" si="3"/>
        <v/>
      </c>
      <c r="J50" s="58" t="str">
        <f t="shared" si="4"/>
        <v/>
      </c>
      <c r="L50" s="31" t="str">
        <f t="shared" si="5"/>
        <v/>
      </c>
      <c r="M50" s="32" t="str">
        <f t="shared" si="10"/>
        <v/>
      </c>
      <c r="N50" s="32" t="str">
        <f t="shared" si="6"/>
        <v/>
      </c>
      <c r="O50" s="32" t="str">
        <f t="shared" si="7"/>
        <v/>
      </c>
      <c r="P50" s="32" t="str">
        <f t="shared" si="11"/>
        <v/>
      </c>
      <c r="Q50" s="33" t="str">
        <f t="shared" si="11"/>
        <v/>
      </c>
    </row>
    <row r="51" spans="2:17" x14ac:dyDescent="0.25">
      <c r="B51" s="9">
        <v>38</v>
      </c>
      <c r="C51" s="35">
        <v>1600</v>
      </c>
      <c r="D51" s="3"/>
      <c r="E51" s="9" t="str">
        <f t="shared" si="0"/>
        <v/>
      </c>
      <c r="F51" s="54" t="str">
        <f t="shared" si="9"/>
        <v/>
      </c>
      <c r="G51" s="73" t="str">
        <f t="shared" si="1"/>
        <v/>
      </c>
      <c r="H51" s="56" t="str">
        <f t="shared" si="2"/>
        <v/>
      </c>
      <c r="I51" s="57" t="str">
        <f t="shared" si="3"/>
        <v/>
      </c>
      <c r="J51" s="58" t="str">
        <f t="shared" si="4"/>
        <v/>
      </c>
      <c r="L51" s="31" t="str">
        <f t="shared" si="5"/>
        <v/>
      </c>
      <c r="M51" s="32" t="str">
        <f t="shared" si="10"/>
        <v/>
      </c>
      <c r="N51" s="32" t="str">
        <f t="shared" si="6"/>
        <v/>
      </c>
      <c r="O51" s="32" t="str">
        <f t="shared" si="7"/>
        <v/>
      </c>
      <c r="P51" s="32" t="str">
        <f t="shared" si="11"/>
        <v/>
      </c>
      <c r="Q51" s="33" t="str">
        <f t="shared" si="11"/>
        <v/>
      </c>
    </row>
    <row r="52" spans="2:17" x14ac:dyDescent="0.25">
      <c r="B52" s="9">
        <v>39</v>
      </c>
      <c r="C52" s="35">
        <v>1700</v>
      </c>
      <c r="D52" s="3"/>
      <c r="E52" s="9" t="str">
        <f t="shared" si="0"/>
        <v/>
      </c>
      <c r="F52" s="54" t="str">
        <f t="shared" si="9"/>
        <v/>
      </c>
      <c r="G52" s="73" t="str">
        <f t="shared" si="1"/>
        <v/>
      </c>
      <c r="H52" s="56" t="str">
        <f t="shared" si="2"/>
        <v/>
      </c>
      <c r="I52" s="57" t="str">
        <f t="shared" si="3"/>
        <v/>
      </c>
      <c r="J52" s="58" t="str">
        <f t="shared" si="4"/>
        <v/>
      </c>
      <c r="L52" s="31" t="str">
        <f t="shared" si="5"/>
        <v/>
      </c>
      <c r="M52" s="32" t="str">
        <f t="shared" si="10"/>
        <v/>
      </c>
      <c r="N52" s="32" t="str">
        <f t="shared" si="6"/>
        <v/>
      </c>
      <c r="O52" s="32" t="str">
        <f t="shared" si="7"/>
        <v/>
      </c>
      <c r="P52" s="32" t="str">
        <f t="shared" si="11"/>
        <v/>
      </c>
      <c r="Q52" s="33" t="str">
        <f t="shared" si="11"/>
        <v/>
      </c>
    </row>
    <row r="53" spans="2:17" x14ac:dyDescent="0.25">
      <c r="B53" s="9">
        <v>40</v>
      </c>
      <c r="C53" s="35">
        <v>1800</v>
      </c>
      <c r="D53" s="3"/>
      <c r="E53" s="9" t="str">
        <f t="shared" si="0"/>
        <v/>
      </c>
      <c r="F53" s="54" t="str">
        <f t="shared" si="9"/>
        <v/>
      </c>
      <c r="G53" s="73" t="str">
        <f t="shared" si="1"/>
        <v/>
      </c>
      <c r="H53" s="56" t="str">
        <f t="shared" si="2"/>
        <v/>
      </c>
      <c r="I53" s="57" t="str">
        <f t="shared" si="3"/>
        <v/>
      </c>
      <c r="J53" s="58" t="str">
        <f t="shared" si="4"/>
        <v/>
      </c>
      <c r="L53" s="31" t="str">
        <f t="shared" si="5"/>
        <v/>
      </c>
      <c r="M53" s="32" t="str">
        <f t="shared" si="10"/>
        <v/>
      </c>
      <c r="N53" s="32" t="str">
        <f t="shared" si="6"/>
        <v/>
      </c>
      <c r="O53" s="32" t="str">
        <f t="shared" si="7"/>
        <v/>
      </c>
      <c r="P53" s="32" t="str">
        <f t="shared" si="11"/>
        <v/>
      </c>
      <c r="Q53" s="33" t="str">
        <f t="shared" si="11"/>
        <v/>
      </c>
    </row>
    <row r="54" spans="2:17" x14ac:dyDescent="0.25">
      <c r="B54" s="9">
        <v>41</v>
      </c>
      <c r="C54" s="35">
        <v>1900</v>
      </c>
      <c r="D54" s="3"/>
      <c r="E54" s="9" t="str">
        <f t="shared" si="0"/>
        <v/>
      </c>
      <c r="F54" s="54" t="str">
        <f t="shared" si="9"/>
        <v/>
      </c>
      <c r="G54" s="73" t="str">
        <f t="shared" si="1"/>
        <v/>
      </c>
      <c r="H54" s="56" t="str">
        <f t="shared" si="2"/>
        <v/>
      </c>
      <c r="I54" s="57" t="str">
        <f t="shared" si="3"/>
        <v/>
      </c>
      <c r="J54" s="58" t="str">
        <f t="shared" si="4"/>
        <v/>
      </c>
      <c r="L54" s="31" t="str">
        <f t="shared" si="5"/>
        <v/>
      </c>
      <c r="M54" s="32" t="str">
        <f t="shared" si="10"/>
        <v/>
      </c>
      <c r="N54" s="32" t="str">
        <f t="shared" si="6"/>
        <v/>
      </c>
      <c r="O54" s="32" t="str">
        <f t="shared" si="7"/>
        <v/>
      </c>
      <c r="P54" s="32" t="str">
        <f t="shared" si="11"/>
        <v/>
      </c>
      <c r="Q54" s="33" t="str">
        <f t="shared" si="11"/>
        <v/>
      </c>
    </row>
    <row r="55" spans="2:17" x14ac:dyDescent="0.25">
      <c r="B55" s="9">
        <v>42</v>
      </c>
      <c r="C55" s="35">
        <v>2000</v>
      </c>
      <c r="D55" s="3"/>
      <c r="E55" s="9" t="str">
        <f t="shared" si="0"/>
        <v/>
      </c>
      <c r="F55" s="54" t="str">
        <f t="shared" si="9"/>
        <v/>
      </c>
      <c r="G55" s="73" t="str">
        <f t="shared" si="1"/>
        <v/>
      </c>
      <c r="H55" s="56" t="str">
        <f t="shared" si="2"/>
        <v/>
      </c>
      <c r="I55" s="57" t="str">
        <f t="shared" si="3"/>
        <v/>
      </c>
      <c r="J55" s="58" t="str">
        <f t="shared" si="4"/>
        <v/>
      </c>
      <c r="L55" s="31" t="str">
        <f t="shared" si="5"/>
        <v/>
      </c>
      <c r="M55" s="32" t="str">
        <f t="shared" si="10"/>
        <v/>
      </c>
      <c r="N55" s="32" t="str">
        <f t="shared" si="6"/>
        <v/>
      </c>
      <c r="O55" s="32" t="str">
        <f t="shared" si="7"/>
        <v/>
      </c>
      <c r="P55" s="32" t="str">
        <f t="shared" si="11"/>
        <v/>
      </c>
      <c r="Q55" s="33" t="str">
        <f t="shared" si="11"/>
        <v/>
      </c>
    </row>
    <row r="56" spans="2:17" x14ac:dyDescent="0.25">
      <c r="B56" s="9">
        <v>43</v>
      </c>
      <c r="C56" s="35">
        <v>2500</v>
      </c>
      <c r="D56" s="3"/>
      <c r="E56" s="9" t="str">
        <f t="shared" si="0"/>
        <v/>
      </c>
      <c r="F56" s="54" t="str">
        <f t="shared" si="9"/>
        <v/>
      </c>
      <c r="G56" s="73" t="str">
        <f t="shared" si="1"/>
        <v/>
      </c>
      <c r="H56" s="56" t="str">
        <f t="shared" si="2"/>
        <v/>
      </c>
      <c r="I56" s="57" t="str">
        <f t="shared" si="3"/>
        <v/>
      </c>
      <c r="J56" s="58" t="str">
        <f t="shared" si="4"/>
        <v/>
      </c>
      <c r="L56" s="31" t="str">
        <f t="shared" si="5"/>
        <v/>
      </c>
      <c r="M56" s="32" t="str">
        <f t="shared" si="10"/>
        <v/>
      </c>
      <c r="N56" s="32" t="str">
        <f t="shared" si="6"/>
        <v/>
      </c>
      <c r="O56" s="32" t="str">
        <f t="shared" si="7"/>
        <v/>
      </c>
      <c r="P56" s="32" t="str">
        <f t="shared" si="11"/>
        <v/>
      </c>
      <c r="Q56" s="33" t="str">
        <f t="shared" si="11"/>
        <v/>
      </c>
    </row>
    <row r="57" spans="2:17" x14ac:dyDescent="0.25">
      <c r="B57" s="9">
        <v>44</v>
      </c>
      <c r="C57" s="35">
        <v>3000</v>
      </c>
      <c r="D57" s="3"/>
      <c r="E57" s="9" t="str">
        <f t="shared" si="0"/>
        <v/>
      </c>
      <c r="F57" s="54" t="str">
        <f t="shared" si="9"/>
        <v/>
      </c>
      <c r="G57" s="73" t="str">
        <f t="shared" si="1"/>
        <v/>
      </c>
      <c r="H57" s="56" t="str">
        <f t="shared" si="2"/>
        <v/>
      </c>
      <c r="I57" s="57" t="str">
        <f t="shared" si="3"/>
        <v/>
      </c>
      <c r="J57" s="58" t="str">
        <f t="shared" si="4"/>
        <v/>
      </c>
      <c r="L57" s="31" t="str">
        <f t="shared" si="5"/>
        <v/>
      </c>
      <c r="M57" s="32" t="str">
        <f t="shared" si="10"/>
        <v/>
      </c>
      <c r="N57" s="32" t="str">
        <f t="shared" si="6"/>
        <v/>
      </c>
      <c r="O57" s="32" t="str">
        <f t="shared" si="7"/>
        <v/>
      </c>
      <c r="P57" s="32" t="str">
        <f t="shared" si="11"/>
        <v/>
      </c>
      <c r="Q57" s="33" t="str">
        <f t="shared" si="11"/>
        <v/>
      </c>
    </row>
    <row r="58" spans="2:17" x14ac:dyDescent="0.25">
      <c r="B58" s="9">
        <v>45</v>
      </c>
      <c r="C58" s="35">
        <v>3500</v>
      </c>
      <c r="D58" s="3"/>
      <c r="E58" s="9" t="str">
        <f t="shared" si="0"/>
        <v/>
      </c>
      <c r="F58" s="54" t="str">
        <f t="shared" si="9"/>
        <v/>
      </c>
      <c r="G58" s="73" t="str">
        <f t="shared" si="1"/>
        <v/>
      </c>
      <c r="H58" s="56" t="str">
        <f t="shared" si="2"/>
        <v/>
      </c>
      <c r="I58" s="57" t="str">
        <f t="shared" si="3"/>
        <v/>
      </c>
      <c r="J58" s="58" t="str">
        <f t="shared" si="4"/>
        <v/>
      </c>
      <c r="L58" s="31" t="str">
        <f t="shared" si="5"/>
        <v/>
      </c>
      <c r="M58" s="32" t="str">
        <f t="shared" si="10"/>
        <v/>
      </c>
      <c r="N58" s="32" t="str">
        <f t="shared" si="6"/>
        <v/>
      </c>
      <c r="O58" s="32" t="str">
        <f t="shared" si="7"/>
        <v/>
      </c>
      <c r="P58" s="32" t="str">
        <f t="shared" si="11"/>
        <v/>
      </c>
      <c r="Q58" s="33" t="str">
        <f t="shared" si="11"/>
        <v/>
      </c>
    </row>
    <row r="59" spans="2:17" x14ac:dyDescent="0.25">
      <c r="B59" s="9">
        <v>46</v>
      </c>
      <c r="C59" s="35">
        <v>4000</v>
      </c>
      <c r="D59" s="3"/>
      <c r="E59" s="9" t="str">
        <f t="shared" si="0"/>
        <v/>
      </c>
      <c r="F59" s="54" t="str">
        <f t="shared" si="9"/>
        <v/>
      </c>
      <c r="G59" s="73" t="str">
        <f t="shared" si="1"/>
        <v/>
      </c>
      <c r="H59" s="56" t="str">
        <f t="shared" si="2"/>
        <v/>
      </c>
      <c r="I59" s="57" t="str">
        <f t="shared" si="3"/>
        <v/>
      </c>
      <c r="J59" s="58" t="str">
        <f t="shared" si="4"/>
        <v/>
      </c>
      <c r="L59" s="31" t="str">
        <f t="shared" si="5"/>
        <v/>
      </c>
      <c r="M59" s="32" t="str">
        <f t="shared" si="10"/>
        <v/>
      </c>
      <c r="N59" s="32" t="str">
        <f t="shared" si="6"/>
        <v/>
      </c>
      <c r="O59" s="32" t="str">
        <f t="shared" si="7"/>
        <v/>
      </c>
      <c r="P59" s="32" t="str">
        <f t="shared" si="11"/>
        <v/>
      </c>
      <c r="Q59" s="33" t="str">
        <f t="shared" si="11"/>
        <v/>
      </c>
    </row>
    <row r="60" spans="2:17" x14ac:dyDescent="0.25">
      <c r="B60" s="9">
        <v>47</v>
      </c>
      <c r="C60" s="35">
        <v>4500</v>
      </c>
      <c r="D60" s="3"/>
      <c r="E60" s="9" t="str">
        <f t="shared" si="0"/>
        <v/>
      </c>
      <c r="F60" s="54" t="str">
        <f t="shared" si="9"/>
        <v/>
      </c>
      <c r="G60" s="73" t="str">
        <f t="shared" si="1"/>
        <v/>
      </c>
      <c r="H60" s="56" t="str">
        <f t="shared" si="2"/>
        <v/>
      </c>
      <c r="I60" s="57" t="str">
        <f t="shared" si="3"/>
        <v/>
      </c>
      <c r="J60" s="58" t="str">
        <f t="shared" si="4"/>
        <v/>
      </c>
      <c r="L60" s="31" t="str">
        <f t="shared" si="5"/>
        <v/>
      </c>
      <c r="M60" s="32" t="str">
        <f t="shared" si="10"/>
        <v/>
      </c>
      <c r="N60" s="32" t="str">
        <f t="shared" si="6"/>
        <v/>
      </c>
      <c r="O60" s="32" t="str">
        <f t="shared" si="7"/>
        <v/>
      </c>
      <c r="P60" s="32" t="str">
        <f t="shared" si="11"/>
        <v/>
      </c>
      <c r="Q60" s="33" t="str">
        <f t="shared" si="11"/>
        <v/>
      </c>
    </row>
    <row r="61" spans="2:17" x14ac:dyDescent="0.25">
      <c r="B61" s="9">
        <v>48</v>
      </c>
      <c r="C61" s="35">
        <v>5000</v>
      </c>
      <c r="D61" s="3"/>
      <c r="E61" s="9" t="str">
        <f t="shared" si="0"/>
        <v/>
      </c>
      <c r="F61" s="54" t="str">
        <f t="shared" si="9"/>
        <v/>
      </c>
      <c r="G61" s="73" t="str">
        <f t="shared" si="1"/>
        <v/>
      </c>
      <c r="H61" s="56" t="str">
        <f t="shared" si="2"/>
        <v/>
      </c>
      <c r="I61" s="57" t="str">
        <f t="shared" si="3"/>
        <v/>
      </c>
      <c r="J61" s="58" t="str">
        <f t="shared" si="4"/>
        <v/>
      </c>
      <c r="L61" s="31" t="str">
        <f t="shared" si="5"/>
        <v/>
      </c>
      <c r="M61" s="32" t="str">
        <f t="shared" si="10"/>
        <v/>
      </c>
      <c r="N61" s="32" t="str">
        <f t="shared" si="6"/>
        <v/>
      </c>
      <c r="O61" s="32" t="str">
        <f t="shared" si="7"/>
        <v/>
      </c>
      <c r="P61" s="32" t="str">
        <f t="shared" si="11"/>
        <v/>
      </c>
      <c r="Q61" s="33" t="str">
        <f t="shared" si="11"/>
        <v/>
      </c>
    </row>
    <row r="62" spans="2:17" x14ac:dyDescent="0.25">
      <c r="B62" s="9">
        <v>49</v>
      </c>
      <c r="C62" s="35">
        <v>5500</v>
      </c>
      <c r="D62" s="3"/>
      <c r="E62" s="9" t="str">
        <f t="shared" si="0"/>
        <v/>
      </c>
      <c r="F62" s="54" t="str">
        <f t="shared" si="9"/>
        <v/>
      </c>
      <c r="G62" s="73" t="str">
        <f t="shared" si="1"/>
        <v/>
      </c>
      <c r="H62" s="56" t="str">
        <f t="shared" si="2"/>
        <v/>
      </c>
      <c r="I62" s="57" t="str">
        <f t="shared" si="3"/>
        <v/>
      </c>
      <c r="J62" s="58" t="str">
        <f t="shared" si="4"/>
        <v/>
      </c>
      <c r="L62" s="31" t="str">
        <f t="shared" si="5"/>
        <v/>
      </c>
      <c r="M62" s="32" t="str">
        <f t="shared" si="10"/>
        <v/>
      </c>
      <c r="N62" s="32" t="str">
        <f t="shared" si="6"/>
        <v/>
      </c>
      <c r="O62" s="32" t="str">
        <f t="shared" si="7"/>
        <v/>
      </c>
      <c r="P62" s="32" t="str">
        <f t="shared" si="11"/>
        <v/>
      </c>
      <c r="Q62" s="33" t="str">
        <f t="shared" si="11"/>
        <v/>
      </c>
    </row>
    <row r="63" spans="2:17" x14ac:dyDescent="0.25">
      <c r="B63" s="9">
        <v>50</v>
      </c>
      <c r="C63" s="35">
        <v>6000</v>
      </c>
      <c r="D63" s="3"/>
      <c r="E63" s="9" t="str">
        <f t="shared" si="0"/>
        <v/>
      </c>
      <c r="F63" s="54" t="str">
        <f t="shared" si="9"/>
        <v/>
      </c>
      <c r="G63" s="73" t="str">
        <f t="shared" si="1"/>
        <v/>
      </c>
      <c r="H63" s="56" t="str">
        <f t="shared" si="2"/>
        <v/>
      </c>
      <c r="I63" s="57" t="str">
        <f t="shared" si="3"/>
        <v/>
      </c>
      <c r="J63" s="58" t="str">
        <f t="shared" si="4"/>
        <v/>
      </c>
      <c r="L63" s="31" t="str">
        <f t="shared" si="5"/>
        <v/>
      </c>
      <c r="M63" s="32" t="str">
        <f t="shared" si="10"/>
        <v/>
      </c>
      <c r="N63" s="32" t="str">
        <f t="shared" si="6"/>
        <v/>
      </c>
      <c r="O63" s="32" t="str">
        <f t="shared" si="7"/>
        <v/>
      </c>
      <c r="P63" s="32" t="str">
        <f t="shared" si="11"/>
        <v/>
      </c>
      <c r="Q63" s="33" t="str">
        <f t="shared" si="11"/>
        <v/>
      </c>
    </row>
    <row r="64" spans="2:17" x14ac:dyDescent="0.25">
      <c r="B64" s="9">
        <v>51</v>
      </c>
      <c r="C64" s="35">
        <v>6500</v>
      </c>
      <c r="D64" s="3"/>
      <c r="E64" s="9" t="str">
        <f t="shared" si="0"/>
        <v/>
      </c>
      <c r="F64" s="54" t="str">
        <f t="shared" si="9"/>
        <v/>
      </c>
      <c r="G64" s="73" t="str">
        <f t="shared" si="1"/>
        <v/>
      </c>
      <c r="H64" s="56" t="str">
        <f t="shared" si="2"/>
        <v/>
      </c>
      <c r="I64" s="57" t="str">
        <f t="shared" si="3"/>
        <v/>
      </c>
      <c r="J64" s="58" t="str">
        <f t="shared" si="4"/>
        <v/>
      </c>
      <c r="L64" s="31" t="str">
        <f t="shared" si="5"/>
        <v/>
      </c>
      <c r="M64" s="32" t="str">
        <f t="shared" si="10"/>
        <v/>
      </c>
      <c r="N64" s="32" t="str">
        <f t="shared" si="6"/>
        <v/>
      </c>
      <c r="O64" s="32" t="str">
        <f t="shared" si="7"/>
        <v/>
      </c>
      <c r="P64" s="32" t="str">
        <f t="shared" si="11"/>
        <v/>
      </c>
      <c r="Q64" s="33" t="str">
        <f t="shared" si="11"/>
        <v/>
      </c>
    </row>
    <row r="65" spans="2:17" x14ac:dyDescent="0.25">
      <c r="B65" s="9">
        <v>52</v>
      </c>
      <c r="C65" s="35">
        <v>7000</v>
      </c>
      <c r="D65" s="3"/>
      <c r="E65" s="9" t="str">
        <f t="shared" si="0"/>
        <v/>
      </c>
      <c r="F65" s="54" t="str">
        <f t="shared" si="9"/>
        <v/>
      </c>
      <c r="G65" s="73" t="str">
        <f t="shared" si="1"/>
        <v/>
      </c>
      <c r="H65" s="56" t="str">
        <f t="shared" si="2"/>
        <v/>
      </c>
      <c r="I65" s="57" t="str">
        <f t="shared" si="3"/>
        <v/>
      </c>
      <c r="J65" s="58" t="str">
        <f t="shared" si="4"/>
        <v/>
      </c>
      <c r="L65" s="31" t="str">
        <f t="shared" si="5"/>
        <v/>
      </c>
      <c r="M65" s="32" t="str">
        <f t="shared" si="10"/>
        <v/>
      </c>
      <c r="N65" s="32" t="str">
        <f t="shared" si="6"/>
        <v/>
      </c>
      <c r="O65" s="32" t="str">
        <f t="shared" si="7"/>
        <v/>
      </c>
      <c r="P65" s="32" t="str">
        <f t="shared" si="11"/>
        <v/>
      </c>
      <c r="Q65" s="33" t="str">
        <f t="shared" si="11"/>
        <v/>
      </c>
    </row>
    <row r="66" spans="2:17" x14ac:dyDescent="0.25">
      <c r="B66" s="9">
        <v>53</v>
      </c>
      <c r="C66" s="35">
        <v>7500</v>
      </c>
      <c r="D66" s="3"/>
      <c r="E66" s="9" t="str">
        <f t="shared" si="0"/>
        <v/>
      </c>
      <c r="F66" s="54" t="str">
        <f t="shared" si="9"/>
        <v/>
      </c>
      <c r="G66" s="73" t="str">
        <f t="shared" si="1"/>
        <v/>
      </c>
      <c r="H66" s="56" t="str">
        <f t="shared" si="2"/>
        <v/>
      </c>
      <c r="I66" s="57" t="str">
        <f t="shared" si="3"/>
        <v/>
      </c>
      <c r="J66" s="58" t="str">
        <f t="shared" si="4"/>
        <v/>
      </c>
      <c r="L66" s="31" t="str">
        <f t="shared" si="5"/>
        <v/>
      </c>
      <c r="M66" s="32" t="str">
        <f t="shared" si="10"/>
        <v/>
      </c>
      <c r="N66" s="32" t="str">
        <f t="shared" si="6"/>
        <v/>
      </c>
      <c r="O66" s="32" t="str">
        <f t="shared" si="7"/>
        <v/>
      </c>
      <c r="P66" s="32" t="str">
        <f t="shared" si="11"/>
        <v/>
      </c>
      <c r="Q66" s="33" t="str">
        <f t="shared" si="11"/>
        <v/>
      </c>
    </row>
    <row r="67" spans="2:17" x14ac:dyDescent="0.25">
      <c r="B67" s="9">
        <v>54</v>
      </c>
      <c r="C67" s="35">
        <v>8000</v>
      </c>
      <c r="D67" s="3"/>
      <c r="E67" s="9" t="str">
        <f t="shared" si="0"/>
        <v/>
      </c>
      <c r="F67" s="54" t="str">
        <f t="shared" si="9"/>
        <v/>
      </c>
      <c r="G67" s="73" t="str">
        <f t="shared" si="1"/>
        <v/>
      </c>
      <c r="H67" s="56" t="str">
        <f t="shared" si="2"/>
        <v/>
      </c>
      <c r="I67" s="57" t="str">
        <f t="shared" si="3"/>
        <v/>
      </c>
      <c r="J67" s="58" t="str">
        <f t="shared" si="4"/>
        <v/>
      </c>
      <c r="L67" s="31" t="str">
        <f t="shared" si="5"/>
        <v/>
      </c>
      <c r="M67" s="32" t="str">
        <f t="shared" si="10"/>
        <v/>
      </c>
      <c r="N67" s="32" t="str">
        <f t="shared" si="6"/>
        <v/>
      </c>
      <c r="O67" s="32" t="str">
        <f t="shared" si="7"/>
        <v/>
      </c>
      <c r="P67" s="32" t="str">
        <f t="shared" si="11"/>
        <v/>
      </c>
      <c r="Q67" s="33" t="str">
        <f t="shared" si="11"/>
        <v/>
      </c>
    </row>
    <row r="68" spans="2:17" x14ac:dyDescent="0.25">
      <c r="B68" s="9">
        <v>55</v>
      </c>
      <c r="C68" s="35">
        <v>8500</v>
      </c>
      <c r="D68" s="3"/>
      <c r="E68" s="9" t="str">
        <f t="shared" si="0"/>
        <v/>
      </c>
      <c r="F68" s="54" t="str">
        <f t="shared" si="9"/>
        <v/>
      </c>
      <c r="G68" s="73" t="str">
        <f t="shared" si="1"/>
        <v/>
      </c>
      <c r="H68" s="56" t="str">
        <f t="shared" si="2"/>
        <v/>
      </c>
      <c r="I68" s="57" t="str">
        <f t="shared" si="3"/>
        <v/>
      </c>
      <c r="J68" s="58" t="str">
        <f t="shared" si="4"/>
        <v/>
      </c>
      <c r="L68" s="31" t="str">
        <f t="shared" si="5"/>
        <v/>
      </c>
      <c r="M68" s="32" t="str">
        <f t="shared" si="10"/>
        <v/>
      </c>
      <c r="N68" s="32" t="str">
        <f t="shared" si="6"/>
        <v/>
      </c>
      <c r="O68" s="32" t="str">
        <f t="shared" si="7"/>
        <v/>
      </c>
      <c r="P68" s="32" t="str">
        <f t="shared" si="11"/>
        <v/>
      </c>
      <c r="Q68" s="33" t="str">
        <f t="shared" si="11"/>
        <v/>
      </c>
    </row>
    <row r="69" spans="2:17" x14ac:dyDescent="0.25">
      <c r="B69" s="9">
        <v>56</v>
      </c>
      <c r="C69" s="35">
        <v>9000</v>
      </c>
      <c r="D69" s="3"/>
      <c r="E69" s="9" t="str">
        <f t="shared" si="0"/>
        <v/>
      </c>
      <c r="F69" s="54" t="str">
        <f t="shared" si="9"/>
        <v/>
      </c>
      <c r="G69" s="73" t="str">
        <f t="shared" si="1"/>
        <v/>
      </c>
      <c r="H69" s="56" t="str">
        <f t="shared" si="2"/>
        <v/>
      </c>
      <c r="I69" s="57" t="str">
        <f t="shared" si="3"/>
        <v/>
      </c>
      <c r="J69" s="58" t="str">
        <f t="shared" si="4"/>
        <v/>
      </c>
      <c r="L69" s="31" t="str">
        <f t="shared" si="5"/>
        <v/>
      </c>
      <c r="M69" s="32" t="str">
        <f t="shared" si="10"/>
        <v/>
      </c>
      <c r="N69" s="32" t="str">
        <f t="shared" si="6"/>
        <v/>
      </c>
      <c r="O69" s="32" t="str">
        <f t="shared" si="7"/>
        <v/>
      </c>
      <c r="P69" s="32" t="str">
        <f t="shared" si="11"/>
        <v/>
      </c>
      <c r="Q69" s="33" t="str">
        <f t="shared" si="11"/>
        <v/>
      </c>
    </row>
    <row r="70" spans="2:17" x14ac:dyDescent="0.25">
      <c r="B70" s="9">
        <v>57</v>
      </c>
      <c r="C70" s="35">
        <v>9500</v>
      </c>
      <c r="D70" s="3"/>
      <c r="E70" s="9" t="str">
        <f t="shared" si="0"/>
        <v/>
      </c>
      <c r="F70" s="54" t="str">
        <f t="shared" si="9"/>
        <v/>
      </c>
      <c r="G70" s="73" t="str">
        <f t="shared" si="1"/>
        <v/>
      </c>
      <c r="H70" s="56" t="str">
        <f t="shared" si="2"/>
        <v/>
      </c>
      <c r="I70" s="57" t="str">
        <f t="shared" si="3"/>
        <v/>
      </c>
      <c r="J70" s="58" t="str">
        <f t="shared" si="4"/>
        <v/>
      </c>
      <c r="L70" s="31" t="str">
        <f t="shared" si="5"/>
        <v/>
      </c>
      <c r="M70" s="32" t="str">
        <f t="shared" si="10"/>
        <v/>
      </c>
      <c r="N70" s="32" t="str">
        <f t="shared" si="6"/>
        <v/>
      </c>
      <c r="O70" s="32" t="str">
        <f t="shared" si="7"/>
        <v/>
      </c>
      <c r="P70" s="32" t="str">
        <f t="shared" si="11"/>
        <v/>
      </c>
      <c r="Q70" s="33" t="str">
        <f t="shared" si="11"/>
        <v/>
      </c>
    </row>
    <row r="71" spans="2:17" x14ac:dyDescent="0.25">
      <c r="B71" s="9">
        <v>58</v>
      </c>
      <c r="C71" s="35">
        <v>10000</v>
      </c>
      <c r="D71" s="3"/>
      <c r="E71" s="9" t="str">
        <f t="shared" si="0"/>
        <v/>
      </c>
      <c r="F71" s="54" t="str">
        <f t="shared" si="9"/>
        <v/>
      </c>
      <c r="G71" s="73" t="str">
        <f t="shared" si="1"/>
        <v/>
      </c>
      <c r="H71" s="56" t="str">
        <f t="shared" si="2"/>
        <v/>
      </c>
      <c r="I71" s="57" t="str">
        <f t="shared" si="3"/>
        <v/>
      </c>
      <c r="J71" s="58" t="str">
        <f t="shared" si="4"/>
        <v/>
      </c>
      <c r="L71" s="31" t="str">
        <f t="shared" si="5"/>
        <v/>
      </c>
      <c r="M71" s="32" t="str">
        <f t="shared" si="10"/>
        <v/>
      </c>
      <c r="N71" s="32" t="str">
        <f t="shared" si="6"/>
        <v/>
      </c>
      <c r="O71" s="32" t="str">
        <f t="shared" si="7"/>
        <v/>
      </c>
      <c r="P71" s="32" t="str">
        <f t="shared" si="11"/>
        <v/>
      </c>
      <c r="Q71" s="33" t="str">
        <f t="shared" si="11"/>
        <v/>
      </c>
    </row>
    <row r="72" spans="2:17" x14ac:dyDescent="0.25">
      <c r="B72" s="9">
        <v>59</v>
      </c>
      <c r="C72" s="35">
        <v>10500</v>
      </c>
      <c r="D72" s="3"/>
      <c r="E72" s="9" t="str">
        <f t="shared" si="0"/>
        <v/>
      </c>
      <c r="F72" s="54" t="str">
        <f t="shared" si="9"/>
        <v/>
      </c>
      <c r="G72" s="73" t="str">
        <f t="shared" si="1"/>
        <v/>
      </c>
      <c r="H72" s="56" t="str">
        <f t="shared" si="2"/>
        <v/>
      </c>
      <c r="I72" s="57" t="str">
        <f t="shared" si="3"/>
        <v/>
      </c>
      <c r="J72" s="58" t="str">
        <f t="shared" si="4"/>
        <v/>
      </c>
      <c r="L72" s="31" t="str">
        <f t="shared" si="5"/>
        <v/>
      </c>
      <c r="M72" s="32" t="str">
        <f t="shared" si="10"/>
        <v/>
      </c>
      <c r="N72" s="32" t="str">
        <f t="shared" si="6"/>
        <v/>
      </c>
      <c r="O72" s="32" t="str">
        <f t="shared" si="7"/>
        <v/>
      </c>
      <c r="P72" s="32" t="str">
        <f t="shared" si="11"/>
        <v/>
      </c>
      <c r="Q72" s="33" t="str">
        <f t="shared" si="11"/>
        <v/>
      </c>
    </row>
    <row r="73" spans="2:17" x14ac:dyDescent="0.25">
      <c r="B73" s="9">
        <v>60</v>
      </c>
      <c r="C73" s="35">
        <v>11000</v>
      </c>
      <c r="D73" s="3"/>
      <c r="E73" s="9" t="str">
        <f t="shared" si="0"/>
        <v/>
      </c>
      <c r="F73" s="54" t="str">
        <f t="shared" si="9"/>
        <v/>
      </c>
      <c r="G73" s="73" t="str">
        <f t="shared" si="1"/>
        <v/>
      </c>
      <c r="H73" s="56" t="str">
        <f t="shared" si="2"/>
        <v/>
      </c>
      <c r="I73" s="57" t="str">
        <f t="shared" si="3"/>
        <v/>
      </c>
      <c r="J73" s="58" t="str">
        <f t="shared" si="4"/>
        <v/>
      </c>
      <c r="L73" s="31" t="str">
        <f t="shared" si="5"/>
        <v/>
      </c>
      <c r="M73" s="32" t="str">
        <f t="shared" si="10"/>
        <v/>
      </c>
      <c r="N73" s="32" t="str">
        <f t="shared" si="6"/>
        <v/>
      </c>
      <c r="O73" s="32" t="str">
        <f t="shared" si="7"/>
        <v/>
      </c>
      <c r="P73" s="32" t="str">
        <f t="shared" si="11"/>
        <v/>
      </c>
      <c r="Q73" s="33" t="str">
        <f t="shared" si="11"/>
        <v/>
      </c>
    </row>
    <row r="74" spans="2:17" x14ac:dyDescent="0.25">
      <c r="B74" s="9">
        <v>61</v>
      </c>
      <c r="C74" s="35">
        <v>11500</v>
      </c>
      <c r="D74" s="3"/>
      <c r="E74" s="9" t="str">
        <f t="shared" si="0"/>
        <v/>
      </c>
      <c r="F74" s="54" t="str">
        <f t="shared" si="9"/>
        <v/>
      </c>
      <c r="G74" s="73" t="str">
        <f t="shared" si="1"/>
        <v/>
      </c>
      <c r="H74" s="56" t="str">
        <f t="shared" si="2"/>
        <v/>
      </c>
      <c r="I74" s="57" t="str">
        <f t="shared" si="3"/>
        <v/>
      </c>
      <c r="J74" s="58" t="str">
        <f t="shared" si="4"/>
        <v/>
      </c>
      <c r="L74" s="31" t="str">
        <f t="shared" si="5"/>
        <v/>
      </c>
      <c r="M74" s="32" t="str">
        <f t="shared" si="10"/>
        <v/>
      </c>
      <c r="N74" s="32" t="str">
        <f t="shared" si="6"/>
        <v/>
      </c>
      <c r="O74" s="32" t="str">
        <f t="shared" si="7"/>
        <v/>
      </c>
      <c r="P74" s="32" t="str">
        <f t="shared" si="11"/>
        <v/>
      </c>
      <c r="Q74" s="33" t="str">
        <f t="shared" si="11"/>
        <v/>
      </c>
    </row>
    <row r="75" spans="2:17" x14ac:dyDescent="0.25">
      <c r="B75" s="9">
        <v>62</v>
      </c>
      <c r="C75" s="35">
        <v>12000</v>
      </c>
      <c r="D75" s="3"/>
      <c r="E75" s="9" t="str">
        <f t="shared" si="0"/>
        <v/>
      </c>
      <c r="F75" s="54" t="str">
        <f t="shared" si="9"/>
        <v/>
      </c>
      <c r="G75" s="73" t="str">
        <f t="shared" si="1"/>
        <v/>
      </c>
      <c r="H75" s="56" t="str">
        <f t="shared" si="2"/>
        <v/>
      </c>
      <c r="I75" s="57" t="str">
        <f t="shared" si="3"/>
        <v/>
      </c>
      <c r="J75" s="58" t="str">
        <f t="shared" si="4"/>
        <v/>
      </c>
      <c r="L75" s="31" t="str">
        <f t="shared" si="5"/>
        <v/>
      </c>
      <c r="M75" s="32" t="str">
        <f t="shared" si="10"/>
        <v/>
      </c>
      <c r="N75" s="32" t="str">
        <f t="shared" si="6"/>
        <v/>
      </c>
      <c r="O75" s="32" t="str">
        <f t="shared" si="7"/>
        <v/>
      </c>
      <c r="P75" s="32" t="str">
        <f t="shared" si="11"/>
        <v/>
      </c>
      <c r="Q75" s="33" t="str">
        <f t="shared" si="11"/>
        <v/>
      </c>
    </row>
    <row r="76" spans="2:17" x14ac:dyDescent="0.25">
      <c r="B76" s="9">
        <v>63</v>
      </c>
      <c r="C76" s="35">
        <v>12500</v>
      </c>
      <c r="D76" s="3"/>
      <c r="E76" s="9" t="str">
        <f t="shared" si="0"/>
        <v/>
      </c>
      <c r="F76" s="54" t="str">
        <f t="shared" si="9"/>
        <v/>
      </c>
      <c r="G76" s="73" t="str">
        <f t="shared" si="1"/>
        <v/>
      </c>
      <c r="H76" s="56" t="str">
        <f t="shared" si="2"/>
        <v/>
      </c>
      <c r="I76" s="57" t="str">
        <f t="shared" si="3"/>
        <v/>
      </c>
      <c r="J76" s="58" t="str">
        <f t="shared" si="4"/>
        <v/>
      </c>
      <c r="L76" s="31" t="str">
        <f t="shared" si="5"/>
        <v/>
      </c>
      <c r="M76" s="32" t="str">
        <f t="shared" si="10"/>
        <v/>
      </c>
      <c r="N76" s="32" t="str">
        <f t="shared" si="6"/>
        <v/>
      </c>
      <c r="O76" s="32" t="str">
        <f t="shared" si="7"/>
        <v/>
      </c>
      <c r="P76" s="32" t="str">
        <f t="shared" si="11"/>
        <v/>
      </c>
      <c r="Q76" s="33" t="str">
        <f t="shared" si="11"/>
        <v/>
      </c>
    </row>
    <row r="77" spans="2:17" x14ac:dyDescent="0.25">
      <c r="B77" s="9">
        <v>64</v>
      </c>
      <c r="C77" s="35">
        <v>13000</v>
      </c>
      <c r="D77" s="3"/>
      <c r="E77" s="9" t="str">
        <f t="shared" si="0"/>
        <v/>
      </c>
      <c r="F77" s="54" t="str">
        <f t="shared" si="9"/>
        <v/>
      </c>
      <c r="G77" s="73" t="str">
        <f t="shared" si="1"/>
        <v/>
      </c>
      <c r="H77" s="56" t="str">
        <f t="shared" si="2"/>
        <v/>
      </c>
      <c r="I77" s="57" t="str">
        <f t="shared" si="3"/>
        <v/>
      </c>
      <c r="J77" s="58" t="str">
        <f t="shared" si="4"/>
        <v/>
      </c>
      <c r="L77" s="31" t="str">
        <f t="shared" si="5"/>
        <v/>
      </c>
      <c r="M77" s="32" t="str">
        <f t="shared" si="10"/>
        <v/>
      </c>
      <c r="N77" s="32" t="str">
        <f t="shared" si="6"/>
        <v/>
      </c>
      <c r="O77" s="32" t="str">
        <f t="shared" si="7"/>
        <v/>
      </c>
      <c r="P77" s="32" t="str">
        <f t="shared" si="11"/>
        <v/>
      </c>
      <c r="Q77" s="33" t="str">
        <f t="shared" si="11"/>
        <v/>
      </c>
    </row>
    <row r="78" spans="2:17" x14ac:dyDescent="0.25">
      <c r="B78" s="9">
        <v>65</v>
      </c>
      <c r="C78" s="35">
        <v>13500</v>
      </c>
      <c r="D78" s="3"/>
      <c r="E78" s="9" t="str">
        <f t="shared" ref="E78:E141" si="12">IF(L78="","",ROUND(12*C$7/(2*H$7^2+2*H$6*H$7-H$6^2)*L78*1000000,0))</f>
        <v/>
      </c>
      <c r="F78" s="54" t="str">
        <f t="shared" si="9"/>
        <v/>
      </c>
      <c r="G78" s="73" t="str">
        <f t="shared" ref="G78:G141" si="13">IF(L78="","",ROUND(1.5*((N78-O78)*1000*H$7)/(C$6*C$7^2),3))</f>
        <v/>
      </c>
      <c r="H78" s="56" t="str">
        <f t="shared" ref="H78:H141" si="14">IF(L78="","",ROUND(1.5*((N78/2-O78)*1000*H$7)/(C$6*C$7^2),3))</f>
        <v/>
      </c>
      <c r="I78" s="57" t="str">
        <f t="shared" ref="I78:I141" si="15">IF(L78="","",IF(P78&lt;=0,"foute meting",ROUND(0.000001*V$4*SQRT((1000000*Q78)^2+(1000000*P78+V$5*(2*PI()*H$5)^2)^2),0)))</f>
        <v/>
      </c>
      <c r="J78" s="58" t="str">
        <f t="shared" ref="J78:J141" si="16">IF(L78="","",ROUND(ATAN(Q78/P78)/PI()*180,1))</f>
        <v/>
      </c>
      <c r="L78" s="31" t="str">
        <f t="shared" ref="L78:L141" si="17">IF(AG80&lt;=0,"",AG80)</f>
        <v/>
      </c>
      <c r="M78" s="32" t="str">
        <f t="shared" si="10"/>
        <v/>
      </c>
      <c r="N78" s="32" t="str">
        <f t="shared" ref="N78:N141" si="18">IF(AI80="","",AI80)</f>
        <v/>
      </c>
      <c r="O78" s="32" t="str">
        <f t="shared" ref="O78:O141" si="19">IF(AH80="","",AH80)</f>
        <v/>
      </c>
      <c r="P78" s="32" t="str">
        <f t="shared" ref="P78:Q109" si="20">IF(AJ80="","",AJ80)</f>
        <v/>
      </c>
      <c r="Q78" s="33" t="str">
        <f t="shared" si="20"/>
        <v/>
      </c>
    </row>
    <row r="79" spans="2:17" x14ac:dyDescent="0.25">
      <c r="B79" s="9">
        <v>66</v>
      </c>
      <c r="C79" s="35">
        <v>14000</v>
      </c>
      <c r="D79" s="3"/>
      <c r="E79" s="9" t="str">
        <f t="shared" si="12"/>
        <v/>
      </c>
      <c r="F79" s="54" t="str">
        <f t="shared" ref="F79:F142" si="21">IF(L79="","",ABS(ROUND(12*C$7/(2*(H$7/1000)^2+2*(H$6/1000)*(H$7/1000)-(H$6/1000)^2)*(M79-M$14)*1,0)))</f>
        <v/>
      </c>
      <c r="G79" s="73" t="str">
        <f t="shared" si="13"/>
        <v/>
      </c>
      <c r="H79" s="56" t="str">
        <f t="shared" si="14"/>
        <v/>
      </c>
      <c r="I79" s="57" t="str">
        <f t="shared" si="15"/>
        <v/>
      </c>
      <c r="J79" s="58" t="str">
        <f t="shared" si="16"/>
        <v/>
      </c>
      <c r="L79" s="31" t="str">
        <f t="shared" si="17"/>
        <v/>
      </c>
      <c r="M79" s="32" t="str">
        <f t="shared" ref="M79:M142" si="22">IF(AG81="","",AG81/2-AE81)</f>
        <v/>
      </c>
      <c r="N79" s="32" t="str">
        <f t="shared" si="18"/>
        <v/>
      </c>
      <c r="O79" s="32" t="str">
        <f t="shared" si="19"/>
        <v/>
      </c>
      <c r="P79" s="32" t="str">
        <f t="shared" si="20"/>
        <v/>
      </c>
      <c r="Q79" s="33" t="str">
        <f t="shared" si="20"/>
        <v/>
      </c>
    </row>
    <row r="80" spans="2:17" x14ac:dyDescent="0.25">
      <c r="B80" s="9">
        <v>67</v>
      </c>
      <c r="C80" s="35">
        <v>14500</v>
      </c>
      <c r="D80" s="3"/>
      <c r="E80" s="9" t="str">
        <f t="shared" si="12"/>
        <v/>
      </c>
      <c r="F80" s="54" t="str">
        <f t="shared" si="21"/>
        <v/>
      </c>
      <c r="G80" s="73" t="str">
        <f t="shared" si="13"/>
        <v/>
      </c>
      <c r="H80" s="56" t="str">
        <f t="shared" si="14"/>
        <v/>
      </c>
      <c r="I80" s="57" t="str">
        <f t="shared" si="15"/>
        <v/>
      </c>
      <c r="J80" s="58" t="str">
        <f t="shared" si="16"/>
        <v/>
      </c>
      <c r="L80" s="31" t="str">
        <f t="shared" si="17"/>
        <v/>
      </c>
      <c r="M80" s="32" t="str">
        <f t="shared" si="22"/>
        <v/>
      </c>
      <c r="N80" s="32" t="str">
        <f t="shared" si="18"/>
        <v/>
      </c>
      <c r="O80" s="32" t="str">
        <f t="shared" si="19"/>
        <v/>
      </c>
      <c r="P80" s="32" t="str">
        <f t="shared" si="20"/>
        <v/>
      </c>
      <c r="Q80" s="33" t="str">
        <f t="shared" si="20"/>
        <v/>
      </c>
    </row>
    <row r="81" spans="2:17" x14ac:dyDescent="0.25">
      <c r="B81" s="9">
        <v>68</v>
      </c>
      <c r="C81" s="35">
        <v>15000</v>
      </c>
      <c r="D81" s="3"/>
      <c r="E81" s="9" t="str">
        <f t="shared" si="12"/>
        <v/>
      </c>
      <c r="F81" s="54" t="str">
        <f t="shared" si="21"/>
        <v/>
      </c>
      <c r="G81" s="73" t="str">
        <f t="shared" si="13"/>
        <v/>
      </c>
      <c r="H81" s="56" t="str">
        <f t="shared" si="14"/>
        <v/>
      </c>
      <c r="I81" s="57" t="str">
        <f t="shared" si="15"/>
        <v/>
      </c>
      <c r="J81" s="58" t="str">
        <f t="shared" si="16"/>
        <v/>
      </c>
      <c r="L81" s="31" t="str">
        <f t="shared" si="17"/>
        <v/>
      </c>
      <c r="M81" s="32" t="str">
        <f t="shared" si="22"/>
        <v/>
      </c>
      <c r="N81" s="32" t="str">
        <f t="shared" si="18"/>
        <v/>
      </c>
      <c r="O81" s="32" t="str">
        <f t="shared" si="19"/>
        <v/>
      </c>
      <c r="P81" s="32" t="str">
        <f t="shared" si="20"/>
        <v/>
      </c>
      <c r="Q81" s="33" t="str">
        <f t="shared" si="20"/>
        <v/>
      </c>
    </row>
    <row r="82" spans="2:17" x14ac:dyDescent="0.25">
      <c r="B82" s="9">
        <v>69</v>
      </c>
      <c r="C82" s="35">
        <v>15500</v>
      </c>
      <c r="D82" s="3"/>
      <c r="E82" s="9" t="str">
        <f t="shared" si="12"/>
        <v/>
      </c>
      <c r="F82" s="54" t="str">
        <f t="shared" si="21"/>
        <v/>
      </c>
      <c r="G82" s="73" t="str">
        <f t="shared" si="13"/>
        <v/>
      </c>
      <c r="H82" s="56" t="str">
        <f t="shared" si="14"/>
        <v/>
      </c>
      <c r="I82" s="57" t="str">
        <f t="shared" si="15"/>
        <v/>
      </c>
      <c r="J82" s="58" t="str">
        <f t="shared" si="16"/>
        <v/>
      </c>
      <c r="L82" s="31" t="str">
        <f t="shared" si="17"/>
        <v/>
      </c>
      <c r="M82" s="32" t="str">
        <f t="shared" si="22"/>
        <v/>
      </c>
      <c r="N82" s="32" t="str">
        <f t="shared" si="18"/>
        <v/>
      </c>
      <c r="O82" s="32" t="str">
        <f t="shared" si="19"/>
        <v/>
      </c>
      <c r="P82" s="32" t="str">
        <f t="shared" si="20"/>
        <v/>
      </c>
      <c r="Q82" s="33" t="str">
        <f t="shared" si="20"/>
        <v/>
      </c>
    </row>
    <row r="83" spans="2:17" x14ac:dyDescent="0.25">
      <c r="B83" s="9">
        <v>70</v>
      </c>
      <c r="C83" s="35">
        <v>16000</v>
      </c>
      <c r="D83" s="3"/>
      <c r="E83" s="9" t="str">
        <f t="shared" si="12"/>
        <v/>
      </c>
      <c r="F83" s="54" t="str">
        <f t="shared" si="21"/>
        <v/>
      </c>
      <c r="G83" s="73" t="str">
        <f t="shared" si="13"/>
        <v/>
      </c>
      <c r="H83" s="56" t="str">
        <f t="shared" si="14"/>
        <v/>
      </c>
      <c r="I83" s="57" t="str">
        <f t="shared" si="15"/>
        <v/>
      </c>
      <c r="J83" s="58" t="str">
        <f t="shared" si="16"/>
        <v/>
      </c>
      <c r="L83" s="31" t="str">
        <f t="shared" si="17"/>
        <v/>
      </c>
      <c r="M83" s="32" t="str">
        <f t="shared" si="22"/>
        <v/>
      </c>
      <c r="N83" s="32" t="str">
        <f t="shared" si="18"/>
        <v/>
      </c>
      <c r="O83" s="32" t="str">
        <f t="shared" si="19"/>
        <v/>
      </c>
      <c r="P83" s="32" t="str">
        <f t="shared" si="20"/>
        <v/>
      </c>
      <c r="Q83" s="33" t="str">
        <f t="shared" si="20"/>
        <v/>
      </c>
    </row>
    <row r="84" spans="2:17" x14ac:dyDescent="0.25">
      <c r="B84" s="9">
        <v>71</v>
      </c>
      <c r="C84" s="35">
        <v>16500</v>
      </c>
      <c r="D84" s="3"/>
      <c r="E84" s="9" t="str">
        <f t="shared" si="12"/>
        <v/>
      </c>
      <c r="F84" s="54" t="str">
        <f t="shared" si="21"/>
        <v/>
      </c>
      <c r="G84" s="73" t="str">
        <f t="shared" si="13"/>
        <v/>
      </c>
      <c r="H84" s="56" t="str">
        <f t="shared" si="14"/>
        <v/>
      </c>
      <c r="I84" s="57" t="str">
        <f t="shared" si="15"/>
        <v/>
      </c>
      <c r="J84" s="58" t="str">
        <f t="shared" si="16"/>
        <v/>
      </c>
      <c r="L84" s="31" t="str">
        <f t="shared" si="17"/>
        <v/>
      </c>
      <c r="M84" s="32" t="str">
        <f t="shared" si="22"/>
        <v/>
      </c>
      <c r="N84" s="32" t="str">
        <f t="shared" si="18"/>
        <v/>
      </c>
      <c r="O84" s="32" t="str">
        <f t="shared" si="19"/>
        <v/>
      </c>
      <c r="P84" s="32" t="str">
        <f t="shared" si="20"/>
        <v/>
      </c>
      <c r="Q84" s="33" t="str">
        <f t="shared" si="20"/>
        <v/>
      </c>
    </row>
    <row r="85" spans="2:17" x14ac:dyDescent="0.25">
      <c r="B85" s="9">
        <v>72</v>
      </c>
      <c r="C85" s="35">
        <v>17000</v>
      </c>
      <c r="D85" s="3"/>
      <c r="E85" s="9" t="str">
        <f t="shared" si="12"/>
        <v/>
      </c>
      <c r="F85" s="54" t="str">
        <f t="shared" si="21"/>
        <v/>
      </c>
      <c r="G85" s="73" t="str">
        <f t="shared" si="13"/>
        <v/>
      </c>
      <c r="H85" s="56" t="str">
        <f t="shared" si="14"/>
        <v/>
      </c>
      <c r="I85" s="57" t="str">
        <f t="shared" si="15"/>
        <v/>
      </c>
      <c r="J85" s="58" t="str">
        <f t="shared" si="16"/>
        <v/>
      </c>
      <c r="L85" s="31" t="str">
        <f t="shared" si="17"/>
        <v/>
      </c>
      <c r="M85" s="32" t="str">
        <f t="shared" si="22"/>
        <v/>
      </c>
      <c r="N85" s="32" t="str">
        <f t="shared" si="18"/>
        <v/>
      </c>
      <c r="O85" s="32" t="str">
        <f t="shared" si="19"/>
        <v/>
      </c>
      <c r="P85" s="32" t="str">
        <f t="shared" si="20"/>
        <v/>
      </c>
      <c r="Q85" s="33" t="str">
        <f t="shared" si="20"/>
        <v/>
      </c>
    </row>
    <row r="86" spans="2:17" x14ac:dyDescent="0.25">
      <c r="B86" s="9">
        <v>73</v>
      </c>
      <c r="C86" s="35">
        <v>17500</v>
      </c>
      <c r="D86" s="3"/>
      <c r="E86" s="9" t="str">
        <f t="shared" si="12"/>
        <v/>
      </c>
      <c r="F86" s="54" t="str">
        <f t="shared" si="21"/>
        <v/>
      </c>
      <c r="G86" s="73" t="str">
        <f t="shared" si="13"/>
        <v/>
      </c>
      <c r="H86" s="56" t="str">
        <f t="shared" si="14"/>
        <v/>
      </c>
      <c r="I86" s="57" t="str">
        <f t="shared" si="15"/>
        <v/>
      </c>
      <c r="J86" s="58" t="str">
        <f t="shared" si="16"/>
        <v/>
      </c>
      <c r="L86" s="31" t="str">
        <f t="shared" si="17"/>
        <v/>
      </c>
      <c r="M86" s="32" t="str">
        <f t="shared" si="22"/>
        <v/>
      </c>
      <c r="N86" s="32" t="str">
        <f t="shared" si="18"/>
        <v/>
      </c>
      <c r="O86" s="32" t="str">
        <f t="shared" si="19"/>
        <v/>
      </c>
      <c r="P86" s="32" t="str">
        <f t="shared" si="20"/>
        <v/>
      </c>
      <c r="Q86" s="33" t="str">
        <f t="shared" si="20"/>
        <v/>
      </c>
    </row>
    <row r="87" spans="2:17" x14ac:dyDescent="0.25">
      <c r="B87" s="9">
        <v>74</v>
      </c>
      <c r="C87" s="35">
        <v>18000</v>
      </c>
      <c r="D87" s="3"/>
      <c r="E87" s="9" t="str">
        <f t="shared" si="12"/>
        <v/>
      </c>
      <c r="F87" s="54" t="str">
        <f t="shared" si="21"/>
        <v/>
      </c>
      <c r="G87" s="73" t="str">
        <f t="shared" si="13"/>
        <v/>
      </c>
      <c r="H87" s="56" t="str">
        <f t="shared" si="14"/>
        <v/>
      </c>
      <c r="I87" s="57" t="str">
        <f t="shared" si="15"/>
        <v/>
      </c>
      <c r="J87" s="58" t="str">
        <f t="shared" si="16"/>
        <v/>
      </c>
      <c r="L87" s="31" t="str">
        <f t="shared" si="17"/>
        <v/>
      </c>
      <c r="M87" s="32" t="str">
        <f t="shared" si="22"/>
        <v/>
      </c>
      <c r="N87" s="32" t="str">
        <f t="shared" si="18"/>
        <v/>
      </c>
      <c r="O87" s="32" t="str">
        <f t="shared" si="19"/>
        <v/>
      </c>
      <c r="P87" s="32" t="str">
        <f t="shared" si="20"/>
        <v/>
      </c>
      <c r="Q87" s="33" t="str">
        <f t="shared" si="20"/>
        <v/>
      </c>
    </row>
    <row r="88" spans="2:17" x14ac:dyDescent="0.25">
      <c r="B88" s="9">
        <v>75</v>
      </c>
      <c r="C88" s="35">
        <v>18500</v>
      </c>
      <c r="D88" s="3"/>
      <c r="E88" s="9" t="str">
        <f t="shared" si="12"/>
        <v/>
      </c>
      <c r="F88" s="54" t="str">
        <f t="shared" si="21"/>
        <v/>
      </c>
      <c r="G88" s="73" t="str">
        <f t="shared" si="13"/>
        <v/>
      </c>
      <c r="H88" s="56" t="str">
        <f t="shared" si="14"/>
        <v/>
      </c>
      <c r="I88" s="57" t="str">
        <f t="shared" si="15"/>
        <v/>
      </c>
      <c r="J88" s="58" t="str">
        <f t="shared" si="16"/>
        <v/>
      </c>
      <c r="L88" s="31" t="str">
        <f t="shared" si="17"/>
        <v/>
      </c>
      <c r="M88" s="32" t="str">
        <f t="shared" si="22"/>
        <v/>
      </c>
      <c r="N88" s="32" t="str">
        <f t="shared" si="18"/>
        <v/>
      </c>
      <c r="O88" s="32" t="str">
        <f t="shared" si="19"/>
        <v/>
      </c>
      <c r="P88" s="32" t="str">
        <f t="shared" si="20"/>
        <v/>
      </c>
      <c r="Q88" s="33" t="str">
        <f t="shared" si="20"/>
        <v/>
      </c>
    </row>
    <row r="89" spans="2:17" x14ac:dyDescent="0.25">
      <c r="B89" s="9">
        <v>76</v>
      </c>
      <c r="C89" s="35">
        <v>19000</v>
      </c>
      <c r="D89" s="3"/>
      <c r="E89" s="9" t="str">
        <f t="shared" si="12"/>
        <v/>
      </c>
      <c r="F89" s="54" t="str">
        <f t="shared" si="21"/>
        <v/>
      </c>
      <c r="G89" s="73" t="str">
        <f t="shared" si="13"/>
        <v/>
      </c>
      <c r="H89" s="56" t="str">
        <f t="shared" si="14"/>
        <v/>
      </c>
      <c r="I89" s="57" t="str">
        <f t="shared" si="15"/>
        <v/>
      </c>
      <c r="J89" s="58" t="str">
        <f t="shared" si="16"/>
        <v/>
      </c>
      <c r="L89" s="31" t="str">
        <f t="shared" si="17"/>
        <v/>
      </c>
      <c r="M89" s="32" t="str">
        <f t="shared" si="22"/>
        <v/>
      </c>
      <c r="N89" s="32" t="str">
        <f t="shared" si="18"/>
        <v/>
      </c>
      <c r="O89" s="32" t="str">
        <f t="shared" si="19"/>
        <v/>
      </c>
      <c r="P89" s="32" t="str">
        <f t="shared" si="20"/>
        <v/>
      </c>
      <c r="Q89" s="33" t="str">
        <f t="shared" si="20"/>
        <v/>
      </c>
    </row>
    <row r="90" spans="2:17" x14ac:dyDescent="0.25">
      <c r="B90" s="9">
        <v>77</v>
      </c>
      <c r="C90" s="35">
        <v>19500</v>
      </c>
      <c r="D90" s="3"/>
      <c r="E90" s="9" t="str">
        <f t="shared" si="12"/>
        <v/>
      </c>
      <c r="F90" s="54" t="str">
        <f t="shared" si="21"/>
        <v/>
      </c>
      <c r="G90" s="73" t="str">
        <f t="shared" si="13"/>
        <v/>
      </c>
      <c r="H90" s="56" t="str">
        <f t="shared" si="14"/>
        <v/>
      </c>
      <c r="I90" s="57" t="str">
        <f t="shared" si="15"/>
        <v/>
      </c>
      <c r="J90" s="58" t="str">
        <f t="shared" si="16"/>
        <v/>
      </c>
      <c r="L90" s="31" t="str">
        <f t="shared" si="17"/>
        <v/>
      </c>
      <c r="M90" s="32" t="str">
        <f t="shared" si="22"/>
        <v/>
      </c>
      <c r="N90" s="32" t="str">
        <f t="shared" si="18"/>
        <v/>
      </c>
      <c r="O90" s="32" t="str">
        <f t="shared" si="19"/>
        <v/>
      </c>
      <c r="P90" s="32" t="str">
        <f t="shared" si="20"/>
        <v/>
      </c>
      <c r="Q90" s="33" t="str">
        <f t="shared" si="20"/>
        <v/>
      </c>
    </row>
    <row r="91" spans="2:17" x14ac:dyDescent="0.25">
      <c r="B91" s="9">
        <v>78</v>
      </c>
      <c r="C91" s="35">
        <v>20000</v>
      </c>
      <c r="D91" s="3"/>
      <c r="E91" s="9" t="str">
        <f t="shared" si="12"/>
        <v/>
      </c>
      <c r="F91" s="54" t="str">
        <f t="shared" si="21"/>
        <v/>
      </c>
      <c r="G91" s="73" t="str">
        <f t="shared" si="13"/>
        <v/>
      </c>
      <c r="H91" s="56" t="str">
        <f t="shared" si="14"/>
        <v/>
      </c>
      <c r="I91" s="57" t="str">
        <f t="shared" si="15"/>
        <v/>
      </c>
      <c r="J91" s="58" t="str">
        <f t="shared" si="16"/>
        <v/>
      </c>
      <c r="L91" s="31" t="str">
        <f t="shared" si="17"/>
        <v/>
      </c>
      <c r="M91" s="32" t="str">
        <f t="shared" si="22"/>
        <v/>
      </c>
      <c r="N91" s="32" t="str">
        <f t="shared" si="18"/>
        <v/>
      </c>
      <c r="O91" s="32" t="str">
        <f t="shared" si="19"/>
        <v/>
      </c>
      <c r="P91" s="32" t="str">
        <f t="shared" si="20"/>
        <v/>
      </c>
      <c r="Q91" s="33" t="str">
        <f t="shared" si="20"/>
        <v/>
      </c>
    </row>
    <row r="92" spans="2:17" x14ac:dyDescent="0.25">
      <c r="B92" s="9">
        <v>79</v>
      </c>
      <c r="C92" s="35">
        <v>20500</v>
      </c>
      <c r="D92" s="3"/>
      <c r="E92" s="9" t="str">
        <f t="shared" si="12"/>
        <v/>
      </c>
      <c r="F92" s="54" t="str">
        <f t="shared" si="21"/>
        <v/>
      </c>
      <c r="G92" s="73" t="str">
        <f t="shared" si="13"/>
        <v/>
      </c>
      <c r="H92" s="56" t="str">
        <f t="shared" si="14"/>
        <v/>
      </c>
      <c r="I92" s="57" t="str">
        <f t="shared" si="15"/>
        <v/>
      </c>
      <c r="J92" s="58" t="str">
        <f t="shared" si="16"/>
        <v/>
      </c>
      <c r="L92" s="31" t="str">
        <f t="shared" si="17"/>
        <v/>
      </c>
      <c r="M92" s="32" t="str">
        <f t="shared" si="22"/>
        <v/>
      </c>
      <c r="N92" s="32" t="str">
        <f t="shared" si="18"/>
        <v/>
      </c>
      <c r="O92" s="32" t="str">
        <f t="shared" si="19"/>
        <v/>
      </c>
      <c r="P92" s="32" t="str">
        <f t="shared" si="20"/>
        <v/>
      </c>
      <c r="Q92" s="33" t="str">
        <f t="shared" si="20"/>
        <v/>
      </c>
    </row>
    <row r="93" spans="2:17" x14ac:dyDescent="0.25">
      <c r="B93" s="9">
        <v>80</v>
      </c>
      <c r="C93" s="35">
        <v>21000</v>
      </c>
      <c r="D93" s="3"/>
      <c r="E93" s="9" t="str">
        <f t="shared" si="12"/>
        <v/>
      </c>
      <c r="F93" s="54" t="str">
        <f t="shared" si="21"/>
        <v/>
      </c>
      <c r="G93" s="73" t="str">
        <f t="shared" si="13"/>
        <v/>
      </c>
      <c r="H93" s="56" t="str">
        <f t="shared" si="14"/>
        <v/>
      </c>
      <c r="I93" s="57" t="str">
        <f t="shared" si="15"/>
        <v/>
      </c>
      <c r="J93" s="58" t="str">
        <f t="shared" si="16"/>
        <v/>
      </c>
      <c r="L93" s="31" t="str">
        <f t="shared" si="17"/>
        <v/>
      </c>
      <c r="M93" s="32" t="str">
        <f t="shared" si="22"/>
        <v/>
      </c>
      <c r="N93" s="32" t="str">
        <f t="shared" si="18"/>
        <v/>
      </c>
      <c r="O93" s="32" t="str">
        <f t="shared" si="19"/>
        <v/>
      </c>
      <c r="P93" s="32" t="str">
        <f t="shared" si="20"/>
        <v/>
      </c>
      <c r="Q93" s="33" t="str">
        <f t="shared" si="20"/>
        <v/>
      </c>
    </row>
    <row r="94" spans="2:17" x14ac:dyDescent="0.25">
      <c r="B94" s="9">
        <v>81</v>
      </c>
      <c r="C94" s="35">
        <v>21500</v>
      </c>
      <c r="D94" s="3"/>
      <c r="E94" s="9" t="str">
        <f t="shared" si="12"/>
        <v/>
      </c>
      <c r="F94" s="54" t="str">
        <f t="shared" si="21"/>
        <v/>
      </c>
      <c r="G94" s="73" t="str">
        <f t="shared" si="13"/>
        <v/>
      </c>
      <c r="H94" s="56" t="str">
        <f t="shared" si="14"/>
        <v/>
      </c>
      <c r="I94" s="57" t="str">
        <f t="shared" si="15"/>
        <v/>
      </c>
      <c r="J94" s="58" t="str">
        <f t="shared" si="16"/>
        <v/>
      </c>
      <c r="L94" s="31" t="str">
        <f t="shared" si="17"/>
        <v/>
      </c>
      <c r="M94" s="32" t="str">
        <f t="shared" si="22"/>
        <v/>
      </c>
      <c r="N94" s="32" t="str">
        <f t="shared" si="18"/>
        <v/>
      </c>
      <c r="O94" s="32" t="str">
        <f t="shared" si="19"/>
        <v/>
      </c>
      <c r="P94" s="32" t="str">
        <f t="shared" si="20"/>
        <v/>
      </c>
      <c r="Q94" s="33" t="str">
        <f t="shared" si="20"/>
        <v/>
      </c>
    </row>
    <row r="95" spans="2:17" x14ac:dyDescent="0.25">
      <c r="B95" s="9">
        <v>82</v>
      </c>
      <c r="C95" s="35">
        <v>22000</v>
      </c>
      <c r="D95" s="3"/>
      <c r="E95" s="9" t="str">
        <f t="shared" si="12"/>
        <v/>
      </c>
      <c r="F95" s="54" t="str">
        <f t="shared" si="21"/>
        <v/>
      </c>
      <c r="G95" s="73" t="str">
        <f t="shared" si="13"/>
        <v/>
      </c>
      <c r="H95" s="56" t="str">
        <f t="shared" si="14"/>
        <v/>
      </c>
      <c r="I95" s="57" t="str">
        <f t="shared" si="15"/>
        <v/>
      </c>
      <c r="J95" s="58" t="str">
        <f t="shared" si="16"/>
        <v/>
      </c>
      <c r="L95" s="31" t="str">
        <f t="shared" si="17"/>
        <v/>
      </c>
      <c r="M95" s="32" t="str">
        <f t="shared" si="22"/>
        <v/>
      </c>
      <c r="N95" s="32" t="str">
        <f t="shared" si="18"/>
        <v/>
      </c>
      <c r="O95" s="32" t="str">
        <f t="shared" si="19"/>
        <v/>
      </c>
      <c r="P95" s="32" t="str">
        <f t="shared" si="20"/>
        <v/>
      </c>
      <c r="Q95" s="33" t="str">
        <f t="shared" si="20"/>
        <v/>
      </c>
    </row>
    <row r="96" spans="2:17" x14ac:dyDescent="0.25">
      <c r="B96" s="9">
        <v>83</v>
      </c>
      <c r="C96" s="35">
        <v>22500</v>
      </c>
      <c r="D96" s="3"/>
      <c r="E96" s="9" t="str">
        <f t="shared" si="12"/>
        <v/>
      </c>
      <c r="F96" s="54" t="str">
        <f t="shared" si="21"/>
        <v/>
      </c>
      <c r="G96" s="73" t="str">
        <f t="shared" si="13"/>
        <v/>
      </c>
      <c r="H96" s="56" t="str">
        <f t="shared" si="14"/>
        <v/>
      </c>
      <c r="I96" s="57" t="str">
        <f t="shared" si="15"/>
        <v/>
      </c>
      <c r="J96" s="58" t="str">
        <f t="shared" si="16"/>
        <v/>
      </c>
      <c r="L96" s="31" t="str">
        <f t="shared" si="17"/>
        <v/>
      </c>
      <c r="M96" s="32" t="str">
        <f t="shared" si="22"/>
        <v/>
      </c>
      <c r="N96" s="32" t="str">
        <f t="shared" si="18"/>
        <v/>
      </c>
      <c r="O96" s="32" t="str">
        <f t="shared" si="19"/>
        <v/>
      </c>
      <c r="P96" s="32" t="str">
        <f t="shared" si="20"/>
        <v/>
      </c>
      <c r="Q96" s="33" t="str">
        <f t="shared" si="20"/>
        <v/>
      </c>
    </row>
    <row r="97" spans="2:17" x14ac:dyDescent="0.25">
      <c r="B97" s="9">
        <v>84</v>
      </c>
      <c r="C97" s="35">
        <v>23000</v>
      </c>
      <c r="D97" s="3"/>
      <c r="E97" s="9" t="str">
        <f t="shared" si="12"/>
        <v/>
      </c>
      <c r="F97" s="54" t="str">
        <f t="shared" si="21"/>
        <v/>
      </c>
      <c r="G97" s="73" t="str">
        <f t="shared" si="13"/>
        <v/>
      </c>
      <c r="H97" s="56" t="str">
        <f t="shared" si="14"/>
        <v/>
      </c>
      <c r="I97" s="57" t="str">
        <f t="shared" si="15"/>
        <v/>
      </c>
      <c r="J97" s="58" t="str">
        <f t="shared" si="16"/>
        <v/>
      </c>
      <c r="L97" s="31" t="str">
        <f t="shared" si="17"/>
        <v/>
      </c>
      <c r="M97" s="32" t="str">
        <f t="shared" si="22"/>
        <v/>
      </c>
      <c r="N97" s="32" t="str">
        <f t="shared" si="18"/>
        <v/>
      </c>
      <c r="O97" s="32" t="str">
        <f t="shared" si="19"/>
        <v/>
      </c>
      <c r="P97" s="32" t="str">
        <f t="shared" si="20"/>
        <v/>
      </c>
      <c r="Q97" s="33" t="str">
        <f t="shared" si="20"/>
        <v/>
      </c>
    </row>
    <row r="98" spans="2:17" x14ac:dyDescent="0.25">
      <c r="B98" s="9">
        <v>85</v>
      </c>
      <c r="C98" s="35">
        <v>23500</v>
      </c>
      <c r="D98" s="3"/>
      <c r="E98" s="9" t="str">
        <f t="shared" si="12"/>
        <v/>
      </c>
      <c r="F98" s="54" t="str">
        <f t="shared" si="21"/>
        <v/>
      </c>
      <c r="G98" s="73" t="str">
        <f t="shared" si="13"/>
        <v/>
      </c>
      <c r="H98" s="56" t="str">
        <f t="shared" si="14"/>
        <v/>
      </c>
      <c r="I98" s="57" t="str">
        <f t="shared" si="15"/>
        <v/>
      </c>
      <c r="J98" s="58" t="str">
        <f t="shared" si="16"/>
        <v/>
      </c>
      <c r="L98" s="31" t="str">
        <f t="shared" si="17"/>
        <v/>
      </c>
      <c r="M98" s="32" t="str">
        <f t="shared" si="22"/>
        <v/>
      </c>
      <c r="N98" s="32" t="str">
        <f t="shared" si="18"/>
        <v/>
      </c>
      <c r="O98" s="32" t="str">
        <f t="shared" si="19"/>
        <v/>
      </c>
      <c r="P98" s="32" t="str">
        <f t="shared" si="20"/>
        <v/>
      </c>
      <c r="Q98" s="33" t="str">
        <f t="shared" si="20"/>
        <v/>
      </c>
    </row>
    <row r="99" spans="2:17" x14ac:dyDescent="0.25">
      <c r="B99" s="9">
        <v>86</v>
      </c>
      <c r="C99" s="35">
        <v>24000</v>
      </c>
      <c r="D99" s="3"/>
      <c r="E99" s="9" t="str">
        <f t="shared" si="12"/>
        <v/>
      </c>
      <c r="F99" s="54" t="str">
        <f t="shared" si="21"/>
        <v/>
      </c>
      <c r="G99" s="73" t="str">
        <f t="shared" si="13"/>
        <v/>
      </c>
      <c r="H99" s="56" t="str">
        <f t="shared" si="14"/>
        <v/>
      </c>
      <c r="I99" s="57" t="str">
        <f t="shared" si="15"/>
        <v/>
      </c>
      <c r="J99" s="58" t="str">
        <f t="shared" si="16"/>
        <v/>
      </c>
      <c r="L99" s="31" t="str">
        <f t="shared" si="17"/>
        <v/>
      </c>
      <c r="M99" s="32" t="str">
        <f t="shared" si="22"/>
        <v/>
      </c>
      <c r="N99" s="32" t="str">
        <f t="shared" si="18"/>
        <v/>
      </c>
      <c r="O99" s="32" t="str">
        <f t="shared" si="19"/>
        <v/>
      </c>
      <c r="P99" s="32" t="str">
        <f t="shared" si="20"/>
        <v/>
      </c>
      <c r="Q99" s="33" t="str">
        <f t="shared" si="20"/>
        <v/>
      </c>
    </row>
    <row r="100" spans="2:17" x14ac:dyDescent="0.25">
      <c r="B100" s="9">
        <v>87</v>
      </c>
      <c r="C100" s="35">
        <v>24500</v>
      </c>
      <c r="D100" s="3"/>
      <c r="E100" s="9" t="str">
        <f t="shared" si="12"/>
        <v/>
      </c>
      <c r="F100" s="54" t="str">
        <f t="shared" si="21"/>
        <v/>
      </c>
      <c r="G100" s="73" t="str">
        <f t="shared" si="13"/>
        <v/>
      </c>
      <c r="H100" s="56" t="str">
        <f t="shared" si="14"/>
        <v/>
      </c>
      <c r="I100" s="57" t="str">
        <f t="shared" si="15"/>
        <v/>
      </c>
      <c r="J100" s="58" t="str">
        <f t="shared" si="16"/>
        <v/>
      </c>
      <c r="L100" s="31" t="str">
        <f t="shared" si="17"/>
        <v/>
      </c>
      <c r="M100" s="32" t="str">
        <f t="shared" si="22"/>
        <v/>
      </c>
      <c r="N100" s="32" t="str">
        <f t="shared" si="18"/>
        <v/>
      </c>
      <c r="O100" s="32" t="str">
        <f t="shared" si="19"/>
        <v/>
      </c>
      <c r="P100" s="32" t="str">
        <f t="shared" si="20"/>
        <v/>
      </c>
      <c r="Q100" s="33" t="str">
        <f t="shared" si="20"/>
        <v/>
      </c>
    </row>
    <row r="101" spans="2:17" x14ac:dyDescent="0.25">
      <c r="B101" s="9">
        <v>88</v>
      </c>
      <c r="C101" s="35">
        <v>25000</v>
      </c>
      <c r="D101" s="3"/>
      <c r="E101" s="9" t="str">
        <f t="shared" si="12"/>
        <v/>
      </c>
      <c r="F101" s="54" t="str">
        <f t="shared" si="21"/>
        <v/>
      </c>
      <c r="G101" s="73" t="str">
        <f t="shared" si="13"/>
        <v/>
      </c>
      <c r="H101" s="56" t="str">
        <f t="shared" si="14"/>
        <v/>
      </c>
      <c r="I101" s="57" t="str">
        <f t="shared" si="15"/>
        <v/>
      </c>
      <c r="J101" s="58" t="str">
        <f t="shared" si="16"/>
        <v/>
      </c>
      <c r="L101" s="31" t="str">
        <f t="shared" si="17"/>
        <v/>
      </c>
      <c r="M101" s="32" t="str">
        <f t="shared" si="22"/>
        <v/>
      </c>
      <c r="N101" s="32" t="str">
        <f t="shared" si="18"/>
        <v/>
      </c>
      <c r="O101" s="32" t="str">
        <f t="shared" si="19"/>
        <v/>
      </c>
      <c r="P101" s="32" t="str">
        <f t="shared" si="20"/>
        <v/>
      </c>
      <c r="Q101" s="33" t="str">
        <f t="shared" si="20"/>
        <v/>
      </c>
    </row>
    <row r="102" spans="2:17" x14ac:dyDescent="0.25">
      <c r="B102" s="9">
        <v>89</v>
      </c>
      <c r="C102" s="35">
        <v>25500</v>
      </c>
      <c r="D102" s="3"/>
      <c r="E102" s="9" t="str">
        <f t="shared" si="12"/>
        <v/>
      </c>
      <c r="F102" s="54" t="str">
        <f t="shared" si="21"/>
        <v/>
      </c>
      <c r="G102" s="73" t="str">
        <f t="shared" si="13"/>
        <v/>
      </c>
      <c r="H102" s="56" t="str">
        <f t="shared" si="14"/>
        <v/>
      </c>
      <c r="I102" s="57" t="str">
        <f t="shared" si="15"/>
        <v/>
      </c>
      <c r="J102" s="58" t="str">
        <f t="shared" si="16"/>
        <v/>
      </c>
      <c r="L102" s="31" t="str">
        <f t="shared" si="17"/>
        <v/>
      </c>
      <c r="M102" s="32" t="str">
        <f t="shared" si="22"/>
        <v/>
      </c>
      <c r="N102" s="32" t="str">
        <f t="shared" si="18"/>
        <v/>
      </c>
      <c r="O102" s="32" t="str">
        <f t="shared" si="19"/>
        <v/>
      </c>
      <c r="P102" s="32" t="str">
        <f t="shared" si="20"/>
        <v/>
      </c>
      <c r="Q102" s="33" t="str">
        <f t="shared" si="20"/>
        <v/>
      </c>
    </row>
    <row r="103" spans="2:17" x14ac:dyDescent="0.25">
      <c r="B103" s="9">
        <v>90</v>
      </c>
      <c r="C103" s="35">
        <v>26000</v>
      </c>
      <c r="D103" s="3"/>
      <c r="E103" s="9" t="str">
        <f t="shared" si="12"/>
        <v/>
      </c>
      <c r="F103" s="54" t="str">
        <f t="shared" si="21"/>
        <v/>
      </c>
      <c r="G103" s="73" t="str">
        <f t="shared" si="13"/>
        <v/>
      </c>
      <c r="H103" s="56" t="str">
        <f t="shared" si="14"/>
        <v/>
      </c>
      <c r="I103" s="57" t="str">
        <f t="shared" si="15"/>
        <v/>
      </c>
      <c r="J103" s="58" t="str">
        <f t="shared" si="16"/>
        <v/>
      </c>
      <c r="L103" s="31" t="str">
        <f t="shared" si="17"/>
        <v/>
      </c>
      <c r="M103" s="32" t="str">
        <f t="shared" si="22"/>
        <v/>
      </c>
      <c r="N103" s="32" t="str">
        <f t="shared" si="18"/>
        <v/>
      </c>
      <c r="O103" s="32" t="str">
        <f t="shared" si="19"/>
        <v/>
      </c>
      <c r="P103" s="32" t="str">
        <f t="shared" si="20"/>
        <v/>
      </c>
      <c r="Q103" s="33" t="str">
        <f t="shared" si="20"/>
        <v/>
      </c>
    </row>
    <row r="104" spans="2:17" x14ac:dyDescent="0.25">
      <c r="B104" s="9">
        <v>91</v>
      </c>
      <c r="C104" s="35">
        <v>26500</v>
      </c>
      <c r="D104" s="3"/>
      <c r="E104" s="9" t="str">
        <f t="shared" si="12"/>
        <v/>
      </c>
      <c r="F104" s="54" t="str">
        <f t="shared" si="21"/>
        <v/>
      </c>
      <c r="G104" s="73" t="str">
        <f t="shared" si="13"/>
        <v/>
      </c>
      <c r="H104" s="56" t="str">
        <f t="shared" si="14"/>
        <v/>
      </c>
      <c r="I104" s="57" t="str">
        <f t="shared" si="15"/>
        <v/>
      </c>
      <c r="J104" s="58" t="str">
        <f t="shared" si="16"/>
        <v/>
      </c>
      <c r="L104" s="31" t="str">
        <f t="shared" si="17"/>
        <v/>
      </c>
      <c r="M104" s="32" t="str">
        <f t="shared" si="22"/>
        <v/>
      </c>
      <c r="N104" s="32" t="str">
        <f t="shared" si="18"/>
        <v/>
      </c>
      <c r="O104" s="32" t="str">
        <f t="shared" si="19"/>
        <v/>
      </c>
      <c r="P104" s="32" t="str">
        <f t="shared" si="20"/>
        <v/>
      </c>
      <c r="Q104" s="33" t="str">
        <f t="shared" si="20"/>
        <v/>
      </c>
    </row>
    <row r="105" spans="2:17" x14ac:dyDescent="0.25">
      <c r="B105" s="9">
        <v>92</v>
      </c>
      <c r="C105" s="35">
        <v>27000</v>
      </c>
      <c r="D105" s="3"/>
      <c r="E105" s="9" t="str">
        <f t="shared" si="12"/>
        <v/>
      </c>
      <c r="F105" s="54" t="str">
        <f t="shared" si="21"/>
        <v/>
      </c>
      <c r="G105" s="73" t="str">
        <f t="shared" si="13"/>
        <v/>
      </c>
      <c r="H105" s="56" t="str">
        <f t="shared" si="14"/>
        <v/>
      </c>
      <c r="I105" s="57" t="str">
        <f t="shared" si="15"/>
        <v/>
      </c>
      <c r="J105" s="58" t="str">
        <f t="shared" si="16"/>
        <v/>
      </c>
      <c r="L105" s="31" t="str">
        <f t="shared" si="17"/>
        <v/>
      </c>
      <c r="M105" s="32" t="str">
        <f t="shared" si="22"/>
        <v/>
      </c>
      <c r="N105" s="32" t="str">
        <f t="shared" si="18"/>
        <v/>
      </c>
      <c r="O105" s="32" t="str">
        <f t="shared" si="19"/>
        <v/>
      </c>
      <c r="P105" s="32" t="str">
        <f t="shared" si="20"/>
        <v/>
      </c>
      <c r="Q105" s="33" t="str">
        <f t="shared" si="20"/>
        <v/>
      </c>
    </row>
    <row r="106" spans="2:17" x14ac:dyDescent="0.25">
      <c r="B106" s="9">
        <v>93</v>
      </c>
      <c r="C106" s="35">
        <v>27500</v>
      </c>
      <c r="D106" s="3"/>
      <c r="E106" s="9" t="str">
        <f t="shared" si="12"/>
        <v/>
      </c>
      <c r="F106" s="54" t="str">
        <f t="shared" si="21"/>
        <v/>
      </c>
      <c r="G106" s="73" t="str">
        <f t="shared" si="13"/>
        <v/>
      </c>
      <c r="H106" s="56" t="str">
        <f t="shared" si="14"/>
        <v/>
      </c>
      <c r="I106" s="57" t="str">
        <f t="shared" si="15"/>
        <v/>
      </c>
      <c r="J106" s="58" t="str">
        <f t="shared" si="16"/>
        <v/>
      </c>
      <c r="L106" s="31" t="str">
        <f t="shared" si="17"/>
        <v/>
      </c>
      <c r="M106" s="32" t="str">
        <f t="shared" si="22"/>
        <v/>
      </c>
      <c r="N106" s="32" t="str">
        <f t="shared" si="18"/>
        <v/>
      </c>
      <c r="O106" s="32" t="str">
        <f t="shared" si="19"/>
        <v/>
      </c>
      <c r="P106" s="32" t="str">
        <f t="shared" si="20"/>
        <v/>
      </c>
      <c r="Q106" s="33" t="str">
        <f t="shared" si="20"/>
        <v/>
      </c>
    </row>
    <row r="107" spans="2:17" x14ac:dyDescent="0.25">
      <c r="B107" s="9">
        <v>94</v>
      </c>
      <c r="C107" s="35">
        <v>28000</v>
      </c>
      <c r="D107" s="3"/>
      <c r="E107" s="9" t="str">
        <f t="shared" si="12"/>
        <v/>
      </c>
      <c r="F107" s="54" t="str">
        <f t="shared" si="21"/>
        <v/>
      </c>
      <c r="G107" s="73" t="str">
        <f t="shared" si="13"/>
        <v/>
      </c>
      <c r="H107" s="56" t="str">
        <f t="shared" si="14"/>
        <v/>
      </c>
      <c r="I107" s="57" t="str">
        <f t="shared" si="15"/>
        <v/>
      </c>
      <c r="J107" s="58" t="str">
        <f t="shared" si="16"/>
        <v/>
      </c>
      <c r="L107" s="31" t="str">
        <f t="shared" si="17"/>
        <v/>
      </c>
      <c r="M107" s="32" t="str">
        <f t="shared" si="22"/>
        <v/>
      </c>
      <c r="N107" s="32" t="str">
        <f t="shared" si="18"/>
        <v/>
      </c>
      <c r="O107" s="32" t="str">
        <f t="shared" si="19"/>
        <v/>
      </c>
      <c r="P107" s="32" t="str">
        <f t="shared" si="20"/>
        <v/>
      </c>
      <c r="Q107" s="33" t="str">
        <f t="shared" si="20"/>
        <v/>
      </c>
    </row>
    <row r="108" spans="2:17" x14ac:dyDescent="0.25">
      <c r="B108" s="9">
        <v>95</v>
      </c>
      <c r="C108" s="35">
        <v>28500</v>
      </c>
      <c r="D108" s="3"/>
      <c r="E108" s="9" t="str">
        <f t="shared" si="12"/>
        <v/>
      </c>
      <c r="F108" s="54" t="str">
        <f t="shared" si="21"/>
        <v/>
      </c>
      <c r="G108" s="73" t="str">
        <f t="shared" si="13"/>
        <v/>
      </c>
      <c r="H108" s="56" t="str">
        <f t="shared" si="14"/>
        <v/>
      </c>
      <c r="I108" s="57" t="str">
        <f t="shared" si="15"/>
        <v/>
      </c>
      <c r="J108" s="58" t="str">
        <f t="shared" si="16"/>
        <v/>
      </c>
      <c r="L108" s="31" t="str">
        <f t="shared" si="17"/>
        <v/>
      </c>
      <c r="M108" s="32" t="str">
        <f t="shared" si="22"/>
        <v/>
      </c>
      <c r="N108" s="32" t="str">
        <f t="shared" si="18"/>
        <v/>
      </c>
      <c r="O108" s="32" t="str">
        <f t="shared" si="19"/>
        <v/>
      </c>
      <c r="P108" s="32" t="str">
        <f t="shared" si="20"/>
        <v/>
      </c>
      <c r="Q108" s="33" t="str">
        <f t="shared" si="20"/>
        <v/>
      </c>
    </row>
    <row r="109" spans="2:17" x14ac:dyDescent="0.25">
      <c r="B109" s="9">
        <v>96</v>
      </c>
      <c r="C109" s="35">
        <v>29000</v>
      </c>
      <c r="D109" s="3"/>
      <c r="E109" s="9" t="str">
        <f t="shared" si="12"/>
        <v/>
      </c>
      <c r="F109" s="54" t="str">
        <f t="shared" si="21"/>
        <v/>
      </c>
      <c r="G109" s="73" t="str">
        <f t="shared" si="13"/>
        <v/>
      </c>
      <c r="H109" s="56" t="str">
        <f t="shared" si="14"/>
        <v/>
      </c>
      <c r="I109" s="57" t="str">
        <f t="shared" si="15"/>
        <v/>
      </c>
      <c r="J109" s="58" t="str">
        <f t="shared" si="16"/>
        <v/>
      </c>
      <c r="L109" s="31" t="str">
        <f t="shared" si="17"/>
        <v/>
      </c>
      <c r="M109" s="32" t="str">
        <f t="shared" si="22"/>
        <v/>
      </c>
      <c r="N109" s="32" t="str">
        <f t="shared" si="18"/>
        <v/>
      </c>
      <c r="O109" s="32" t="str">
        <f t="shared" si="19"/>
        <v/>
      </c>
      <c r="P109" s="32" t="str">
        <f t="shared" si="20"/>
        <v/>
      </c>
      <c r="Q109" s="33" t="str">
        <f t="shared" si="20"/>
        <v/>
      </c>
    </row>
    <row r="110" spans="2:17" x14ac:dyDescent="0.25">
      <c r="B110" s="9">
        <v>97</v>
      </c>
      <c r="C110" s="35">
        <v>29500</v>
      </c>
      <c r="D110" s="3"/>
      <c r="E110" s="9" t="str">
        <f t="shared" si="12"/>
        <v/>
      </c>
      <c r="F110" s="54" t="str">
        <f t="shared" si="21"/>
        <v/>
      </c>
      <c r="G110" s="73" t="str">
        <f t="shared" si="13"/>
        <v/>
      </c>
      <c r="H110" s="56" t="str">
        <f t="shared" si="14"/>
        <v/>
      </c>
      <c r="I110" s="57" t="str">
        <f t="shared" si="15"/>
        <v/>
      </c>
      <c r="J110" s="58" t="str">
        <f t="shared" si="16"/>
        <v/>
      </c>
      <c r="L110" s="31" t="str">
        <f t="shared" si="17"/>
        <v/>
      </c>
      <c r="M110" s="32" t="str">
        <f t="shared" si="22"/>
        <v/>
      </c>
      <c r="N110" s="32" t="str">
        <f t="shared" si="18"/>
        <v/>
      </c>
      <c r="O110" s="32" t="str">
        <f t="shared" si="19"/>
        <v/>
      </c>
      <c r="P110" s="32" t="str">
        <f t="shared" ref="P110:Q141" si="23">IF(AJ112="","",AJ112)</f>
        <v/>
      </c>
      <c r="Q110" s="33" t="str">
        <f t="shared" si="23"/>
        <v/>
      </c>
    </row>
    <row r="111" spans="2:17" x14ac:dyDescent="0.25">
      <c r="B111" s="9">
        <v>98</v>
      </c>
      <c r="C111" s="35">
        <v>30000</v>
      </c>
      <c r="D111" s="3"/>
      <c r="E111" s="9" t="str">
        <f t="shared" si="12"/>
        <v/>
      </c>
      <c r="F111" s="54" t="str">
        <f t="shared" si="21"/>
        <v/>
      </c>
      <c r="G111" s="73" t="str">
        <f t="shared" si="13"/>
        <v/>
      </c>
      <c r="H111" s="56" t="str">
        <f t="shared" si="14"/>
        <v/>
      </c>
      <c r="I111" s="57" t="str">
        <f t="shared" si="15"/>
        <v/>
      </c>
      <c r="J111" s="58" t="str">
        <f t="shared" si="16"/>
        <v/>
      </c>
      <c r="L111" s="31" t="str">
        <f t="shared" si="17"/>
        <v/>
      </c>
      <c r="M111" s="32" t="str">
        <f t="shared" si="22"/>
        <v/>
      </c>
      <c r="N111" s="32" t="str">
        <f t="shared" si="18"/>
        <v/>
      </c>
      <c r="O111" s="32" t="str">
        <f t="shared" si="19"/>
        <v/>
      </c>
      <c r="P111" s="32" t="str">
        <f t="shared" si="23"/>
        <v/>
      </c>
      <c r="Q111" s="33" t="str">
        <f t="shared" si="23"/>
        <v/>
      </c>
    </row>
    <row r="112" spans="2:17" x14ac:dyDescent="0.25">
      <c r="B112" s="9">
        <v>99</v>
      </c>
      <c r="C112" s="35">
        <v>30500</v>
      </c>
      <c r="D112" s="3"/>
      <c r="E112" s="9" t="str">
        <f t="shared" si="12"/>
        <v/>
      </c>
      <c r="F112" s="54" t="str">
        <f t="shared" si="21"/>
        <v/>
      </c>
      <c r="G112" s="73" t="str">
        <f t="shared" si="13"/>
        <v/>
      </c>
      <c r="H112" s="56" t="str">
        <f t="shared" si="14"/>
        <v/>
      </c>
      <c r="I112" s="57" t="str">
        <f t="shared" si="15"/>
        <v/>
      </c>
      <c r="J112" s="58" t="str">
        <f t="shared" si="16"/>
        <v/>
      </c>
      <c r="L112" s="31" t="str">
        <f t="shared" si="17"/>
        <v/>
      </c>
      <c r="M112" s="32" t="str">
        <f t="shared" si="22"/>
        <v/>
      </c>
      <c r="N112" s="32" t="str">
        <f t="shared" si="18"/>
        <v/>
      </c>
      <c r="O112" s="32" t="str">
        <f t="shared" si="19"/>
        <v/>
      </c>
      <c r="P112" s="32" t="str">
        <f t="shared" si="23"/>
        <v/>
      </c>
      <c r="Q112" s="33" t="str">
        <f t="shared" si="23"/>
        <v/>
      </c>
    </row>
    <row r="113" spans="2:17" x14ac:dyDescent="0.25">
      <c r="B113" s="9">
        <v>100</v>
      </c>
      <c r="C113" s="35">
        <v>31000</v>
      </c>
      <c r="D113" s="3"/>
      <c r="E113" s="9" t="str">
        <f t="shared" si="12"/>
        <v/>
      </c>
      <c r="F113" s="54" t="str">
        <f t="shared" si="21"/>
        <v/>
      </c>
      <c r="G113" s="73" t="str">
        <f t="shared" si="13"/>
        <v/>
      </c>
      <c r="H113" s="56" t="str">
        <f t="shared" si="14"/>
        <v/>
      </c>
      <c r="I113" s="57" t="str">
        <f t="shared" si="15"/>
        <v/>
      </c>
      <c r="J113" s="58" t="str">
        <f t="shared" si="16"/>
        <v/>
      </c>
      <c r="L113" s="31" t="str">
        <f t="shared" si="17"/>
        <v/>
      </c>
      <c r="M113" s="32" t="str">
        <f t="shared" si="22"/>
        <v/>
      </c>
      <c r="N113" s="32" t="str">
        <f t="shared" si="18"/>
        <v/>
      </c>
      <c r="O113" s="32" t="str">
        <f t="shared" si="19"/>
        <v/>
      </c>
      <c r="P113" s="32" t="str">
        <f t="shared" si="23"/>
        <v/>
      </c>
      <c r="Q113" s="33" t="str">
        <f t="shared" si="23"/>
        <v/>
      </c>
    </row>
    <row r="114" spans="2:17" x14ac:dyDescent="0.25">
      <c r="B114" s="9">
        <v>101</v>
      </c>
      <c r="C114" s="35">
        <v>31500</v>
      </c>
      <c r="D114" s="3"/>
      <c r="E114" s="9" t="str">
        <f t="shared" si="12"/>
        <v/>
      </c>
      <c r="F114" s="54" t="str">
        <f t="shared" si="21"/>
        <v/>
      </c>
      <c r="G114" s="73" t="str">
        <f t="shared" si="13"/>
        <v/>
      </c>
      <c r="H114" s="56" t="str">
        <f t="shared" si="14"/>
        <v/>
      </c>
      <c r="I114" s="57" t="str">
        <f t="shared" si="15"/>
        <v/>
      </c>
      <c r="J114" s="58" t="str">
        <f t="shared" si="16"/>
        <v/>
      </c>
      <c r="L114" s="31" t="str">
        <f t="shared" si="17"/>
        <v/>
      </c>
      <c r="M114" s="32" t="str">
        <f t="shared" si="22"/>
        <v/>
      </c>
      <c r="N114" s="32" t="str">
        <f t="shared" si="18"/>
        <v/>
      </c>
      <c r="O114" s="32" t="str">
        <f t="shared" si="19"/>
        <v/>
      </c>
      <c r="P114" s="32" t="str">
        <f t="shared" si="23"/>
        <v/>
      </c>
      <c r="Q114" s="33" t="str">
        <f t="shared" si="23"/>
        <v/>
      </c>
    </row>
    <row r="115" spans="2:17" x14ac:dyDescent="0.25">
      <c r="B115" s="9">
        <v>102</v>
      </c>
      <c r="C115" s="35">
        <v>32000</v>
      </c>
      <c r="D115" s="3"/>
      <c r="E115" s="9" t="str">
        <f t="shared" si="12"/>
        <v/>
      </c>
      <c r="F115" s="54" t="str">
        <f t="shared" si="21"/>
        <v/>
      </c>
      <c r="G115" s="73" t="str">
        <f t="shared" si="13"/>
        <v/>
      </c>
      <c r="H115" s="56" t="str">
        <f t="shared" si="14"/>
        <v/>
      </c>
      <c r="I115" s="57" t="str">
        <f t="shared" si="15"/>
        <v/>
      </c>
      <c r="J115" s="58" t="str">
        <f t="shared" si="16"/>
        <v/>
      </c>
      <c r="L115" s="31" t="str">
        <f t="shared" si="17"/>
        <v/>
      </c>
      <c r="M115" s="32" t="str">
        <f t="shared" si="22"/>
        <v/>
      </c>
      <c r="N115" s="32" t="str">
        <f t="shared" si="18"/>
        <v/>
      </c>
      <c r="O115" s="32" t="str">
        <f t="shared" si="19"/>
        <v/>
      </c>
      <c r="P115" s="32" t="str">
        <f t="shared" si="23"/>
        <v/>
      </c>
      <c r="Q115" s="33" t="str">
        <f t="shared" si="23"/>
        <v/>
      </c>
    </row>
    <row r="116" spans="2:17" x14ac:dyDescent="0.25">
      <c r="B116" s="9">
        <v>103</v>
      </c>
      <c r="C116" s="35">
        <v>32500</v>
      </c>
      <c r="D116" s="3"/>
      <c r="E116" s="9" t="str">
        <f t="shared" si="12"/>
        <v/>
      </c>
      <c r="F116" s="54" t="str">
        <f t="shared" si="21"/>
        <v/>
      </c>
      <c r="G116" s="73" t="str">
        <f t="shared" si="13"/>
        <v/>
      </c>
      <c r="H116" s="56" t="str">
        <f t="shared" si="14"/>
        <v/>
      </c>
      <c r="I116" s="57" t="str">
        <f t="shared" si="15"/>
        <v/>
      </c>
      <c r="J116" s="58" t="str">
        <f t="shared" si="16"/>
        <v/>
      </c>
      <c r="L116" s="31" t="str">
        <f t="shared" si="17"/>
        <v/>
      </c>
      <c r="M116" s="32" t="str">
        <f t="shared" si="22"/>
        <v/>
      </c>
      <c r="N116" s="32" t="str">
        <f t="shared" si="18"/>
        <v/>
      </c>
      <c r="O116" s="32" t="str">
        <f t="shared" si="19"/>
        <v/>
      </c>
      <c r="P116" s="32" t="str">
        <f t="shared" si="23"/>
        <v/>
      </c>
      <c r="Q116" s="33" t="str">
        <f t="shared" si="23"/>
        <v/>
      </c>
    </row>
    <row r="117" spans="2:17" x14ac:dyDescent="0.25">
      <c r="B117" s="9">
        <v>104</v>
      </c>
      <c r="C117" s="35">
        <v>33000</v>
      </c>
      <c r="D117" s="3"/>
      <c r="E117" s="9" t="str">
        <f t="shared" si="12"/>
        <v/>
      </c>
      <c r="F117" s="54" t="str">
        <f t="shared" si="21"/>
        <v/>
      </c>
      <c r="G117" s="73" t="str">
        <f t="shared" si="13"/>
        <v/>
      </c>
      <c r="H117" s="56" t="str">
        <f t="shared" si="14"/>
        <v/>
      </c>
      <c r="I117" s="57" t="str">
        <f t="shared" si="15"/>
        <v/>
      </c>
      <c r="J117" s="58" t="str">
        <f t="shared" si="16"/>
        <v/>
      </c>
      <c r="L117" s="31" t="str">
        <f t="shared" si="17"/>
        <v/>
      </c>
      <c r="M117" s="32" t="str">
        <f t="shared" si="22"/>
        <v/>
      </c>
      <c r="N117" s="32" t="str">
        <f t="shared" si="18"/>
        <v/>
      </c>
      <c r="O117" s="32" t="str">
        <f t="shared" si="19"/>
        <v/>
      </c>
      <c r="P117" s="32" t="str">
        <f t="shared" si="23"/>
        <v/>
      </c>
      <c r="Q117" s="33" t="str">
        <f t="shared" si="23"/>
        <v/>
      </c>
    </row>
    <row r="118" spans="2:17" x14ac:dyDescent="0.25">
      <c r="B118" s="9">
        <v>105</v>
      </c>
      <c r="C118" s="35">
        <v>33500</v>
      </c>
      <c r="D118" s="3"/>
      <c r="E118" s="9" t="str">
        <f t="shared" si="12"/>
        <v/>
      </c>
      <c r="F118" s="54" t="str">
        <f t="shared" si="21"/>
        <v/>
      </c>
      <c r="G118" s="73" t="str">
        <f t="shared" si="13"/>
        <v/>
      </c>
      <c r="H118" s="56" t="str">
        <f t="shared" si="14"/>
        <v/>
      </c>
      <c r="I118" s="57" t="str">
        <f t="shared" si="15"/>
        <v/>
      </c>
      <c r="J118" s="58" t="str">
        <f t="shared" si="16"/>
        <v/>
      </c>
      <c r="L118" s="31" t="str">
        <f t="shared" si="17"/>
        <v/>
      </c>
      <c r="M118" s="32" t="str">
        <f t="shared" si="22"/>
        <v/>
      </c>
      <c r="N118" s="32" t="str">
        <f t="shared" si="18"/>
        <v/>
      </c>
      <c r="O118" s="32" t="str">
        <f t="shared" si="19"/>
        <v/>
      </c>
      <c r="P118" s="32" t="str">
        <f t="shared" si="23"/>
        <v/>
      </c>
      <c r="Q118" s="33" t="str">
        <f t="shared" si="23"/>
        <v/>
      </c>
    </row>
    <row r="119" spans="2:17" x14ac:dyDescent="0.25">
      <c r="B119" s="9">
        <v>106</v>
      </c>
      <c r="C119" s="35">
        <v>34000</v>
      </c>
      <c r="D119" s="3"/>
      <c r="E119" s="9" t="str">
        <f t="shared" si="12"/>
        <v/>
      </c>
      <c r="F119" s="54" t="str">
        <f t="shared" si="21"/>
        <v/>
      </c>
      <c r="G119" s="73" t="str">
        <f t="shared" si="13"/>
        <v/>
      </c>
      <c r="H119" s="56" t="str">
        <f t="shared" si="14"/>
        <v/>
      </c>
      <c r="I119" s="57" t="str">
        <f t="shared" si="15"/>
        <v/>
      </c>
      <c r="J119" s="58" t="str">
        <f t="shared" si="16"/>
        <v/>
      </c>
      <c r="L119" s="31" t="str">
        <f t="shared" si="17"/>
        <v/>
      </c>
      <c r="M119" s="32" t="str">
        <f t="shared" si="22"/>
        <v/>
      </c>
      <c r="N119" s="32" t="str">
        <f t="shared" si="18"/>
        <v/>
      </c>
      <c r="O119" s="32" t="str">
        <f t="shared" si="19"/>
        <v/>
      </c>
      <c r="P119" s="32" t="str">
        <f t="shared" si="23"/>
        <v/>
      </c>
      <c r="Q119" s="33" t="str">
        <f t="shared" si="23"/>
        <v/>
      </c>
    </row>
    <row r="120" spans="2:17" x14ac:dyDescent="0.25">
      <c r="B120" s="9">
        <v>107</v>
      </c>
      <c r="C120" s="35">
        <v>34500</v>
      </c>
      <c r="D120" s="3"/>
      <c r="E120" s="9" t="str">
        <f t="shared" si="12"/>
        <v/>
      </c>
      <c r="F120" s="54" t="str">
        <f t="shared" si="21"/>
        <v/>
      </c>
      <c r="G120" s="73" t="str">
        <f t="shared" si="13"/>
        <v/>
      </c>
      <c r="H120" s="56" t="str">
        <f t="shared" si="14"/>
        <v/>
      </c>
      <c r="I120" s="57" t="str">
        <f t="shared" si="15"/>
        <v/>
      </c>
      <c r="J120" s="58" t="str">
        <f t="shared" si="16"/>
        <v/>
      </c>
      <c r="L120" s="31" t="str">
        <f t="shared" si="17"/>
        <v/>
      </c>
      <c r="M120" s="32" t="str">
        <f t="shared" si="22"/>
        <v/>
      </c>
      <c r="N120" s="32" t="str">
        <f t="shared" si="18"/>
        <v/>
      </c>
      <c r="O120" s="32" t="str">
        <f t="shared" si="19"/>
        <v/>
      </c>
      <c r="P120" s="32" t="str">
        <f t="shared" si="23"/>
        <v/>
      </c>
      <c r="Q120" s="33" t="str">
        <f t="shared" si="23"/>
        <v/>
      </c>
    </row>
    <row r="121" spans="2:17" x14ac:dyDescent="0.25">
      <c r="B121" s="9">
        <v>108</v>
      </c>
      <c r="C121" s="35">
        <v>35000</v>
      </c>
      <c r="D121" s="3"/>
      <c r="E121" s="9" t="str">
        <f t="shared" si="12"/>
        <v/>
      </c>
      <c r="F121" s="54" t="str">
        <f t="shared" si="21"/>
        <v/>
      </c>
      <c r="G121" s="73" t="str">
        <f t="shared" si="13"/>
        <v/>
      </c>
      <c r="H121" s="56" t="str">
        <f t="shared" si="14"/>
        <v/>
      </c>
      <c r="I121" s="57" t="str">
        <f t="shared" si="15"/>
        <v/>
      </c>
      <c r="J121" s="58" t="str">
        <f t="shared" si="16"/>
        <v/>
      </c>
      <c r="L121" s="31" t="str">
        <f t="shared" si="17"/>
        <v/>
      </c>
      <c r="M121" s="32" t="str">
        <f t="shared" si="22"/>
        <v/>
      </c>
      <c r="N121" s="32" t="str">
        <f t="shared" si="18"/>
        <v/>
      </c>
      <c r="O121" s="32" t="str">
        <f t="shared" si="19"/>
        <v/>
      </c>
      <c r="P121" s="32" t="str">
        <f t="shared" si="23"/>
        <v/>
      </c>
      <c r="Q121" s="33" t="str">
        <f t="shared" si="23"/>
        <v/>
      </c>
    </row>
    <row r="122" spans="2:17" x14ac:dyDescent="0.25">
      <c r="B122" s="9">
        <v>109</v>
      </c>
      <c r="C122" s="35">
        <v>35500</v>
      </c>
      <c r="D122" s="3"/>
      <c r="E122" s="9" t="str">
        <f t="shared" si="12"/>
        <v/>
      </c>
      <c r="F122" s="54" t="str">
        <f t="shared" si="21"/>
        <v/>
      </c>
      <c r="G122" s="73" t="str">
        <f t="shared" si="13"/>
        <v/>
      </c>
      <c r="H122" s="56" t="str">
        <f t="shared" si="14"/>
        <v/>
      </c>
      <c r="I122" s="57" t="str">
        <f t="shared" si="15"/>
        <v/>
      </c>
      <c r="J122" s="58" t="str">
        <f t="shared" si="16"/>
        <v/>
      </c>
      <c r="L122" s="31" t="str">
        <f t="shared" si="17"/>
        <v/>
      </c>
      <c r="M122" s="32" t="str">
        <f t="shared" si="22"/>
        <v/>
      </c>
      <c r="N122" s="32" t="str">
        <f t="shared" si="18"/>
        <v/>
      </c>
      <c r="O122" s="32" t="str">
        <f t="shared" si="19"/>
        <v/>
      </c>
      <c r="P122" s="32" t="str">
        <f t="shared" si="23"/>
        <v/>
      </c>
      <c r="Q122" s="33" t="str">
        <f t="shared" si="23"/>
        <v/>
      </c>
    </row>
    <row r="123" spans="2:17" x14ac:dyDescent="0.25">
      <c r="B123" s="9">
        <v>110</v>
      </c>
      <c r="C123" s="35">
        <v>36000</v>
      </c>
      <c r="D123" s="3"/>
      <c r="E123" s="9" t="str">
        <f t="shared" si="12"/>
        <v/>
      </c>
      <c r="F123" s="54" t="str">
        <f t="shared" si="21"/>
        <v/>
      </c>
      <c r="G123" s="73" t="str">
        <f t="shared" si="13"/>
        <v/>
      </c>
      <c r="H123" s="56" t="str">
        <f t="shared" si="14"/>
        <v/>
      </c>
      <c r="I123" s="57" t="str">
        <f t="shared" si="15"/>
        <v/>
      </c>
      <c r="J123" s="58" t="str">
        <f t="shared" si="16"/>
        <v/>
      </c>
      <c r="L123" s="31" t="str">
        <f t="shared" si="17"/>
        <v/>
      </c>
      <c r="M123" s="32" t="str">
        <f t="shared" si="22"/>
        <v/>
      </c>
      <c r="N123" s="32" t="str">
        <f t="shared" si="18"/>
        <v/>
      </c>
      <c r="O123" s="32" t="str">
        <f t="shared" si="19"/>
        <v/>
      </c>
      <c r="P123" s="32" t="str">
        <f t="shared" si="23"/>
        <v/>
      </c>
      <c r="Q123" s="33" t="str">
        <f t="shared" si="23"/>
        <v/>
      </c>
    </row>
    <row r="124" spans="2:17" x14ac:dyDescent="0.25">
      <c r="B124" s="9">
        <v>111</v>
      </c>
      <c r="C124" s="35">
        <v>36500</v>
      </c>
      <c r="D124" s="3"/>
      <c r="E124" s="9" t="str">
        <f t="shared" si="12"/>
        <v/>
      </c>
      <c r="F124" s="54" t="str">
        <f t="shared" si="21"/>
        <v/>
      </c>
      <c r="G124" s="73" t="str">
        <f t="shared" si="13"/>
        <v/>
      </c>
      <c r="H124" s="56" t="str">
        <f t="shared" si="14"/>
        <v/>
      </c>
      <c r="I124" s="57" t="str">
        <f t="shared" si="15"/>
        <v/>
      </c>
      <c r="J124" s="58" t="str">
        <f t="shared" si="16"/>
        <v/>
      </c>
      <c r="L124" s="31" t="str">
        <f t="shared" si="17"/>
        <v/>
      </c>
      <c r="M124" s="32" t="str">
        <f t="shared" si="22"/>
        <v/>
      </c>
      <c r="N124" s="32" t="str">
        <f t="shared" si="18"/>
        <v/>
      </c>
      <c r="O124" s="32" t="str">
        <f t="shared" si="19"/>
        <v/>
      </c>
      <c r="P124" s="32" t="str">
        <f t="shared" si="23"/>
        <v/>
      </c>
      <c r="Q124" s="33" t="str">
        <f t="shared" si="23"/>
        <v/>
      </c>
    </row>
    <row r="125" spans="2:17" x14ac:dyDescent="0.25">
      <c r="B125" s="9">
        <v>112</v>
      </c>
      <c r="C125" s="35">
        <v>37000</v>
      </c>
      <c r="D125" s="3"/>
      <c r="E125" s="9" t="str">
        <f t="shared" si="12"/>
        <v/>
      </c>
      <c r="F125" s="54" t="str">
        <f t="shared" si="21"/>
        <v/>
      </c>
      <c r="G125" s="73" t="str">
        <f t="shared" si="13"/>
        <v/>
      </c>
      <c r="H125" s="56" t="str">
        <f t="shared" si="14"/>
        <v/>
      </c>
      <c r="I125" s="57" t="str">
        <f t="shared" si="15"/>
        <v/>
      </c>
      <c r="J125" s="58" t="str">
        <f t="shared" si="16"/>
        <v/>
      </c>
      <c r="L125" s="31" t="str">
        <f t="shared" si="17"/>
        <v/>
      </c>
      <c r="M125" s="32" t="str">
        <f t="shared" si="22"/>
        <v/>
      </c>
      <c r="N125" s="32" t="str">
        <f t="shared" si="18"/>
        <v/>
      </c>
      <c r="O125" s="32" t="str">
        <f t="shared" si="19"/>
        <v/>
      </c>
      <c r="P125" s="32" t="str">
        <f t="shared" si="23"/>
        <v/>
      </c>
      <c r="Q125" s="33" t="str">
        <f t="shared" si="23"/>
        <v/>
      </c>
    </row>
    <row r="126" spans="2:17" x14ac:dyDescent="0.25">
      <c r="B126" s="9">
        <v>113</v>
      </c>
      <c r="C126" s="35">
        <v>37500</v>
      </c>
      <c r="D126" s="3"/>
      <c r="E126" s="9" t="str">
        <f t="shared" si="12"/>
        <v/>
      </c>
      <c r="F126" s="54" t="str">
        <f t="shared" si="21"/>
        <v/>
      </c>
      <c r="G126" s="73" t="str">
        <f t="shared" si="13"/>
        <v/>
      </c>
      <c r="H126" s="56" t="str">
        <f t="shared" si="14"/>
        <v/>
      </c>
      <c r="I126" s="57" t="str">
        <f t="shared" si="15"/>
        <v/>
      </c>
      <c r="J126" s="58" t="str">
        <f t="shared" si="16"/>
        <v/>
      </c>
      <c r="L126" s="31" t="str">
        <f t="shared" si="17"/>
        <v/>
      </c>
      <c r="M126" s="32" t="str">
        <f t="shared" si="22"/>
        <v/>
      </c>
      <c r="N126" s="32" t="str">
        <f t="shared" si="18"/>
        <v/>
      </c>
      <c r="O126" s="32" t="str">
        <f t="shared" si="19"/>
        <v/>
      </c>
      <c r="P126" s="32" t="str">
        <f t="shared" si="23"/>
        <v/>
      </c>
      <c r="Q126" s="33" t="str">
        <f t="shared" si="23"/>
        <v/>
      </c>
    </row>
    <row r="127" spans="2:17" x14ac:dyDescent="0.25">
      <c r="B127" s="9">
        <v>114</v>
      </c>
      <c r="C127" s="35">
        <v>38000</v>
      </c>
      <c r="D127" s="3"/>
      <c r="E127" s="9" t="str">
        <f t="shared" si="12"/>
        <v/>
      </c>
      <c r="F127" s="54" t="str">
        <f t="shared" si="21"/>
        <v/>
      </c>
      <c r="G127" s="73" t="str">
        <f t="shared" si="13"/>
        <v/>
      </c>
      <c r="H127" s="56" t="str">
        <f t="shared" si="14"/>
        <v/>
      </c>
      <c r="I127" s="57" t="str">
        <f t="shared" si="15"/>
        <v/>
      </c>
      <c r="J127" s="58" t="str">
        <f t="shared" si="16"/>
        <v/>
      </c>
      <c r="L127" s="31" t="str">
        <f t="shared" si="17"/>
        <v/>
      </c>
      <c r="M127" s="32" t="str">
        <f t="shared" si="22"/>
        <v/>
      </c>
      <c r="N127" s="32" t="str">
        <f t="shared" si="18"/>
        <v/>
      </c>
      <c r="O127" s="32" t="str">
        <f t="shared" si="19"/>
        <v/>
      </c>
      <c r="P127" s="32" t="str">
        <f t="shared" si="23"/>
        <v/>
      </c>
      <c r="Q127" s="33" t="str">
        <f t="shared" si="23"/>
        <v/>
      </c>
    </row>
    <row r="128" spans="2:17" x14ac:dyDescent="0.25">
      <c r="B128" s="9">
        <v>115</v>
      </c>
      <c r="C128" s="35">
        <v>38500</v>
      </c>
      <c r="D128" s="3"/>
      <c r="E128" s="9" t="str">
        <f t="shared" si="12"/>
        <v/>
      </c>
      <c r="F128" s="54" t="str">
        <f t="shared" si="21"/>
        <v/>
      </c>
      <c r="G128" s="73" t="str">
        <f t="shared" si="13"/>
        <v/>
      </c>
      <c r="H128" s="56" t="str">
        <f t="shared" si="14"/>
        <v/>
      </c>
      <c r="I128" s="57" t="str">
        <f t="shared" si="15"/>
        <v/>
      </c>
      <c r="J128" s="58" t="str">
        <f t="shared" si="16"/>
        <v/>
      </c>
      <c r="L128" s="31" t="str">
        <f t="shared" si="17"/>
        <v/>
      </c>
      <c r="M128" s="32" t="str">
        <f t="shared" si="22"/>
        <v/>
      </c>
      <c r="N128" s="32" t="str">
        <f t="shared" si="18"/>
        <v/>
      </c>
      <c r="O128" s="32" t="str">
        <f t="shared" si="19"/>
        <v/>
      </c>
      <c r="P128" s="32" t="str">
        <f t="shared" si="23"/>
        <v/>
      </c>
      <c r="Q128" s="33" t="str">
        <f t="shared" si="23"/>
        <v/>
      </c>
    </row>
    <row r="129" spans="2:17" x14ac:dyDescent="0.25">
      <c r="B129" s="9">
        <v>116</v>
      </c>
      <c r="C129" s="35">
        <v>39000</v>
      </c>
      <c r="D129" s="3"/>
      <c r="E129" s="9" t="str">
        <f t="shared" si="12"/>
        <v/>
      </c>
      <c r="F129" s="54" t="str">
        <f t="shared" si="21"/>
        <v/>
      </c>
      <c r="G129" s="73" t="str">
        <f t="shared" si="13"/>
        <v/>
      </c>
      <c r="H129" s="56" t="str">
        <f t="shared" si="14"/>
        <v/>
      </c>
      <c r="I129" s="57" t="str">
        <f t="shared" si="15"/>
        <v/>
      </c>
      <c r="J129" s="58" t="str">
        <f t="shared" si="16"/>
        <v/>
      </c>
      <c r="L129" s="31" t="str">
        <f t="shared" si="17"/>
        <v/>
      </c>
      <c r="M129" s="32" t="str">
        <f t="shared" si="22"/>
        <v/>
      </c>
      <c r="N129" s="32" t="str">
        <f t="shared" si="18"/>
        <v/>
      </c>
      <c r="O129" s="32" t="str">
        <f t="shared" si="19"/>
        <v/>
      </c>
      <c r="P129" s="32" t="str">
        <f t="shared" si="23"/>
        <v/>
      </c>
      <c r="Q129" s="33" t="str">
        <f t="shared" si="23"/>
        <v/>
      </c>
    </row>
    <row r="130" spans="2:17" x14ac:dyDescent="0.25">
      <c r="B130" s="9">
        <v>117</v>
      </c>
      <c r="C130" s="35">
        <v>39500</v>
      </c>
      <c r="D130" s="3"/>
      <c r="E130" s="9" t="str">
        <f t="shared" si="12"/>
        <v/>
      </c>
      <c r="F130" s="54" t="str">
        <f t="shared" si="21"/>
        <v/>
      </c>
      <c r="G130" s="73" t="str">
        <f t="shared" si="13"/>
        <v/>
      </c>
      <c r="H130" s="56" t="str">
        <f t="shared" si="14"/>
        <v/>
      </c>
      <c r="I130" s="57" t="str">
        <f t="shared" si="15"/>
        <v/>
      </c>
      <c r="J130" s="58" t="str">
        <f t="shared" si="16"/>
        <v/>
      </c>
      <c r="L130" s="31" t="str">
        <f t="shared" si="17"/>
        <v/>
      </c>
      <c r="M130" s="32" t="str">
        <f t="shared" si="22"/>
        <v/>
      </c>
      <c r="N130" s="32" t="str">
        <f t="shared" si="18"/>
        <v/>
      </c>
      <c r="O130" s="32" t="str">
        <f t="shared" si="19"/>
        <v/>
      </c>
      <c r="P130" s="32" t="str">
        <f t="shared" si="23"/>
        <v/>
      </c>
      <c r="Q130" s="33" t="str">
        <f t="shared" si="23"/>
        <v/>
      </c>
    </row>
    <row r="131" spans="2:17" x14ac:dyDescent="0.25">
      <c r="B131" s="9">
        <v>118</v>
      </c>
      <c r="C131" s="35">
        <v>40000</v>
      </c>
      <c r="D131" s="3"/>
      <c r="E131" s="9" t="str">
        <f t="shared" si="12"/>
        <v/>
      </c>
      <c r="F131" s="54" t="str">
        <f t="shared" si="21"/>
        <v/>
      </c>
      <c r="G131" s="73" t="str">
        <f t="shared" si="13"/>
        <v/>
      </c>
      <c r="H131" s="56" t="str">
        <f t="shared" si="14"/>
        <v/>
      </c>
      <c r="I131" s="57" t="str">
        <f t="shared" si="15"/>
        <v/>
      </c>
      <c r="J131" s="58" t="str">
        <f t="shared" si="16"/>
        <v/>
      </c>
      <c r="L131" s="31" t="str">
        <f t="shared" si="17"/>
        <v/>
      </c>
      <c r="M131" s="32" t="str">
        <f t="shared" si="22"/>
        <v/>
      </c>
      <c r="N131" s="32" t="str">
        <f t="shared" si="18"/>
        <v/>
      </c>
      <c r="O131" s="32" t="str">
        <f t="shared" si="19"/>
        <v/>
      </c>
      <c r="P131" s="32" t="str">
        <f t="shared" si="23"/>
        <v/>
      </c>
      <c r="Q131" s="33" t="str">
        <f t="shared" si="23"/>
        <v/>
      </c>
    </row>
    <row r="132" spans="2:17" x14ac:dyDescent="0.25">
      <c r="B132" s="9">
        <v>119</v>
      </c>
      <c r="C132" s="35">
        <v>40500</v>
      </c>
      <c r="D132" s="3"/>
      <c r="E132" s="9" t="str">
        <f t="shared" si="12"/>
        <v/>
      </c>
      <c r="F132" s="54" t="str">
        <f t="shared" si="21"/>
        <v/>
      </c>
      <c r="G132" s="73" t="str">
        <f t="shared" si="13"/>
        <v/>
      </c>
      <c r="H132" s="56" t="str">
        <f t="shared" si="14"/>
        <v/>
      </c>
      <c r="I132" s="57" t="str">
        <f t="shared" si="15"/>
        <v/>
      </c>
      <c r="J132" s="58" t="str">
        <f t="shared" si="16"/>
        <v/>
      </c>
      <c r="L132" s="31" t="str">
        <f t="shared" si="17"/>
        <v/>
      </c>
      <c r="M132" s="32" t="str">
        <f t="shared" si="22"/>
        <v/>
      </c>
      <c r="N132" s="32" t="str">
        <f t="shared" si="18"/>
        <v/>
      </c>
      <c r="O132" s="32" t="str">
        <f t="shared" si="19"/>
        <v/>
      </c>
      <c r="P132" s="32" t="str">
        <f t="shared" si="23"/>
        <v/>
      </c>
      <c r="Q132" s="33" t="str">
        <f t="shared" si="23"/>
        <v/>
      </c>
    </row>
    <row r="133" spans="2:17" x14ac:dyDescent="0.25">
      <c r="B133" s="9">
        <v>120</v>
      </c>
      <c r="C133" s="35">
        <v>41000</v>
      </c>
      <c r="D133" s="3"/>
      <c r="E133" s="9" t="str">
        <f t="shared" si="12"/>
        <v/>
      </c>
      <c r="F133" s="54" t="str">
        <f t="shared" si="21"/>
        <v/>
      </c>
      <c r="G133" s="73" t="str">
        <f t="shared" si="13"/>
        <v/>
      </c>
      <c r="H133" s="56" t="str">
        <f t="shared" si="14"/>
        <v/>
      </c>
      <c r="I133" s="57" t="str">
        <f t="shared" si="15"/>
        <v/>
      </c>
      <c r="J133" s="58" t="str">
        <f t="shared" si="16"/>
        <v/>
      </c>
      <c r="L133" s="31" t="str">
        <f t="shared" si="17"/>
        <v/>
      </c>
      <c r="M133" s="32" t="str">
        <f t="shared" si="22"/>
        <v/>
      </c>
      <c r="N133" s="32" t="str">
        <f t="shared" si="18"/>
        <v/>
      </c>
      <c r="O133" s="32" t="str">
        <f t="shared" si="19"/>
        <v/>
      </c>
      <c r="P133" s="32" t="str">
        <f t="shared" si="23"/>
        <v/>
      </c>
      <c r="Q133" s="33" t="str">
        <f t="shared" si="23"/>
        <v/>
      </c>
    </row>
    <row r="134" spans="2:17" x14ac:dyDescent="0.25">
      <c r="B134" s="9">
        <v>121</v>
      </c>
      <c r="C134" s="35">
        <v>41500</v>
      </c>
      <c r="D134" s="3"/>
      <c r="E134" s="9" t="str">
        <f t="shared" si="12"/>
        <v/>
      </c>
      <c r="F134" s="54" t="str">
        <f t="shared" si="21"/>
        <v/>
      </c>
      <c r="G134" s="73" t="str">
        <f t="shared" si="13"/>
        <v/>
      </c>
      <c r="H134" s="56" t="str">
        <f t="shared" si="14"/>
        <v/>
      </c>
      <c r="I134" s="57" t="str">
        <f t="shared" si="15"/>
        <v/>
      </c>
      <c r="J134" s="58" t="str">
        <f t="shared" si="16"/>
        <v/>
      </c>
      <c r="L134" s="31" t="str">
        <f t="shared" si="17"/>
        <v/>
      </c>
      <c r="M134" s="32" t="str">
        <f t="shared" si="22"/>
        <v/>
      </c>
      <c r="N134" s="32" t="str">
        <f t="shared" si="18"/>
        <v/>
      </c>
      <c r="O134" s="32" t="str">
        <f t="shared" si="19"/>
        <v/>
      </c>
      <c r="P134" s="32" t="str">
        <f t="shared" si="23"/>
        <v/>
      </c>
      <c r="Q134" s="33" t="str">
        <f t="shared" si="23"/>
        <v/>
      </c>
    </row>
    <row r="135" spans="2:17" x14ac:dyDescent="0.25">
      <c r="B135" s="9">
        <v>122</v>
      </c>
      <c r="C135" s="35">
        <v>42000</v>
      </c>
      <c r="D135" s="3"/>
      <c r="E135" s="9" t="str">
        <f t="shared" si="12"/>
        <v/>
      </c>
      <c r="F135" s="54" t="str">
        <f t="shared" si="21"/>
        <v/>
      </c>
      <c r="G135" s="73" t="str">
        <f t="shared" si="13"/>
        <v/>
      </c>
      <c r="H135" s="56" t="str">
        <f t="shared" si="14"/>
        <v/>
      </c>
      <c r="I135" s="57" t="str">
        <f t="shared" si="15"/>
        <v/>
      </c>
      <c r="J135" s="58" t="str">
        <f t="shared" si="16"/>
        <v/>
      </c>
      <c r="L135" s="31" t="str">
        <f t="shared" si="17"/>
        <v/>
      </c>
      <c r="M135" s="32" t="str">
        <f t="shared" si="22"/>
        <v/>
      </c>
      <c r="N135" s="32" t="str">
        <f t="shared" si="18"/>
        <v/>
      </c>
      <c r="O135" s="32" t="str">
        <f t="shared" si="19"/>
        <v/>
      </c>
      <c r="P135" s="32" t="str">
        <f t="shared" si="23"/>
        <v/>
      </c>
      <c r="Q135" s="33" t="str">
        <f t="shared" si="23"/>
        <v/>
      </c>
    </row>
    <row r="136" spans="2:17" x14ac:dyDescent="0.25">
      <c r="B136" s="9">
        <v>123</v>
      </c>
      <c r="C136" s="35">
        <v>42500</v>
      </c>
      <c r="D136" s="3"/>
      <c r="E136" s="9" t="str">
        <f t="shared" si="12"/>
        <v/>
      </c>
      <c r="F136" s="54" t="str">
        <f t="shared" si="21"/>
        <v/>
      </c>
      <c r="G136" s="73" t="str">
        <f t="shared" si="13"/>
        <v/>
      </c>
      <c r="H136" s="56" t="str">
        <f t="shared" si="14"/>
        <v/>
      </c>
      <c r="I136" s="57" t="str">
        <f t="shared" si="15"/>
        <v/>
      </c>
      <c r="J136" s="58" t="str">
        <f t="shared" si="16"/>
        <v/>
      </c>
      <c r="L136" s="31" t="str">
        <f t="shared" si="17"/>
        <v/>
      </c>
      <c r="M136" s="32" t="str">
        <f t="shared" si="22"/>
        <v/>
      </c>
      <c r="N136" s="32" t="str">
        <f t="shared" si="18"/>
        <v/>
      </c>
      <c r="O136" s="32" t="str">
        <f t="shared" si="19"/>
        <v/>
      </c>
      <c r="P136" s="32" t="str">
        <f t="shared" si="23"/>
        <v/>
      </c>
      <c r="Q136" s="33" t="str">
        <f t="shared" si="23"/>
        <v/>
      </c>
    </row>
    <row r="137" spans="2:17" x14ac:dyDescent="0.25">
      <c r="B137" s="9">
        <v>124</v>
      </c>
      <c r="C137" s="35">
        <v>43000</v>
      </c>
      <c r="D137" s="3"/>
      <c r="E137" s="9" t="str">
        <f t="shared" si="12"/>
        <v/>
      </c>
      <c r="F137" s="54" t="str">
        <f t="shared" si="21"/>
        <v/>
      </c>
      <c r="G137" s="73" t="str">
        <f t="shared" si="13"/>
        <v/>
      </c>
      <c r="H137" s="56" t="str">
        <f t="shared" si="14"/>
        <v/>
      </c>
      <c r="I137" s="57" t="str">
        <f t="shared" si="15"/>
        <v/>
      </c>
      <c r="J137" s="58" t="str">
        <f t="shared" si="16"/>
        <v/>
      </c>
      <c r="L137" s="31" t="str">
        <f t="shared" si="17"/>
        <v/>
      </c>
      <c r="M137" s="32" t="str">
        <f t="shared" si="22"/>
        <v/>
      </c>
      <c r="N137" s="32" t="str">
        <f t="shared" si="18"/>
        <v/>
      </c>
      <c r="O137" s="32" t="str">
        <f t="shared" si="19"/>
        <v/>
      </c>
      <c r="P137" s="32" t="str">
        <f t="shared" si="23"/>
        <v/>
      </c>
      <c r="Q137" s="33" t="str">
        <f t="shared" si="23"/>
        <v/>
      </c>
    </row>
    <row r="138" spans="2:17" x14ac:dyDescent="0.25">
      <c r="B138" s="9">
        <v>125</v>
      </c>
      <c r="C138" s="35">
        <v>43500</v>
      </c>
      <c r="D138" s="3"/>
      <c r="E138" s="9" t="str">
        <f t="shared" si="12"/>
        <v/>
      </c>
      <c r="F138" s="54" t="str">
        <f t="shared" si="21"/>
        <v/>
      </c>
      <c r="G138" s="73" t="str">
        <f t="shared" si="13"/>
        <v/>
      </c>
      <c r="H138" s="56" t="str">
        <f t="shared" si="14"/>
        <v/>
      </c>
      <c r="I138" s="57" t="str">
        <f t="shared" si="15"/>
        <v/>
      </c>
      <c r="J138" s="58" t="str">
        <f t="shared" si="16"/>
        <v/>
      </c>
      <c r="L138" s="31" t="str">
        <f t="shared" si="17"/>
        <v/>
      </c>
      <c r="M138" s="32" t="str">
        <f t="shared" si="22"/>
        <v/>
      </c>
      <c r="N138" s="32" t="str">
        <f t="shared" si="18"/>
        <v/>
      </c>
      <c r="O138" s="32" t="str">
        <f t="shared" si="19"/>
        <v/>
      </c>
      <c r="P138" s="32" t="str">
        <f t="shared" si="23"/>
        <v/>
      </c>
      <c r="Q138" s="33" t="str">
        <f t="shared" si="23"/>
        <v/>
      </c>
    </row>
    <row r="139" spans="2:17" x14ac:dyDescent="0.25">
      <c r="B139" s="9">
        <v>126</v>
      </c>
      <c r="C139" s="35">
        <v>44000</v>
      </c>
      <c r="D139" s="3"/>
      <c r="E139" s="9" t="str">
        <f t="shared" si="12"/>
        <v/>
      </c>
      <c r="F139" s="54" t="str">
        <f t="shared" si="21"/>
        <v/>
      </c>
      <c r="G139" s="73" t="str">
        <f t="shared" si="13"/>
        <v/>
      </c>
      <c r="H139" s="56" t="str">
        <f t="shared" si="14"/>
        <v/>
      </c>
      <c r="I139" s="57" t="str">
        <f t="shared" si="15"/>
        <v/>
      </c>
      <c r="J139" s="58" t="str">
        <f t="shared" si="16"/>
        <v/>
      </c>
      <c r="L139" s="31" t="str">
        <f t="shared" si="17"/>
        <v/>
      </c>
      <c r="M139" s="32" t="str">
        <f t="shared" si="22"/>
        <v/>
      </c>
      <c r="N139" s="32" t="str">
        <f t="shared" si="18"/>
        <v/>
      </c>
      <c r="O139" s="32" t="str">
        <f t="shared" si="19"/>
        <v/>
      </c>
      <c r="P139" s="32" t="str">
        <f t="shared" si="23"/>
        <v/>
      </c>
      <c r="Q139" s="33" t="str">
        <f t="shared" si="23"/>
        <v/>
      </c>
    </row>
    <row r="140" spans="2:17" x14ac:dyDescent="0.25">
      <c r="B140" s="9">
        <v>127</v>
      </c>
      <c r="C140" s="35">
        <v>44500</v>
      </c>
      <c r="D140" s="3"/>
      <c r="E140" s="9" t="str">
        <f t="shared" si="12"/>
        <v/>
      </c>
      <c r="F140" s="54" t="str">
        <f t="shared" si="21"/>
        <v/>
      </c>
      <c r="G140" s="73" t="str">
        <f t="shared" si="13"/>
        <v/>
      </c>
      <c r="H140" s="56" t="str">
        <f t="shared" si="14"/>
        <v/>
      </c>
      <c r="I140" s="57" t="str">
        <f t="shared" si="15"/>
        <v/>
      </c>
      <c r="J140" s="58" t="str">
        <f t="shared" si="16"/>
        <v/>
      </c>
      <c r="L140" s="31" t="str">
        <f t="shared" si="17"/>
        <v/>
      </c>
      <c r="M140" s="32" t="str">
        <f t="shared" si="22"/>
        <v/>
      </c>
      <c r="N140" s="32" t="str">
        <f t="shared" si="18"/>
        <v/>
      </c>
      <c r="O140" s="32" t="str">
        <f t="shared" si="19"/>
        <v/>
      </c>
      <c r="P140" s="32" t="str">
        <f t="shared" si="23"/>
        <v/>
      </c>
      <c r="Q140" s="33" t="str">
        <f t="shared" si="23"/>
        <v/>
      </c>
    </row>
    <row r="141" spans="2:17" x14ac:dyDescent="0.25">
      <c r="B141" s="9">
        <v>128</v>
      </c>
      <c r="C141" s="35">
        <v>45000</v>
      </c>
      <c r="D141" s="3"/>
      <c r="E141" s="9" t="str">
        <f t="shared" si="12"/>
        <v/>
      </c>
      <c r="F141" s="54" t="str">
        <f t="shared" si="21"/>
        <v/>
      </c>
      <c r="G141" s="73" t="str">
        <f t="shared" si="13"/>
        <v/>
      </c>
      <c r="H141" s="56" t="str">
        <f t="shared" si="14"/>
        <v/>
      </c>
      <c r="I141" s="57" t="str">
        <f t="shared" si="15"/>
        <v/>
      </c>
      <c r="J141" s="58" t="str">
        <f t="shared" si="16"/>
        <v/>
      </c>
      <c r="L141" s="31" t="str">
        <f t="shared" si="17"/>
        <v/>
      </c>
      <c r="M141" s="32" t="str">
        <f t="shared" si="22"/>
        <v/>
      </c>
      <c r="N141" s="32" t="str">
        <f t="shared" si="18"/>
        <v/>
      </c>
      <c r="O141" s="32" t="str">
        <f t="shared" si="19"/>
        <v/>
      </c>
      <c r="P141" s="32" t="str">
        <f t="shared" si="23"/>
        <v/>
      </c>
      <c r="Q141" s="33" t="str">
        <f t="shared" si="23"/>
        <v/>
      </c>
    </row>
    <row r="142" spans="2:17" x14ac:dyDescent="0.25">
      <c r="B142" s="9">
        <v>129</v>
      </c>
      <c r="C142" s="35">
        <v>45500</v>
      </c>
      <c r="D142" s="3"/>
      <c r="E142" s="9" t="str">
        <f t="shared" ref="E142:E203" si="24">IF(L142="","",ROUND(12*C$7/(2*H$7^2+2*H$6*H$7-H$6^2)*L142*1000000,0))</f>
        <v/>
      </c>
      <c r="F142" s="54" t="str">
        <f t="shared" si="21"/>
        <v/>
      </c>
      <c r="G142" s="73" t="str">
        <f t="shared" ref="G142:G203" si="25">IF(L142="","",ROUND(1.5*((N142-O142)*1000*H$7)/(C$6*C$7^2),3))</f>
        <v/>
      </c>
      <c r="H142" s="56" t="str">
        <f t="shared" ref="H142:H203" si="26">IF(L142="","",ROUND(1.5*((N142/2-O142)*1000*H$7)/(C$6*C$7^2),3))</f>
        <v/>
      </c>
      <c r="I142" s="57" t="str">
        <f t="shared" ref="I142:I203" si="27">IF(L142="","",IF(P142&lt;=0,"foute meting",ROUND(0.000001*V$4*SQRT((1000000*Q142)^2+(1000000*P142+V$5*(2*PI()*H$5)^2)^2),0)))</f>
        <v/>
      </c>
      <c r="J142" s="58" t="str">
        <f t="shared" ref="J142:J203" si="28">IF(L142="","",ROUND(ATAN(Q142/P142)/PI()*180,1))</f>
        <v/>
      </c>
      <c r="L142" s="31" t="str">
        <f t="shared" ref="L142:L203" si="29">IF(AG144&lt;=0,"",AG144)</f>
        <v/>
      </c>
      <c r="M142" s="32" t="str">
        <f t="shared" si="22"/>
        <v/>
      </c>
      <c r="N142" s="32" t="str">
        <f t="shared" ref="N142:N203" si="30">IF(AI144="","",AI144)</f>
        <v/>
      </c>
      <c r="O142" s="32" t="str">
        <f t="shared" ref="O142:O203" si="31">IF(AH144="","",AH144)</f>
        <v/>
      </c>
      <c r="P142" s="32" t="str">
        <f t="shared" ref="P142:Q173" si="32">IF(AJ144="","",AJ144)</f>
        <v/>
      </c>
      <c r="Q142" s="33" t="str">
        <f t="shared" si="32"/>
        <v/>
      </c>
    </row>
    <row r="143" spans="2:17" x14ac:dyDescent="0.25">
      <c r="B143" s="9">
        <v>130</v>
      </c>
      <c r="C143" s="35">
        <v>46000</v>
      </c>
      <c r="D143" s="3"/>
      <c r="E143" s="9" t="str">
        <f t="shared" si="24"/>
        <v/>
      </c>
      <c r="F143" s="54" t="str">
        <f t="shared" ref="F143:F203" si="33">IF(L143="","",ABS(ROUND(12*C$7/(2*(H$7/1000)^2+2*(H$6/1000)*(H$7/1000)-(H$6/1000)^2)*(M143-M$14)*1,0)))</f>
        <v/>
      </c>
      <c r="G143" s="73" t="str">
        <f t="shared" si="25"/>
        <v/>
      </c>
      <c r="H143" s="56" t="str">
        <f t="shared" si="26"/>
        <v/>
      </c>
      <c r="I143" s="57" t="str">
        <f t="shared" si="27"/>
        <v/>
      </c>
      <c r="J143" s="58" t="str">
        <f t="shared" si="28"/>
        <v/>
      </c>
      <c r="L143" s="31" t="str">
        <f t="shared" si="29"/>
        <v/>
      </c>
      <c r="M143" s="32" t="str">
        <f t="shared" ref="M143:M203" si="34">IF(AG145="","",AG145/2-AE145)</f>
        <v/>
      </c>
      <c r="N143" s="32" t="str">
        <f t="shared" si="30"/>
        <v/>
      </c>
      <c r="O143" s="32" t="str">
        <f t="shared" si="31"/>
        <v/>
      </c>
      <c r="P143" s="32" t="str">
        <f t="shared" si="32"/>
        <v/>
      </c>
      <c r="Q143" s="33" t="str">
        <f t="shared" si="32"/>
        <v/>
      </c>
    </row>
    <row r="144" spans="2:17" x14ac:dyDescent="0.25">
      <c r="B144" s="9">
        <v>131</v>
      </c>
      <c r="C144" s="35">
        <v>46500</v>
      </c>
      <c r="D144" s="3"/>
      <c r="E144" s="9" t="str">
        <f t="shared" si="24"/>
        <v/>
      </c>
      <c r="F144" s="54" t="str">
        <f t="shared" si="33"/>
        <v/>
      </c>
      <c r="G144" s="73" t="str">
        <f t="shared" si="25"/>
        <v/>
      </c>
      <c r="H144" s="56" t="str">
        <f t="shared" si="26"/>
        <v/>
      </c>
      <c r="I144" s="57" t="str">
        <f t="shared" si="27"/>
        <v/>
      </c>
      <c r="J144" s="58" t="str">
        <f t="shared" si="28"/>
        <v/>
      </c>
      <c r="L144" s="31" t="str">
        <f t="shared" si="29"/>
        <v/>
      </c>
      <c r="M144" s="32" t="str">
        <f t="shared" si="34"/>
        <v/>
      </c>
      <c r="N144" s="32" t="str">
        <f t="shared" si="30"/>
        <v/>
      </c>
      <c r="O144" s="32" t="str">
        <f t="shared" si="31"/>
        <v/>
      </c>
      <c r="P144" s="32" t="str">
        <f t="shared" si="32"/>
        <v/>
      </c>
      <c r="Q144" s="33" t="str">
        <f t="shared" si="32"/>
        <v/>
      </c>
    </row>
    <row r="145" spans="2:17" x14ac:dyDescent="0.25">
      <c r="B145" s="9">
        <v>132</v>
      </c>
      <c r="C145" s="35">
        <v>47000</v>
      </c>
      <c r="D145" s="3"/>
      <c r="E145" s="9" t="str">
        <f t="shared" si="24"/>
        <v/>
      </c>
      <c r="F145" s="54" t="str">
        <f t="shared" si="33"/>
        <v/>
      </c>
      <c r="G145" s="73" t="str">
        <f t="shared" si="25"/>
        <v/>
      </c>
      <c r="H145" s="56" t="str">
        <f t="shared" si="26"/>
        <v/>
      </c>
      <c r="I145" s="57" t="str">
        <f t="shared" si="27"/>
        <v/>
      </c>
      <c r="J145" s="58" t="str">
        <f t="shared" si="28"/>
        <v/>
      </c>
      <c r="L145" s="31" t="str">
        <f t="shared" si="29"/>
        <v/>
      </c>
      <c r="M145" s="32" t="str">
        <f t="shared" si="34"/>
        <v/>
      </c>
      <c r="N145" s="32" t="str">
        <f t="shared" si="30"/>
        <v/>
      </c>
      <c r="O145" s="32" t="str">
        <f t="shared" si="31"/>
        <v/>
      </c>
      <c r="P145" s="32" t="str">
        <f t="shared" si="32"/>
        <v/>
      </c>
      <c r="Q145" s="33" t="str">
        <f t="shared" si="32"/>
        <v/>
      </c>
    </row>
    <row r="146" spans="2:17" x14ac:dyDescent="0.25">
      <c r="B146" s="9">
        <v>133</v>
      </c>
      <c r="C146" s="35">
        <v>47500</v>
      </c>
      <c r="D146" s="3"/>
      <c r="E146" s="9" t="str">
        <f t="shared" si="24"/>
        <v/>
      </c>
      <c r="F146" s="54" t="str">
        <f t="shared" si="33"/>
        <v/>
      </c>
      <c r="G146" s="73" t="str">
        <f t="shared" si="25"/>
        <v/>
      </c>
      <c r="H146" s="56" t="str">
        <f t="shared" si="26"/>
        <v/>
      </c>
      <c r="I146" s="57" t="str">
        <f t="shared" si="27"/>
        <v/>
      </c>
      <c r="J146" s="58" t="str">
        <f t="shared" si="28"/>
        <v/>
      </c>
      <c r="L146" s="31" t="str">
        <f t="shared" si="29"/>
        <v/>
      </c>
      <c r="M146" s="32" t="str">
        <f t="shared" si="34"/>
        <v/>
      </c>
      <c r="N146" s="32" t="str">
        <f t="shared" si="30"/>
        <v/>
      </c>
      <c r="O146" s="32" t="str">
        <f t="shared" si="31"/>
        <v/>
      </c>
      <c r="P146" s="32" t="str">
        <f t="shared" si="32"/>
        <v/>
      </c>
      <c r="Q146" s="33" t="str">
        <f t="shared" si="32"/>
        <v/>
      </c>
    </row>
    <row r="147" spans="2:17" x14ac:dyDescent="0.25">
      <c r="B147" s="9">
        <v>134</v>
      </c>
      <c r="C147" s="35">
        <v>48000</v>
      </c>
      <c r="D147" s="3"/>
      <c r="E147" s="9" t="str">
        <f t="shared" si="24"/>
        <v/>
      </c>
      <c r="F147" s="54" t="str">
        <f t="shared" si="33"/>
        <v/>
      </c>
      <c r="G147" s="73" t="str">
        <f t="shared" si="25"/>
        <v/>
      </c>
      <c r="H147" s="56" t="str">
        <f t="shared" si="26"/>
        <v/>
      </c>
      <c r="I147" s="57" t="str">
        <f t="shared" si="27"/>
        <v/>
      </c>
      <c r="J147" s="58" t="str">
        <f t="shared" si="28"/>
        <v/>
      </c>
      <c r="L147" s="31" t="str">
        <f t="shared" si="29"/>
        <v/>
      </c>
      <c r="M147" s="32" t="str">
        <f t="shared" si="34"/>
        <v/>
      </c>
      <c r="N147" s="32" t="str">
        <f t="shared" si="30"/>
        <v/>
      </c>
      <c r="O147" s="32" t="str">
        <f t="shared" si="31"/>
        <v/>
      </c>
      <c r="P147" s="32" t="str">
        <f t="shared" si="32"/>
        <v/>
      </c>
      <c r="Q147" s="33" t="str">
        <f t="shared" si="32"/>
        <v/>
      </c>
    </row>
    <row r="148" spans="2:17" x14ac:dyDescent="0.25">
      <c r="B148" s="9">
        <v>135</v>
      </c>
      <c r="C148" s="35">
        <v>48500</v>
      </c>
      <c r="D148" s="3"/>
      <c r="E148" s="9" t="str">
        <f t="shared" si="24"/>
        <v/>
      </c>
      <c r="F148" s="54" t="str">
        <f t="shared" si="33"/>
        <v/>
      </c>
      <c r="G148" s="73" t="str">
        <f t="shared" si="25"/>
        <v/>
      </c>
      <c r="H148" s="56" t="str">
        <f t="shared" si="26"/>
        <v/>
      </c>
      <c r="I148" s="57" t="str">
        <f t="shared" si="27"/>
        <v/>
      </c>
      <c r="J148" s="58" t="str">
        <f t="shared" si="28"/>
        <v/>
      </c>
      <c r="L148" s="31" t="str">
        <f t="shared" si="29"/>
        <v/>
      </c>
      <c r="M148" s="32" t="str">
        <f t="shared" si="34"/>
        <v/>
      </c>
      <c r="N148" s="32" t="str">
        <f t="shared" si="30"/>
        <v/>
      </c>
      <c r="O148" s="32" t="str">
        <f t="shared" si="31"/>
        <v/>
      </c>
      <c r="P148" s="32" t="str">
        <f t="shared" si="32"/>
        <v/>
      </c>
      <c r="Q148" s="33" t="str">
        <f t="shared" si="32"/>
        <v/>
      </c>
    </row>
    <row r="149" spans="2:17" x14ac:dyDescent="0.25">
      <c r="B149" s="9">
        <v>136</v>
      </c>
      <c r="C149" s="35">
        <v>49000</v>
      </c>
      <c r="D149" s="3"/>
      <c r="E149" s="9" t="str">
        <f t="shared" si="24"/>
        <v/>
      </c>
      <c r="F149" s="54" t="str">
        <f t="shared" si="33"/>
        <v/>
      </c>
      <c r="G149" s="73" t="str">
        <f t="shared" si="25"/>
        <v/>
      </c>
      <c r="H149" s="56" t="str">
        <f t="shared" si="26"/>
        <v/>
      </c>
      <c r="I149" s="57" t="str">
        <f t="shared" si="27"/>
        <v/>
      </c>
      <c r="J149" s="58" t="str">
        <f t="shared" si="28"/>
        <v/>
      </c>
      <c r="L149" s="31" t="str">
        <f t="shared" si="29"/>
        <v/>
      </c>
      <c r="M149" s="32" t="str">
        <f t="shared" si="34"/>
        <v/>
      </c>
      <c r="N149" s="32" t="str">
        <f t="shared" si="30"/>
        <v/>
      </c>
      <c r="O149" s="32" t="str">
        <f t="shared" si="31"/>
        <v/>
      </c>
      <c r="P149" s="32" t="str">
        <f t="shared" si="32"/>
        <v/>
      </c>
      <c r="Q149" s="33" t="str">
        <f t="shared" si="32"/>
        <v/>
      </c>
    </row>
    <row r="150" spans="2:17" x14ac:dyDescent="0.25">
      <c r="B150" s="9">
        <v>137</v>
      </c>
      <c r="C150" s="35">
        <v>49500</v>
      </c>
      <c r="D150" s="3"/>
      <c r="E150" s="9" t="str">
        <f t="shared" si="24"/>
        <v/>
      </c>
      <c r="F150" s="54" t="str">
        <f t="shared" si="33"/>
        <v/>
      </c>
      <c r="G150" s="73" t="str">
        <f t="shared" si="25"/>
        <v/>
      </c>
      <c r="H150" s="56" t="str">
        <f t="shared" si="26"/>
        <v/>
      </c>
      <c r="I150" s="57" t="str">
        <f t="shared" si="27"/>
        <v/>
      </c>
      <c r="J150" s="58" t="str">
        <f t="shared" si="28"/>
        <v/>
      </c>
      <c r="L150" s="31" t="str">
        <f t="shared" si="29"/>
        <v/>
      </c>
      <c r="M150" s="32" t="str">
        <f t="shared" si="34"/>
        <v/>
      </c>
      <c r="N150" s="32" t="str">
        <f t="shared" si="30"/>
        <v/>
      </c>
      <c r="O150" s="32" t="str">
        <f t="shared" si="31"/>
        <v/>
      </c>
      <c r="P150" s="32" t="str">
        <f t="shared" si="32"/>
        <v/>
      </c>
      <c r="Q150" s="33" t="str">
        <f t="shared" si="32"/>
        <v/>
      </c>
    </row>
    <row r="151" spans="2:17" x14ac:dyDescent="0.25">
      <c r="B151" s="9">
        <v>138</v>
      </c>
      <c r="C151" s="35">
        <v>50000</v>
      </c>
      <c r="D151" s="3"/>
      <c r="E151" s="9" t="str">
        <f t="shared" si="24"/>
        <v/>
      </c>
      <c r="F151" s="54" t="str">
        <f t="shared" si="33"/>
        <v/>
      </c>
      <c r="G151" s="73" t="str">
        <f t="shared" si="25"/>
        <v/>
      </c>
      <c r="H151" s="56" t="str">
        <f t="shared" si="26"/>
        <v/>
      </c>
      <c r="I151" s="57" t="str">
        <f t="shared" si="27"/>
        <v/>
      </c>
      <c r="J151" s="58" t="str">
        <f t="shared" si="28"/>
        <v/>
      </c>
      <c r="L151" s="31" t="str">
        <f t="shared" si="29"/>
        <v/>
      </c>
      <c r="M151" s="32" t="str">
        <f t="shared" si="34"/>
        <v/>
      </c>
      <c r="N151" s="32" t="str">
        <f t="shared" si="30"/>
        <v/>
      </c>
      <c r="O151" s="32" t="str">
        <f t="shared" si="31"/>
        <v/>
      </c>
      <c r="P151" s="32" t="str">
        <f t="shared" si="32"/>
        <v/>
      </c>
      <c r="Q151" s="33" t="str">
        <f t="shared" si="32"/>
        <v/>
      </c>
    </row>
    <row r="152" spans="2:17" x14ac:dyDescent="0.25">
      <c r="B152" s="9">
        <v>139</v>
      </c>
      <c r="C152" s="35">
        <v>51000</v>
      </c>
      <c r="D152" s="3"/>
      <c r="E152" s="9" t="str">
        <f t="shared" si="24"/>
        <v/>
      </c>
      <c r="F152" s="54" t="str">
        <f t="shared" si="33"/>
        <v/>
      </c>
      <c r="G152" s="73" t="str">
        <f t="shared" si="25"/>
        <v/>
      </c>
      <c r="H152" s="56" t="str">
        <f t="shared" si="26"/>
        <v/>
      </c>
      <c r="I152" s="57" t="str">
        <f t="shared" si="27"/>
        <v/>
      </c>
      <c r="J152" s="58" t="str">
        <f t="shared" si="28"/>
        <v/>
      </c>
      <c r="L152" s="31" t="str">
        <f t="shared" si="29"/>
        <v/>
      </c>
      <c r="M152" s="32" t="str">
        <f t="shared" si="34"/>
        <v/>
      </c>
      <c r="N152" s="32" t="str">
        <f t="shared" si="30"/>
        <v/>
      </c>
      <c r="O152" s="32" t="str">
        <f t="shared" si="31"/>
        <v/>
      </c>
      <c r="P152" s="32" t="str">
        <f t="shared" si="32"/>
        <v/>
      </c>
      <c r="Q152" s="33" t="str">
        <f t="shared" si="32"/>
        <v/>
      </c>
    </row>
    <row r="153" spans="2:17" x14ac:dyDescent="0.25">
      <c r="B153" s="9">
        <v>140</v>
      </c>
      <c r="C153" s="35">
        <v>52000</v>
      </c>
      <c r="D153" s="3"/>
      <c r="E153" s="9" t="str">
        <f t="shared" si="24"/>
        <v/>
      </c>
      <c r="F153" s="54" t="str">
        <f t="shared" si="33"/>
        <v/>
      </c>
      <c r="G153" s="73" t="str">
        <f t="shared" si="25"/>
        <v/>
      </c>
      <c r="H153" s="56" t="str">
        <f t="shared" si="26"/>
        <v/>
      </c>
      <c r="I153" s="57" t="str">
        <f t="shared" si="27"/>
        <v/>
      </c>
      <c r="J153" s="58" t="str">
        <f t="shared" si="28"/>
        <v/>
      </c>
      <c r="L153" s="31" t="str">
        <f t="shared" si="29"/>
        <v/>
      </c>
      <c r="M153" s="32" t="str">
        <f t="shared" si="34"/>
        <v/>
      </c>
      <c r="N153" s="32" t="str">
        <f t="shared" si="30"/>
        <v/>
      </c>
      <c r="O153" s="32" t="str">
        <f t="shared" si="31"/>
        <v/>
      </c>
      <c r="P153" s="32" t="str">
        <f t="shared" si="32"/>
        <v/>
      </c>
      <c r="Q153" s="33" t="str">
        <f t="shared" si="32"/>
        <v/>
      </c>
    </row>
    <row r="154" spans="2:17" x14ac:dyDescent="0.25">
      <c r="B154" s="9">
        <v>141</v>
      </c>
      <c r="C154" s="35">
        <v>53000</v>
      </c>
      <c r="D154" s="3"/>
      <c r="E154" s="9" t="str">
        <f t="shared" si="24"/>
        <v/>
      </c>
      <c r="F154" s="54" t="str">
        <f t="shared" si="33"/>
        <v/>
      </c>
      <c r="G154" s="73" t="str">
        <f t="shared" si="25"/>
        <v/>
      </c>
      <c r="H154" s="56" t="str">
        <f t="shared" si="26"/>
        <v/>
      </c>
      <c r="I154" s="57" t="str">
        <f t="shared" si="27"/>
        <v/>
      </c>
      <c r="J154" s="58" t="str">
        <f t="shared" si="28"/>
        <v/>
      </c>
      <c r="L154" s="31" t="str">
        <f t="shared" si="29"/>
        <v/>
      </c>
      <c r="M154" s="32" t="str">
        <f t="shared" si="34"/>
        <v/>
      </c>
      <c r="N154" s="32" t="str">
        <f t="shared" si="30"/>
        <v/>
      </c>
      <c r="O154" s="32" t="str">
        <f t="shared" si="31"/>
        <v/>
      </c>
      <c r="P154" s="32" t="str">
        <f t="shared" si="32"/>
        <v/>
      </c>
      <c r="Q154" s="33" t="str">
        <f t="shared" si="32"/>
        <v/>
      </c>
    </row>
    <row r="155" spans="2:17" x14ac:dyDescent="0.25">
      <c r="B155" s="9">
        <v>142</v>
      </c>
      <c r="C155" s="35">
        <v>54000</v>
      </c>
      <c r="D155" s="3"/>
      <c r="E155" s="9" t="str">
        <f t="shared" si="24"/>
        <v/>
      </c>
      <c r="F155" s="54" t="str">
        <f t="shared" si="33"/>
        <v/>
      </c>
      <c r="G155" s="73" t="str">
        <f t="shared" si="25"/>
        <v/>
      </c>
      <c r="H155" s="56" t="str">
        <f t="shared" si="26"/>
        <v/>
      </c>
      <c r="I155" s="57" t="str">
        <f t="shared" si="27"/>
        <v/>
      </c>
      <c r="J155" s="58" t="str">
        <f t="shared" si="28"/>
        <v/>
      </c>
      <c r="L155" s="31" t="str">
        <f t="shared" si="29"/>
        <v/>
      </c>
      <c r="M155" s="32" t="str">
        <f t="shared" si="34"/>
        <v/>
      </c>
      <c r="N155" s="32" t="str">
        <f t="shared" si="30"/>
        <v/>
      </c>
      <c r="O155" s="32" t="str">
        <f t="shared" si="31"/>
        <v/>
      </c>
      <c r="P155" s="32" t="str">
        <f t="shared" si="32"/>
        <v/>
      </c>
      <c r="Q155" s="33" t="str">
        <f t="shared" si="32"/>
        <v/>
      </c>
    </row>
    <row r="156" spans="2:17" x14ac:dyDescent="0.25">
      <c r="B156" s="9">
        <v>143</v>
      </c>
      <c r="C156" s="35">
        <v>55000</v>
      </c>
      <c r="D156" s="3"/>
      <c r="E156" s="9" t="str">
        <f t="shared" si="24"/>
        <v/>
      </c>
      <c r="F156" s="54" t="str">
        <f t="shared" si="33"/>
        <v/>
      </c>
      <c r="G156" s="73" t="str">
        <f t="shared" si="25"/>
        <v/>
      </c>
      <c r="H156" s="56" t="str">
        <f t="shared" si="26"/>
        <v/>
      </c>
      <c r="I156" s="57" t="str">
        <f t="shared" si="27"/>
        <v/>
      </c>
      <c r="J156" s="58" t="str">
        <f t="shared" si="28"/>
        <v/>
      </c>
      <c r="L156" s="31" t="str">
        <f t="shared" si="29"/>
        <v/>
      </c>
      <c r="M156" s="32" t="str">
        <f t="shared" si="34"/>
        <v/>
      </c>
      <c r="N156" s="32" t="str">
        <f t="shared" si="30"/>
        <v/>
      </c>
      <c r="O156" s="32" t="str">
        <f t="shared" si="31"/>
        <v/>
      </c>
      <c r="P156" s="32" t="str">
        <f t="shared" si="32"/>
        <v/>
      </c>
      <c r="Q156" s="33" t="str">
        <f t="shared" si="32"/>
        <v/>
      </c>
    </row>
    <row r="157" spans="2:17" x14ac:dyDescent="0.25">
      <c r="B157" s="9">
        <v>144</v>
      </c>
      <c r="C157" s="35">
        <v>56000</v>
      </c>
      <c r="D157" s="3"/>
      <c r="E157" s="9" t="str">
        <f t="shared" si="24"/>
        <v/>
      </c>
      <c r="F157" s="54" t="str">
        <f t="shared" si="33"/>
        <v/>
      </c>
      <c r="G157" s="73" t="str">
        <f t="shared" si="25"/>
        <v/>
      </c>
      <c r="H157" s="56" t="str">
        <f t="shared" si="26"/>
        <v/>
      </c>
      <c r="I157" s="57" t="str">
        <f t="shared" si="27"/>
        <v/>
      </c>
      <c r="J157" s="58" t="str">
        <f t="shared" si="28"/>
        <v/>
      </c>
      <c r="L157" s="31" t="str">
        <f t="shared" si="29"/>
        <v/>
      </c>
      <c r="M157" s="32" t="str">
        <f t="shared" si="34"/>
        <v/>
      </c>
      <c r="N157" s="32" t="str">
        <f t="shared" si="30"/>
        <v/>
      </c>
      <c r="O157" s="32" t="str">
        <f t="shared" si="31"/>
        <v/>
      </c>
      <c r="P157" s="32" t="str">
        <f t="shared" si="32"/>
        <v/>
      </c>
      <c r="Q157" s="33" t="str">
        <f t="shared" si="32"/>
        <v/>
      </c>
    </row>
    <row r="158" spans="2:17" x14ac:dyDescent="0.25">
      <c r="B158" s="9">
        <v>145</v>
      </c>
      <c r="C158" s="35">
        <v>57000</v>
      </c>
      <c r="D158" s="3"/>
      <c r="E158" s="9" t="str">
        <f t="shared" si="24"/>
        <v/>
      </c>
      <c r="F158" s="54" t="str">
        <f t="shared" si="33"/>
        <v/>
      </c>
      <c r="G158" s="73" t="str">
        <f t="shared" si="25"/>
        <v/>
      </c>
      <c r="H158" s="56" t="str">
        <f t="shared" si="26"/>
        <v/>
      </c>
      <c r="I158" s="57" t="str">
        <f t="shared" si="27"/>
        <v/>
      </c>
      <c r="J158" s="58" t="str">
        <f t="shared" si="28"/>
        <v/>
      </c>
      <c r="L158" s="31" t="str">
        <f t="shared" si="29"/>
        <v/>
      </c>
      <c r="M158" s="32" t="str">
        <f t="shared" si="34"/>
        <v/>
      </c>
      <c r="N158" s="32" t="str">
        <f t="shared" si="30"/>
        <v/>
      </c>
      <c r="O158" s="32" t="str">
        <f t="shared" si="31"/>
        <v/>
      </c>
      <c r="P158" s="32" t="str">
        <f t="shared" si="32"/>
        <v/>
      </c>
      <c r="Q158" s="33" t="str">
        <f t="shared" si="32"/>
        <v/>
      </c>
    </row>
    <row r="159" spans="2:17" x14ac:dyDescent="0.25">
      <c r="B159" s="9">
        <v>146</v>
      </c>
      <c r="C159" s="35">
        <v>58000</v>
      </c>
      <c r="D159" s="3"/>
      <c r="E159" s="9" t="str">
        <f t="shared" si="24"/>
        <v/>
      </c>
      <c r="F159" s="54" t="str">
        <f t="shared" si="33"/>
        <v/>
      </c>
      <c r="G159" s="73" t="str">
        <f t="shared" si="25"/>
        <v/>
      </c>
      <c r="H159" s="56" t="str">
        <f t="shared" si="26"/>
        <v/>
      </c>
      <c r="I159" s="57" t="str">
        <f t="shared" si="27"/>
        <v/>
      </c>
      <c r="J159" s="58" t="str">
        <f t="shared" si="28"/>
        <v/>
      </c>
      <c r="L159" s="31" t="str">
        <f t="shared" si="29"/>
        <v/>
      </c>
      <c r="M159" s="32" t="str">
        <f t="shared" si="34"/>
        <v/>
      </c>
      <c r="N159" s="32" t="str">
        <f t="shared" si="30"/>
        <v/>
      </c>
      <c r="O159" s="32" t="str">
        <f t="shared" si="31"/>
        <v/>
      </c>
      <c r="P159" s="32" t="str">
        <f t="shared" si="32"/>
        <v/>
      </c>
      <c r="Q159" s="33" t="str">
        <f t="shared" si="32"/>
        <v/>
      </c>
    </row>
    <row r="160" spans="2:17" x14ac:dyDescent="0.25">
      <c r="B160" s="9">
        <v>147</v>
      </c>
      <c r="C160" s="35">
        <v>59000</v>
      </c>
      <c r="D160" s="3"/>
      <c r="E160" s="9" t="str">
        <f t="shared" si="24"/>
        <v/>
      </c>
      <c r="F160" s="54" t="str">
        <f t="shared" si="33"/>
        <v/>
      </c>
      <c r="G160" s="73" t="str">
        <f t="shared" si="25"/>
        <v/>
      </c>
      <c r="H160" s="56" t="str">
        <f t="shared" si="26"/>
        <v/>
      </c>
      <c r="I160" s="57" t="str">
        <f t="shared" si="27"/>
        <v/>
      </c>
      <c r="J160" s="58" t="str">
        <f t="shared" si="28"/>
        <v/>
      </c>
      <c r="L160" s="31" t="str">
        <f t="shared" si="29"/>
        <v/>
      </c>
      <c r="M160" s="32" t="str">
        <f t="shared" si="34"/>
        <v/>
      </c>
      <c r="N160" s="32" t="str">
        <f t="shared" si="30"/>
        <v/>
      </c>
      <c r="O160" s="32" t="str">
        <f t="shared" si="31"/>
        <v/>
      </c>
      <c r="P160" s="32" t="str">
        <f t="shared" si="32"/>
        <v/>
      </c>
      <c r="Q160" s="33" t="str">
        <f t="shared" si="32"/>
        <v/>
      </c>
    </row>
    <row r="161" spans="2:17" x14ac:dyDescent="0.25">
      <c r="B161" s="9">
        <v>148</v>
      </c>
      <c r="C161" s="35">
        <v>60000</v>
      </c>
      <c r="D161" s="3"/>
      <c r="E161" s="9" t="str">
        <f t="shared" si="24"/>
        <v/>
      </c>
      <c r="F161" s="54" t="str">
        <f t="shared" si="33"/>
        <v/>
      </c>
      <c r="G161" s="73" t="str">
        <f t="shared" si="25"/>
        <v/>
      </c>
      <c r="H161" s="56" t="str">
        <f t="shared" si="26"/>
        <v/>
      </c>
      <c r="I161" s="57" t="str">
        <f t="shared" si="27"/>
        <v/>
      </c>
      <c r="J161" s="58" t="str">
        <f t="shared" si="28"/>
        <v/>
      </c>
      <c r="L161" s="31" t="str">
        <f t="shared" si="29"/>
        <v/>
      </c>
      <c r="M161" s="32" t="str">
        <f t="shared" si="34"/>
        <v/>
      </c>
      <c r="N161" s="32" t="str">
        <f t="shared" si="30"/>
        <v/>
      </c>
      <c r="O161" s="32" t="str">
        <f t="shared" si="31"/>
        <v/>
      </c>
      <c r="P161" s="32" t="str">
        <f t="shared" si="32"/>
        <v/>
      </c>
      <c r="Q161" s="33" t="str">
        <f t="shared" si="32"/>
        <v/>
      </c>
    </row>
    <row r="162" spans="2:17" x14ac:dyDescent="0.25">
      <c r="B162" s="9">
        <v>149</v>
      </c>
      <c r="C162" s="35">
        <v>62000</v>
      </c>
      <c r="D162" s="3"/>
      <c r="E162" s="9" t="str">
        <f t="shared" si="24"/>
        <v/>
      </c>
      <c r="F162" s="54" t="str">
        <f t="shared" si="33"/>
        <v/>
      </c>
      <c r="G162" s="73" t="str">
        <f t="shared" si="25"/>
        <v/>
      </c>
      <c r="H162" s="56" t="str">
        <f t="shared" si="26"/>
        <v/>
      </c>
      <c r="I162" s="57" t="str">
        <f t="shared" si="27"/>
        <v/>
      </c>
      <c r="J162" s="58" t="str">
        <f t="shared" si="28"/>
        <v/>
      </c>
      <c r="L162" s="31" t="str">
        <f t="shared" si="29"/>
        <v/>
      </c>
      <c r="M162" s="32" t="str">
        <f t="shared" si="34"/>
        <v/>
      </c>
      <c r="N162" s="32" t="str">
        <f t="shared" si="30"/>
        <v/>
      </c>
      <c r="O162" s="32" t="str">
        <f t="shared" si="31"/>
        <v/>
      </c>
      <c r="P162" s="32" t="str">
        <f t="shared" si="32"/>
        <v/>
      </c>
      <c r="Q162" s="33" t="str">
        <f t="shared" si="32"/>
        <v/>
      </c>
    </row>
    <row r="163" spans="2:17" x14ac:dyDescent="0.25">
      <c r="B163" s="9">
        <v>150</v>
      </c>
      <c r="C163" s="35">
        <v>64000</v>
      </c>
      <c r="D163" s="2"/>
      <c r="E163" s="9" t="str">
        <f t="shared" si="24"/>
        <v/>
      </c>
      <c r="F163" s="54" t="str">
        <f t="shared" si="33"/>
        <v/>
      </c>
      <c r="G163" s="73" t="str">
        <f t="shared" si="25"/>
        <v/>
      </c>
      <c r="H163" s="56" t="str">
        <f t="shared" si="26"/>
        <v/>
      </c>
      <c r="I163" s="57" t="str">
        <f t="shared" si="27"/>
        <v/>
      </c>
      <c r="J163" s="58" t="str">
        <f t="shared" si="28"/>
        <v/>
      </c>
      <c r="L163" s="31" t="str">
        <f t="shared" si="29"/>
        <v/>
      </c>
      <c r="M163" s="32" t="str">
        <f t="shared" si="34"/>
        <v/>
      </c>
      <c r="N163" s="32" t="str">
        <f t="shared" si="30"/>
        <v/>
      </c>
      <c r="O163" s="32" t="str">
        <f t="shared" si="31"/>
        <v/>
      </c>
      <c r="P163" s="32" t="str">
        <f t="shared" si="32"/>
        <v/>
      </c>
      <c r="Q163" s="33" t="str">
        <f t="shared" si="32"/>
        <v/>
      </c>
    </row>
    <row r="164" spans="2:17" x14ac:dyDescent="0.25">
      <c r="B164" s="9">
        <v>151</v>
      </c>
      <c r="C164" s="35">
        <v>68000</v>
      </c>
      <c r="D164" s="2"/>
      <c r="E164" s="9" t="str">
        <f t="shared" si="24"/>
        <v/>
      </c>
      <c r="F164" s="54" t="str">
        <f t="shared" si="33"/>
        <v/>
      </c>
      <c r="G164" s="73" t="str">
        <f t="shared" si="25"/>
        <v/>
      </c>
      <c r="H164" s="56" t="str">
        <f t="shared" si="26"/>
        <v/>
      </c>
      <c r="I164" s="57" t="str">
        <f t="shared" si="27"/>
        <v/>
      </c>
      <c r="J164" s="58" t="str">
        <f t="shared" si="28"/>
        <v/>
      </c>
      <c r="L164" s="31" t="str">
        <f t="shared" si="29"/>
        <v/>
      </c>
      <c r="M164" s="32" t="str">
        <f t="shared" si="34"/>
        <v/>
      </c>
      <c r="N164" s="32" t="str">
        <f t="shared" si="30"/>
        <v/>
      </c>
      <c r="O164" s="32" t="str">
        <f t="shared" si="31"/>
        <v/>
      </c>
      <c r="P164" s="32" t="str">
        <f t="shared" si="32"/>
        <v/>
      </c>
      <c r="Q164" s="33" t="str">
        <f t="shared" si="32"/>
        <v/>
      </c>
    </row>
    <row r="165" spans="2:17" x14ac:dyDescent="0.25">
      <c r="B165" s="9">
        <v>152</v>
      </c>
      <c r="C165" s="35">
        <v>68000</v>
      </c>
      <c r="D165" s="2"/>
      <c r="E165" s="9" t="str">
        <f t="shared" si="24"/>
        <v/>
      </c>
      <c r="F165" s="54" t="str">
        <f t="shared" si="33"/>
        <v/>
      </c>
      <c r="G165" s="73" t="str">
        <f t="shared" si="25"/>
        <v/>
      </c>
      <c r="H165" s="56" t="str">
        <f t="shared" si="26"/>
        <v/>
      </c>
      <c r="I165" s="57" t="str">
        <f t="shared" si="27"/>
        <v/>
      </c>
      <c r="J165" s="58" t="str">
        <f t="shared" si="28"/>
        <v/>
      </c>
      <c r="L165" s="31" t="str">
        <f t="shared" si="29"/>
        <v/>
      </c>
      <c r="M165" s="32" t="str">
        <f t="shared" si="34"/>
        <v/>
      </c>
      <c r="N165" s="32" t="str">
        <f t="shared" si="30"/>
        <v/>
      </c>
      <c r="O165" s="32" t="str">
        <f t="shared" si="31"/>
        <v/>
      </c>
      <c r="P165" s="32" t="str">
        <f t="shared" si="32"/>
        <v/>
      </c>
      <c r="Q165" s="33" t="str">
        <f t="shared" si="32"/>
        <v/>
      </c>
    </row>
    <row r="166" spans="2:17" x14ac:dyDescent="0.25">
      <c r="B166" s="9">
        <v>153</v>
      </c>
      <c r="C166" s="35">
        <v>70000</v>
      </c>
      <c r="D166" s="2"/>
      <c r="E166" s="9" t="str">
        <f t="shared" si="24"/>
        <v/>
      </c>
      <c r="F166" s="54" t="str">
        <f t="shared" si="33"/>
        <v/>
      </c>
      <c r="G166" s="73" t="str">
        <f t="shared" si="25"/>
        <v/>
      </c>
      <c r="H166" s="56" t="str">
        <f t="shared" si="26"/>
        <v/>
      </c>
      <c r="I166" s="57" t="str">
        <f t="shared" si="27"/>
        <v/>
      </c>
      <c r="J166" s="58" t="str">
        <f t="shared" si="28"/>
        <v/>
      </c>
      <c r="L166" s="31" t="str">
        <f t="shared" si="29"/>
        <v/>
      </c>
      <c r="M166" s="32" t="str">
        <f t="shared" si="34"/>
        <v/>
      </c>
      <c r="N166" s="32" t="str">
        <f t="shared" si="30"/>
        <v/>
      </c>
      <c r="O166" s="32" t="str">
        <f t="shared" si="31"/>
        <v/>
      </c>
      <c r="P166" s="32" t="str">
        <f t="shared" si="32"/>
        <v/>
      </c>
      <c r="Q166" s="33" t="str">
        <f t="shared" si="32"/>
        <v/>
      </c>
    </row>
    <row r="167" spans="2:17" x14ac:dyDescent="0.25">
      <c r="B167" s="9">
        <v>154</v>
      </c>
      <c r="C167" s="35">
        <v>72000</v>
      </c>
      <c r="D167" s="2"/>
      <c r="E167" s="9" t="str">
        <f t="shared" si="24"/>
        <v/>
      </c>
      <c r="F167" s="54" t="str">
        <f t="shared" si="33"/>
        <v/>
      </c>
      <c r="G167" s="73" t="str">
        <f t="shared" si="25"/>
        <v/>
      </c>
      <c r="H167" s="56" t="str">
        <f t="shared" si="26"/>
        <v/>
      </c>
      <c r="I167" s="57" t="str">
        <f t="shared" si="27"/>
        <v/>
      </c>
      <c r="J167" s="58" t="str">
        <f t="shared" si="28"/>
        <v/>
      </c>
      <c r="L167" s="31" t="str">
        <f t="shared" si="29"/>
        <v/>
      </c>
      <c r="M167" s="32" t="str">
        <f t="shared" si="34"/>
        <v/>
      </c>
      <c r="N167" s="32" t="str">
        <f t="shared" si="30"/>
        <v/>
      </c>
      <c r="O167" s="32" t="str">
        <f t="shared" si="31"/>
        <v/>
      </c>
      <c r="P167" s="32" t="str">
        <f t="shared" si="32"/>
        <v/>
      </c>
      <c r="Q167" s="33" t="str">
        <f t="shared" si="32"/>
        <v/>
      </c>
    </row>
    <row r="168" spans="2:17" x14ac:dyDescent="0.25">
      <c r="B168" s="9">
        <v>155</v>
      </c>
      <c r="C168" s="35">
        <v>74000</v>
      </c>
      <c r="D168" s="2"/>
      <c r="E168" s="9" t="str">
        <f t="shared" si="24"/>
        <v/>
      </c>
      <c r="F168" s="54" t="str">
        <f t="shared" si="33"/>
        <v/>
      </c>
      <c r="G168" s="73" t="str">
        <f t="shared" si="25"/>
        <v/>
      </c>
      <c r="H168" s="56" t="str">
        <f t="shared" si="26"/>
        <v/>
      </c>
      <c r="I168" s="57" t="str">
        <f t="shared" si="27"/>
        <v/>
      </c>
      <c r="J168" s="58" t="str">
        <f t="shared" si="28"/>
        <v/>
      </c>
      <c r="L168" s="31" t="str">
        <f t="shared" si="29"/>
        <v/>
      </c>
      <c r="M168" s="32" t="str">
        <f t="shared" si="34"/>
        <v/>
      </c>
      <c r="N168" s="32" t="str">
        <f t="shared" si="30"/>
        <v/>
      </c>
      <c r="O168" s="32" t="str">
        <f t="shared" si="31"/>
        <v/>
      </c>
      <c r="P168" s="32" t="str">
        <f t="shared" si="32"/>
        <v/>
      </c>
      <c r="Q168" s="33" t="str">
        <f t="shared" si="32"/>
        <v/>
      </c>
    </row>
    <row r="169" spans="2:17" x14ac:dyDescent="0.25">
      <c r="B169" s="9">
        <v>156</v>
      </c>
      <c r="C169" s="35">
        <v>76000</v>
      </c>
      <c r="D169" s="2"/>
      <c r="E169" s="9" t="str">
        <f t="shared" si="24"/>
        <v/>
      </c>
      <c r="F169" s="54" t="str">
        <f t="shared" si="33"/>
        <v/>
      </c>
      <c r="G169" s="73" t="str">
        <f t="shared" si="25"/>
        <v/>
      </c>
      <c r="H169" s="56" t="str">
        <f t="shared" si="26"/>
        <v/>
      </c>
      <c r="I169" s="57" t="str">
        <f t="shared" si="27"/>
        <v/>
      </c>
      <c r="J169" s="58" t="str">
        <f t="shared" si="28"/>
        <v/>
      </c>
      <c r="L169" s="31" t="str">
        <f t="shared" si="29"/>
        <v/>
      </c>
      <c r="M169" s="32" t="str">
        <f t="shared" si="34"/>
        <v/>
      </c>
      <c r="N169" s="32" t="str">
        <f t="shared" si="30"/>
        <v/>
      </c>
      <c r="O169" s="32" t="str">
        <f t="shared" si="31"/>
        <v/>
      </c>
      <c r="P169" s="32" t="str">
        <f t="shared" si="32"/>
        <v/>
      </c>
      <c r="Q169" s="33" t="str">
        <f t="shared" si="32"/>
        <v/>
      </c>
    </row>
    <row r="170" spans="2:17" x14ac:dyDescent="0.25">
      <c r="B170" s="9">
        <v>157</v>
      </c>
      <c r="C170" s="35">
        <v>78000</v>
      </c>
      <c r="D170" s="2"/>
      <c r="E170" s="9" t="str">
        <f t="shared" si="24"/>
        <v/>
      </c>
      <c r="F170" s="54" t="str">
        <f t="shared" si="33"/>
        <v/>
      </c>
      <c r="G170" s="73" t="str">
        <f t="shared" si="25"/>
        <v/>
      </c>
      <c r="H170" s="56" t="str">
        <f t="shared" si="26"/>
        <v/>
      </c>
      <c r="I170" s="57" t="str">
        <f t="shared" si="27"/>
        <v/>
      </c>
      <c r="J170" s="58" t="str">
        <f t="shared" si="28"/>
        <v/>
      </c>
      <c r="L170" s="31" t="str">
        <f t="shared" si="29"/>
        <v/>
      </c>
      <c r="M170" s="32" t="str">
        <f t="shared" si="34"/>
        <v/>
      </c>
      <c r="N170" s="32" t="str">
        <f t="shared" si="30"/>
        <v/>
      </c>
      <c r="O170" s="32" t="str">
        <f t="shared" si="31"/>
        <v/>
      </c>
      <c r="P170" s="32" t="str">
        <f t="shared" si="32"/>
        <v/>
      </c>
      <c r="Q170" s="33" t="str">
        <f t="shared" si="32"/>
        <v/>
      </c>
    </row>
    <row r="171" spans="2:17" x14ac:dyDescent="0.25">
      <c r="B171" s="9">
        <v>158</v>
      </c>
      <c r="C171" s="35">
        <v>80000</v>
      </c>
      <c r="D171" s="2"/>
      <c r="E171" s="9" t="str">
        <f t="shared" si="24"/>
        <v/>
      </c>
      <c r="F171" s="54" t="str">
        <f t="shared" si="33"/>
        <v/>
      </c>
      <c r="G171" s="73" t="str">
        <f t="shared" si="25"/>
        <v/>
      </c>
      <c r="H171" s="56" t="str">
        <f t="shared" si="26"/>
        <v/>
      </c>
      <c r="I171" s="57" t="str">
        <f t="shared" si="27"/>
        <v/>
      </c>
      <c r="J171" s="58" t="str">
        <f t="shared" si="28"/>
        <v/>
      </c>
      <c r="L171" s="31" t="str">
        <f t="shared" si="29"/>
        <v/>
      </c>
      <c r="M171" s="32" t="str">
        <f t="shared" si="34"/>
        <v/>
      </c>
      <c r="N171" s="32" t="str">
        <f t="shared" si="30"/>
        <v/>
      </c>
      <c r="O171" s="32" t="str">
        <f t="shared" si="31"/>
        <v/>
      </c>
      <c r="P171" s="32" t="str">
        <f t="shared" si="32"/>
        <v/>
      </c>
      <c r="Q171" s="33" t="str">
        <f t="shared" si="32"/>
        <v/>
      </c>
    </row>
    <row r="172" spans="2:17" x14ac:dyDescent="0.25">
      <c r="B172" s="9">
        <v>159</v>
      </c>
      <c r="C172" s="35">
        <v>82000</v>
      </c>
      <c r="D172" s="2"/>
      <c r="E172" s="9" t="str">
        <f t="shared" si="24"/>
        <v/>
      </c>
      <c r="F172" s="54" t="str">
        <f t="shared" si="33"/>
        <v/>
      </c>
      <c r="G172" s="73" t="str">
        <f t="shared" si="25"/>
        <v/>
      </c>
      <c r="H172" s="56" t="str">
        <f t="shared" si="26"/>
        <v/>
      </c>
      <c r="I172" s="57" t="str">
        <f t="shared" si="27"/>
        <v/>
      </c>
      <c r="J172" s="58" t="str">
        <f t="shared" si="28"/>
        <v/>
      </c>
      <c r="L172" s="31" t="str">
        <f t="shared" si="29"/>
        <v/>
      </c>
      <c r="M172" s="32" t="str">
        <f t="shared" si="34"/>
        <v/>
      </c>
      <c r="N172" s="32" t="str">
        <f t="shared" si="30"/>
        <v/>
      </c>
      <c r="O172" s="32" t="str">
        <f t="shared" si="31"/>
        <v/>
      </c>
      <c r="P172" s="32" t="str">
        <f t="shared" si="32"/>
        <v/>
      </c>
      <c r="Q172" s="33" t="str">
        <f t="shared" si="32"/>
        <v/>
      </c>
    </row>
    <row r="173" spans="2:17" x14ac:dyDescent="0.25">
      <c r="B173" s="9">
        <v>160</v>
      </c>
      <c r="C173" s="35">
        <v>84000</v>
      </c>
      <c r="D173" s="2"/>
      <c r="E173" s="9" t="str">
        <f t="shared" si="24"/>
        <v/>
      </c>
      <c r="F173" s="54" t="str">
        <f t="shared" si="33"/>
        <v/>
      </c>
      <c r="G173" s="73" t="str">
        <f t="shared" si="25"/>
        <v/>
      </c>
      <c r="H173" s="56" t="str">
        <f t="shared" si="26"/>
        <v/>
      </c>
      <c r="I173" s="57" t="str">
        <f t="shared" si="27"/>
        <v/>
      </c>
      <c r="J173" s="58" t="str">
        <f t="shared" si="28"/>
        <v/>
      </c>
      <c r="L173" s="31" t="str">
        <f t="shared" si="29"/>
        <v/>
      </c>
      <c r="M173" s="32" t="str">
        <f t="shared" si="34"/>
        <v/>
      </c>
      <c r="N173" s="32" t="str">
        <f t="shared" si="30"/>
        <v/>
      </c>
      <c r="O173" s="32" t="str">
        <f t="shared" si="31"/>
        <v/>
      </c>
      <c r="P173" s="32" t="str">
        <f t="shared" si="32"/>
        <v/>
      </c>
      <c r="Q173" s="33" t="str">
        <f t="shared" si="32"/>
        <v/>
      </c>
    </row>
    <row r="174" spans="2:17" x14ac:dyDescent="0.25">
      <c r="B174" s="9">
        <v>161</v>
      </c>
      <c r="C174" s="35">
        <v>86000</v>
      </c>
      <c r="D174" s="2"/>
      <c r="E174" s="9" t="str">
        <f t="shared" si="24"/>
        <v/>
      </c>
      <c r="F174" s="54" t="str">
        <f t="shared" si="33"/>
        <v/>
      </c>
      <c r="G174" s="73" t="str">
        <f t="shared" si="25"/>
        <v/>
      </c>
      <c r="H174" s="56" t="str">
        <f t="shared" si="26"/>
        <v/>
      </c>
      <c r="I174" s="57" t="str">
        <f t="shared" si="27"/>
        <v/>
      </c>
      <c r="J174" s="58" t="str">
        <f t="shared" si="28"/>
        <v/>
      </c>
      <c r="L174" s="31" t="str">
        <f t="shared" si="29"/>
        <v/>
      </c>
      <c r="M174" s="32" t="str">
        <f t="shared" si="34"/>
        <v/>
      </c>
      <c r="N174" s="32" t="str">
        <f t="shared" si="30"/>
        <v/>
      </c>
      <c r="O174" s="32" t="str">
        <f t="shared" si="31"/>
        <v/>
      </c>
      <c r="P174" s="32" t="str">
        <f t="shared" ref="P174:Q203" si="35">IF(AJ176="","",AJ176)</f>
        <v/>
      </c>
      <c r="Q174" s="33" t="str">
        <f t="shared" si="35"/>
        <v/>
      </c>
    </row>
    <row r="175" spans="2:17" x14ac:dyDescent="0.25">
      <c r="B175" s="9">
        <v>162</v>
      </c>
      <c r="C175" s="35">
        <v>88000</v>
      </c>
      <c r="D175" s="2"/>
      <c r="E175" s="9" t="str">
        <f t="shared" si="24"/>
        <v/>
      </c>
      <c r="F175" s="54" t="str">
        <f t="shared" si="33"/>
        <v/>
      </c>
      <c r="G175" s="73" t="str">
        <f t="shared" si="25"/>
        <v/>
      </c>
      <c r="H175" s="56" t="str">
        <f t="shared" si="26"/>
        <v/>
      </c>
      <c r="I175" s="57" t="str">
        <f t="shared" si="27"/>
        <v/>
      </c>
      <c r="J175" s="58" t="str">
        <f t="shared" si="28"/>
        <v/>
      </c>
      <c r="L175" s="31" t="str">
        <f t="shared" si="29"/>
        <v/>
      </c>
      <c r="M175" s="32" t="str">
        <f t="shared" si="34"/>
        <v/>
      </c>
      <c r="N175" s="32" t="str">
        <f t="shared" si="30"/>
        <v/>
      </c>
      <c r="O175" s="32" t="str">
        <f t="shared" si="31"/>
        <v/>
      </c>
      <c r="P175" s="32" t="str">
        <f t="shared" si="35"/>
        <v/>
      </c>
      <c r="Q175" s="33" t="str">
        <f t="shared" si="35"/>
        <v/>
      </c>
    </row>
    <row r="176" spans="2:17" x14ac:dyDescent="0.25">
      <c r="B176" s="9">
        <v>163</v>
      </c>
      <c r="C176" s="35">
        <v>90000</v>
      </c>
      <c r="D176" s="2"/>
      <c r="E176" s="9" t="str">
        <f t="shared" si="24"/>
        <v/>
      </c>
      <c r="F176" s="54" t="str">
        <f t="shared" si="33"/>
        <v/>
      </c>
      <c r="G176" s="73" t="str">
        <f t="shared" si="25"/>
        <v/>
      </c>
      <c r="H176" s="56" t="str">
        <f t="shared" si="26"/>
        <v/>
      </c>
      <c r="I176" s="57" t="str">
        <f t="shared" si="27"/>
        <v/>
      </c>
      <c r="J176" s="58" t="str">
        <f t="shared" si="28"/>
        <v/>
      </c>
      <c r="L176" s="31" t="str">
        <f t="shared" si="29"/>
        <v/>
      </c>
      <c r="M176" s="32" t="str">
        <f t="shared" si="34"/>
        <v/>
      </c>
      <c r="N176" s="32" t="str">
        <f t="shared" si="30"/>
        <v/>
      </c>
      <c r="O176" s="32" t="str">
        <f t="shared" si="31"/>
        <v/>
      </c>
      <c r="P176" s="32" t="str">
        <f t="shared" si="35"/>
        <v/>
      </c>
      <c r="Q176" s="33" t="str">
        <f t="shared" si="35"/>
        <v/>
      </c>
    </row>
    <row r="177" spans="2:17" x14ac:dyDescent="0.25">
      <c r="B177" s="9">
        <v>164</v>
      </c>
      <c r="C177" s="35">
        <v>92000</v>
      </c>
      <c r="D177" s="2"/>
      <c r="E177" s="9" t="str">
        <f t="shared" si="24"/>
        <v/>
      </c>
      <c r="F177" s="54" t="str">
        <f t="shared" si="33"/>
        <v/>
      </c>
      <c r="G177" s="73" t="str">
        <f t="shared" si="25"/>
        <v/>
      </c>
      <c r="H177" s="56" t="str">
        <f t="shared" si="26"/>
        <v/>
      </c>
      <c r="I177" s="57" t="str">
        <f t="shared" si="27"/>
        <v/>
      </c>
      <c r="J177" s="58" t="str">
        <f t="shared" si="28"/>
        <v/>
      </c>
      <c r="L177" s="31" t="str">
        <f t="shared" si="29"/>
        <v/>
      </c>
      <c r="M177" s="32" t="str">
        <f t="shared" si="34"/>
        <v/>
      </c>
      <c r="N177" s="32" t="str">
        <f t="shared" si="30"/>
        <v/>
      </c>
      <c r="O177" s="32" t="str">
        <f t="shared" si="31"/>
        <v/>
      </c>
      <c r="P177" s="32" t="str">
        <f t="shared" si="35"/>
        <v/>
      </c>
      <c r="Q177" s="33" t="str">
        <f t="shared" si="35"/>
        <v/>
      </c>
    </row>
    <row r="178" spans="2:17" x14ac:dyDescent="0.25">
      <c r="B178" s="9">
        <v>165</v>
      </c>
      <c r="C178" s="35">
        <v>94000</v>
      </c>
      <c r="D178" s="2"/>
      <c r="E178" s="9" t="str">
        <f t="shared" si="24"/>
        <v/>
      </c>
      <c r="F178" s="54" t="str">
        <f t="shared" si="33"/>
        <v/>
      </c>
      <c r="G178" s="73" t="str">
        <f t="shared" si="25"/>
        <v/>
      </c>
      <c r="H178" s="56" t="str">
        <f t="shared" si="26"/>
        <v/>
      </c>
      <c r="I178" s="57" t="str">
        <f t="shared" si="27"/>
        <v/>
      </c>
      <c r="J178" s="58" t="str">
        <f t="shared" si="28"/>
        <v/>
      </c>
      <c r="L178" s="31" t="str">
        <f t="shared" si="29"/>
        <v/>
      </c>
      <c r="M178" s="32" t="str">
        <f t="shared" si="34"/>
        <v/>
      </c>
      <c r="N178" s="32" t="str">
        <f t="shared" si="30"/>
        <v/>
      </c>
      <c r="O178" s="32" t="str">
        <f t="shared" si="31"/>
        <v/>
      </c>
      <c r="P178" s="32" t="str">
        <f t="shared" si="35"/>
        <v/>
      </c>
      <c r="Q178" s="33" t="str">
        <f t="shared" si="35"/>
        <v/>
      </c>
    </row>
    <row r="179" spans="2:17" x14ac:dyDescent="0.25">
      <c r="B179" s="9">
        <v>166</v>
      </c>
      <c r="C179" s="35">
        <v>96000</v>
      </c>
      <c r="D179" s="2"/>
      <c r="E179" s="9" t="str">
        <f t="shared" si="24"/>
        <v/>
      </c>
      <c r="F179" s="54" t="str">
        <f t="shared" si="33"/>
        <v/>
      </c>
      <c r="G179" s="73" t="str">
        <f t="shared" si="25"/>
        <v/>
      </c>
      <c r="H179" s="56" t="str">
        <f t="shared" si="26"/>
        <v/>
      </c>
      <c r="I179" s="57" t="str">
        <f t="shared" si="27"/>
        <v/>
      </c>
      <c r="J179" s="58" t="str">
        <f t="shared" si="28"/>
        <v/>
      </c>
      <c r="L179" s="31" t="str">
        <f t="shared" si="29"/>
        <v/>
      </c>
      <c r="M179" s="32" t="str">
        <f t="shared" si="34"/>
        <v/>
      </c>
      <c r="N179" s="32" t="str">
        <f t="shared" si="30"/>
        <v/>
      </c>
      <c r="O179" s="32" t="str">
        <f t="shared" si="31"/>
        <v/>
      </c>
      <c r="P179" s="32" t="str">
        <f t="shared" si="35"/>
        <v/>
      </c>
      <c r="Q179" s="33" t="str">
        <f t="shared" si="35"/>
        <v/>
      </c>
    </row>
    <row r="180" spans="2:17" x14ac:dyDescent="0.25">
      <c r="B180" s="9">
        <v>167</v>
      </c>
      <c r="C180" s="35">
        <v>98000</v>
      </c>
      <c r="D180" s="2"/>
      <c r="E180" s="9" t="str">
        <f t="shared" si="24"/>
        <v/>
      </c>
      <c r="F180" s="54" t="str">
        <f t="shared" si="33"/>
        <v/>
      </c>
      <c r="G180" s="73" t="str">
        <f t="shared" si="25"/>
        <v/>
      </c>
      <c r="H180" s="56" t="str">
        <f t="shared" si="26"/>
        <v/>
      </c>
      <c r="I180" s="57" t="str">
        <f t="shared" si="27"/>
        <v/>
      </c>
      <c r="J180" s="58" t="str">
        <f t="shared" si="28"/>
        <v/>
      </c>
      <c r="L180" s="31" t="str">
        <f t="shared" si="29"/>
        <v/>
      </c>
      <c r="M180" s="32" t="str">
        <f t="shared" si="34"/>
        <v/>
      </c>
      <c r="N180" s="32" t="str">
        <f t="shared" si="30"/>
        <v/>
      </c>
      <c r="O180" s="32" t="str">
        <f t="shared" si="31"/>
        <v/>
      </c>
      <c r="P180" s="32" t="str">
        <f t="shared" si="35"/>
        <v/>
      </c>
      <c r="Q180" s="33" t="str">
        <f t="shared" si="35"/>
        <v/>
      </c>
    </row>
    <row r="181" spans="2:17" x14ac:dyDescent="0.25">
      <c r="B181" s="9">
        <v>168</v>
      </c>
      <c r="C181" s="35">
        <v>100000</v>
      </c>
      <c r="D181" s="2"/>
      <c r="E181" s="9" t="str">
        <f t="shared" si="24"/>
        <v/>
      </c>
      <c r="F181" s="54" t="str">
        <f t="shared" si="33"/>
        <v/>
      </c>
      <c r="G181" s="73" t="str">
        <f t="shared" si="25"/>
        <v/>
      </c>
      <c r="H181" s="56" t="str">
        <f t="shared" si="26"/>
        <v/>
      </c>
      <c r="I181" s="57" t="str">
        <f t="shared" si="27"/>
        <v/>
      </c>
      <c r="J181" s="58" t="str">
        <f t="shared" si="28"/>
        <v/>
      </c>
      <c r="L181" s="31" t="str">
        <f t="shared" si="29"/>
        <v/>
      </c>
      <c r="M181" s="32" t="str">
        <f t="shared" si="34"/>
        <v/>
      </c>
      <c r="N181" s="32" t="str">
        <f t="shared" si="30"/>
        <v/>
      </c>
      <c r="O181" s="32" t="str">
        <f t="shared" si="31"/>
        <v/>
      </c>
      <c r="P181" s="32" t="str">
        <f t="shared" si="35"/>
        <v/>
      </c>
      <c r="Q181" s="33" t="str">
        <f t="shared" si="35"/>
        <v/>
      </c>
    </row>
    <row r="182" spans="2:17" x14ac:dyDescent="0.25">
      <c r="B182" s="9">
        <v>169</v>
      </c>
      <c r="C182" s="35"/>
      <c r="D182" s="2"/>
      <c r="E182" s="9" t="str">
        <f t="shared" si="24"/>
        <v/>
      </c>
      <c r="F182" s="54" t="str">
        <f t="shared" si="33"/>
        <v/>
      </c>
      <c r="G182" s="73" t="str">
        <f t="shared" si="25"/>
        <v/>
      </c>
      <c r="H182" s="56" t="str">
        <f t="shared" si="26"/>
        <v/>
      </c>
      <c r="I182" s="57" t="str">
        <f t="shared" si="27"/>
        <v/>
      </c>
      <c r="J182" s="58" t="str">
        <f t="shared" si="28"/>
        <v/>
      </c>
      <c r="L182" s="31" t="str">
        <f t="shared" si="29"/>
        <v/>
      </c>
      <c r="M182" s="32" t="str">
        <f t="shared" si="34"/>
        <v/>
      </c>
      <c r="N182" s="32" t="str">
        <f t="shared" si="30"/>
        <v/>
      </c>
      <c r="O182" s="32" t="str">
        <f t="shared" si="31"/>
        <v/>
      </c>
      <c r="P182" s="32" t="str">
        <f t="shared" si="35"/>
        <v/>
      </c>
      <c r="Q182" s="33" t="str">
        <f t="shared" si="35"/>
        <v/>
      </c>
    </row>
    <row r="183" spans="2:17" x14ac:dyDescent="0.25">
      <c r="B183" s="9">
        <v>170</v>
      </c>
      <c r="C183" s="35"/>
      <c r="D183" s="2"/>
      <c r="E183" s="9" t="str">
        <f t="shared" si="24"/>
        <v/>
      </c>
      <c r="F183" s="54" t="str">
        <f t="shared" si="33"/>
        <v/>
      </c>
      <c r="G183" s="73" t="str">
        <f t="shared" si="25"/>
        <v/>
      </c>
      <c r="H183" s="56" t="str">
        <f t="shared" si="26"/>
        <v/>
      </c>
      <c r="I183" s="57" t="str">
        <f t="shared" si="27"/>
        <v/>
      </c>
      <c r="J183" s="58" t="str">
        <f t="shared" si="28"/>
        <v/>
      </c>
      <c r="L183" s="31" t="str">
        <f t="shared" si="29"/>
        <v/>
      </c>
      <c r="M183" s="32" t="str">
        <f t="shared" si="34"/>
        <v/>
      </c>
      <c r="N183" s="32" t="str">
        <f t="shared" si="30"/>
        <v/>
      </c>
      <c r="O183" s="32" t="str">
        <f t="shared" si="31"/>
        <v/>
      </c>
      <c r="P183" s="32" t="str">
        <f t="shared" si="35"/>
        <v/>
      </c>
      <c r="Q183" s="33" t="str">
        <f t="shared" si="35"/>
        <v/>
      </c>
    </row>
    <row r="184" spans="2:17" x14ac:dyDescent="0.25">
      <c r="B184" s="9">
        <v>171</v>
      </c>
      <c r="C184" s="35"/>
      <c r="D184" s="2"/>
      <c r="E184" s="9" t="str">
        <f t="shared" si="24"/>
        <v/>
      </c>
      <c r="F184" s="54" t="str">
        <f t="shared" si="33"/>
        <v/>
      </c>
      <c r="G184" s="73" t="str">
        <f t="shared" si="25"/>
        <v/>
      </c>
      <c r="H184" s="56" t="str">
        <f t="shared" si="26"/>
        <v/>
      </c>
      <c r="I184" s="57" t="str">
        <f t="shared" si="27"/>
        <v/>
      </c>
      <c r="J184" s="58" t="str">
        <f t="shared" si="28"/>
        <v/>
      </c>
      <c r="L184" s="31" t="str">
        <f t="shared" si="29"/>
        <v/>
      </c>
      <c r="M184" s="32" t="str">
        <f t="shared" si="34"/>
        <v/>
      </c>
      <c r="N184" s="32" t="str">
        <f t="shared" si="30"/>
        <v/>
      </c>
      <c r="O184" s="32" t="str">
        <f t="shared" si="31"/>
        <v/>
      </c>
      <c r="P184" s="32" t="str">
        <f t="shared" si="35"/>
        <v/>
      </c>
      <c r="Q184" s="33" t="str">
        <f t="shared" si="35"/>
        <v/>
      </c>
    </row>
    <row r="185" spans="2:17" x14ac:dyDescent="0.25">
      <c r="B185" s="9">
        <v>172</v>
      </c>
      <c r="C185" s="35"/>
      <c r="D185" s="2"/>
      <c r="E185" s="9" t="str">
        <f t="shared" si="24"/>
        <v/>
      </c>
      <c r="F185" s="54" t="str">
        <f t="shared" si="33"/>
        <v/>
      </c>
      <c r="G185" s="73" t="str">
        <f t="shared" si="25"/>
        <v/>
      </c>
      <c r="H185" s="56" t="str">
        <f t="shared" si="26"/>
        <v/>
      </c>
      <c r="I185" s="57" t="str">
        <f t="shared" si="27"/>
        <v/>
      </c>
      <c r="J185" s="58" t="str">
        <f t="shared" si="28"/>
        <v/>
      </c>
      <c r="L185" s="31" t="str">
        <f t="shared" si="29"/>
        <v/>
      </c>
      <c r="M185" s="32" t="str">
        <f t="shared" si="34"/>
        <v/>
      </c>
      <c r="N185" s="32" t="str">
        <f t="shared" si="30"/>
        <v/>
      </c>
      <c r="O185" s="32" t="str">
        <f t="shared" si="31"/>
        <v/>
      </c>
      <c r="P185" s="32" t="str">
        <f t="shared" si="35"/>
        <v/>
      </c>
      <c r="Q185" s="33" t="str">
        <f t="shared" si="35"/>
        <v/>
      </c>
    </row>
    <row r="186" spans="2:17" x14ac:dyDescent="0.25">
      <c r="B186" s="9">
        <v>173</v>
      </c>
      <c r="C186" s="35"/>
      <c r="D186" s="2"/>
      <c r="E186" s="9" t="str">
        <f t="shared" si="24"/>
        <v/>
      </c>
      <c r="F186" s="54" t="str">
        <f t="shared" si="33"/>
        <v/>
      </c>
      <c r="G186" s="73" t="str">
        <f t="shared" si="25"/>
        <v/>
      </c>
      <c r="H186" s="56" t="str">
        <f t="shared" si="26"/>
        <v/>
      </c>
      <c r="I186" s="57" t="str">
        <f t="shared" si="27"/>
        <v/>
      </c>
      <c r="J186" s="58" t="str">
        <f t="shared" si="28"/>
        <v/>
      </c>
      <c r="L186" s="31" t="str">
        <f t="shared" si="29"/>
        <v/>
      </c>
      <c r="M186" s="32" t="str">
        <f t="shared" si="34"/>
        <v/>
      </c>
      <c r="N186" s="32" t="str">
        <f t="shared" si="30"/>
        <v/>
      </c>
      <c r="O186" s="32" t="str">
        <f t="shared" si="31"/>
        <v/>
      </c>
      <c r="P186" s="32" t="str">
        <f t="shared" si="35"/>
        <v/>
      </c>
      <c r="Q186" s="33" t="str">
        <f t="shared" si="35"/>
        <v/>
      </c>
    </row>
    <row r="187" spans="2:17" x14ac:dyDescent="0.25">
      <c r="B187" s="9">
        <v>174</v>
      </c>
      <c r="C187" s="35"/>
      <c r="D187" s="2"/>
      <c r="E187" s="9" t="str">
        <f t="shared" si="24"/>
        <v/>
      </c>
      <c r="F187" s="54" t="str">
        <f t="shared" si="33"/>
        <v/>
      </c>
      <c r="G187" s="73" t="str">
        <f t="shared" si="25"/>
        <v/>
      </c>
      <c r="H187" s="56" t="str">
        <f t="shared" si="26"/>
        <v/>
      </c>
      <c r="I187" s="57" t="str">
        <f t="shared" si="27"/>
        <v/>
      </c>
      <c r="J187" s="58" t="str">
        <f t="shared" si="28"/>
        <v/>
      </c>
      <c r="L187" s="31" t="str">
        <f t="shared" si="29"/>
        <v/>
      </c>
      <c r="M187" s="32" t="str">
        <f t="shared" si="34"/>
        <v/>
      </c>
      <c r="N187" s="32" t="str">
        <f t="shared" si="30"/>
        <v/>
      </c>
      <c r="O187" s="32" t="str">
        <f t="shared" si="31"/>
        <v/>
      </c>
      <c r="P187" s="32" t="str">
        <f t="shared" si="35"/>
        <v/>
      </c>
      <c r="Q187" s="33" t="str">
        <f t="shared" si="35"/>
        <v/>
      </c>
    </row>
    <row r="188" spans="2:17" x14ac:dyDescent="0.25">
      <c r="B188" s="9">
        <v>175</v>
      </c>
      <c r="C188" s="35"/>
      <c r="D188" s="2"/>
      <c r="E188" s="9" t="str">
        <f t="shared" si="24"/>
        <v/>
      </c>
      <c r="F188" s="54" t="str">
        <f t="shared" si="33"/>
        <v/>
      </c>
      <c r="G188" s="73" t="str">
        <f t="shared" si="25"/>
        <v/>
      </c>
      <c r="H188" s="56" t="str">
        <f t="shared" si="26"/>
        <v/>
      </c>
      <c r="I188" s="57" t="str">
        <f t="shared" si="27"/>
        <v/>
      </c>
      <c r="J188" s="58" t="str">
        <f t="shared" si="28"/>
        <v/>
      </c>
      <c r="L188" s="31" t="str">
        <f t="shared" si="29"/>
        <v/>
      </c>
      <c r="M188" s="32" t="str">
        <f t="shared" si="34"/>
        <v/>
      </c>
      <c r="N188" s="32" t="str">
        <f t="shared" si="30"/>
        <v/>
      </c>
      <c r="O188" s="32" t="str">
        <f t="shared" si="31"/>
        <v/>
      </c>
      <c r="P188" s="32" t="str">
        <f t="shared" si="35"/>
        <v/>
      </c>
      <c r="Q188" s="33" t="str">
        <f t="shared" si="35"/>
        <v/>
      </c>
    </row>
    <row r="189" spans="2:17" x14ac:dyDescent="0.25">
      <c r="B189" s="9">
        <v>176</v>
      </c>
      <c r="C189" s="35"/>
      <c r="D189" s="2"/>
      <c r="E189" s="9" t="str">
        <f t="shared" si="24"/>
        <v/>
      </c>
      <c r="F189" s="54" t="str">
        <f t="shared" si="33"/>
        <v/>
      </c>
      <c r="G189" s="73" t="str">
        <f t="shared" si="25"/>
        <v/>
      </c>
      <c r="H189" s="56" t="str">
        <f t="shared" si="26"/>
        <v/>
      </c>
      <c r="I189" s="57" t="str">
        <f t="shared" si="27"/>
        <v/>
      </c>
      <c r="J189" s="58" t="str">
        <f t="shared" si="28"/>
        <v/>
      </c>
      <c r="L189" s="31" t="str">
        <f t="shared" si="29"/>
        <v/>
      </c>
      <c r="M189" s="32" t="str">
        <f t="shared" si="34"/>
        <v/>
      </c>
      <c r="N189" s="32" t="str">
        <f t="shared" si="30"/>
        <v/>
      </c>
      <c r="O189" s="32" t="str">
        <f t="shared" si="31"/>
        <v/>
      </c>
      <c r="P189" s="32" t="str">
        <f t="shared" si="35"/>
        <v/>
      </c>
      <c r="Q189" s="33" t="str">
        <f t="shared" si="35"/>
        <v/>
      </c>
    </row>
    <row r="190" spans="2:17" x14ac:dyDescent="0.25">
      <c r="B190" s="9">
        <v>177</v>
      </c>
      <c r="C190" s="35"/>
      <c r="D190" s="2"/>
      <c r="E190" s="9" t="str">
        <f t="shared" si="24"/>
        <v/>
      </c>
      <c r="F190" s="54" t="str">
        <f t="shared" si="33"/>
        <v/>
      </c>
      <c r="G190" s="73" t="str">
        <f t="shared" si="25"/>
        <v/>
      </c>
      <c r="H190" s="56" t="str">
        <f t="shared" si="26"/>
        <v/>
      </c>
      <c r="I190" s="57" t="str">
        <f t="shared" si="27"/>
        <v/>
      </c>
      <c r="J190" s="58" t="str">
        <f t="shared" si="28"/>
        <v/>
      </c>
      <c r="L190" s="31" t="str">
        <f t="shared" si="29"/>
        <v/>
      </c>
      <c r="M190" s="32" t="str">
        <f t="shared" si="34"/>
        <v/>
      </c>
      <c r="N190" s="32" t="str">
        <f t="shared" si="30"/>
        <v/>
      </c>
      <c r="O190" s="32" t="str">
        <f t="shared" si="31"/>
        <v/>
      </c>
      <c r="P190" s="32" t="str">
        <f t="shared" si="35"/>
        <v/>
      </c>
      <c r="Q190" s="33" t="str">
        <f t="shared" si="35"/>
        <v/>
      </c>
    </row>
    <row r="191" spans="2:17" x14ac:dyDescent="0.25">
      <c r="B191" s="9">
        <v>178</v>
      </c>
      <c r="C191" s="35"/>
      <c r="D191" s="2"/>
      <c r="E191" s="9" t="str">
        <f t="shared" si="24"/>
        <v/>
      </c>
      <c r="F191" s="54" t="str">
        <f t="shared" si="33"/>
        <v/>
      </c>
      <c r="G191" s="73" t="str">
        <f t="shared" si="25"/>
        <v/>
      </c>
      <c r="H191" s="56" t="str">
        <f t="shared" si="26"/>
        <v/>
      </c>
      <c r="I191" s="57" t="str">
        <f t="shared" si="27"/>
        <v/>
      </c>
      <c r="J191" s="58" t="str">
        <f t="shared" si="28"/>
        <v/>
      </c>
      <c r="L191" s="31" t="str">
        <f t="shared" si="29"/>
        <v/>
      </c>
      <c r="M191" s="32" t="str">
        <f t="shared" si="34"/>
        <v/>
      </c>
      <c r="N191" s="32" t="str">
        <f t="shared" si="30"/>
        <v/>
      </c>
      <c r="O191" s="32" t="str">
        <f t="shared" si="31"/>
        <v/>
      </c>
      <c r="P191" s="32" t="str">
        <f t="shared" si="35"/>
        <v/>
      </c>
      <c r="Q191" s="33" t="str">
        <f t="shared" si="35"/>
        <v/>
      </c>
    </row>
    <row r="192" spans="2:17" x14ac:dyDescent="0.25">
      <c r="B192" s="9">
        <v>179</v>
      </c>
      <c r="C192" s="35"/>
      <c r="D192" s="2"/>
      <c r="E192" s="9" t="str">
        <f t="shared" si="24"/>
        <v/>
      </c>
      <c r="F192" s="54" t="str">
        <f t="shared" si="33"/>
        <v/>
      </c>
      <c r="G192" s="73" t="str">
        <f t="shared" si="25"/>
        <v/>
      </c>
      <c r="H192" s="56" t="str">
        <f t="shared" si="26"/>
        <v/>
      </c>
      <c r="I192" s="57" t="str">
        <f t="shared" si="27"/>
        <v/>
      </c>
      <c r="J192" s="58" t="str">
        <f t="shared" si="28"/>
        <v/>
      </c>
      <c r="L192" s="31" t="str">
        <f t="shared" si="29"/>
        <v/>
      </c>
      <c r="M192" s="32" t="str">
        <f t="shared" si="34"/>
        <v/>
      </c>
      <c r="N192" s="32" t="str">
        <f t="shared" si="30"/>
        <v/>
      </c>
      <c r="O192" s="32" t="str">
        <f t="shared" si="31"/>
        <v/>
      </c>
      <c r="P192" s="32" t="str">
        <f t="shared" si="35"/>
        <v/>
      </c>
      <c r="Q192" s="33" t="str">
        <f t="shared" si="35"/>
        <v/>
      </c>
    </row>
    <row r="193" spans="2:17" x14ac:dyDescent="0.25">
      <c r="B193" s="9">
        <v>180</v>
      </c>
      <c r="C193" s="35"/>
      <c r="D193" s="2"/>
      <c r="E193" s="9" t="str">
        <f t="shared" si="24"/>
        <v/>
      </c>
      <c r="F193" s="54" t="str">
        <f t="shared" si="33"/>
        <v/>
      </c>
      <c r="G193" s="73" t="str">
        <f t="shared" si="25"/>
        <v/>
      </c>
      <c r="H193" s="56" t="str">
        <f t="shared" si="26"/>
        <v/>
      </c>
      <c r="I193" s="57" t="str">
        <f t="shared" si="27"/>
        <v/>
      </c>
      <c r="J193" s="58" t="str">
        <f t="shared" si="28"/>
        <v/>
      </c>
      <c r="L193" s="31" t="str">
        <f t="shared" si="29"/>
        <v/>
      </c>
      <c r="M193" s="32" t="str">
        <f t="shared" si="34"/>
        <v/>
      </c>
      <c r="N193" s="32" t="str">
        <f t="shared" si="30"/>
        <v/>
      </c>
      <c r="O193" s="32" t="str">
        <f t="shared" si="31"/>
        <v/>
      </c>
      <c r="P193" s="32" t="str">
        <f t="shared" si="35"/>
        <v/>
      </c>
      <c r="Q193" s="33" t="str">
        <f t="shared" si="35"/>
        <v/>
      </c>
    </row>
    <row r="194" spans="2:17" x14ac:dyDescent="0.25">
      <c r="B194" s="9">
        <v>181</v>
      </c>
      <c r="C194" s="35"/>
      <c r="D194" s="2"/>
      <c r="E194" s="9" t="str">
        <f t="shared" si="24"/>
        <v/>
      </c>
      <c r="F194" s="54" t="str">
        <f t="shared" si="33"/>
        <v/>
      </c>
      <c r="G194" s="73" t="str">
        <f t="shared" si="25"/>
        <v/>
      </c>
      <c r="H194" s="56" t="str">
        <f t="shared" si="26"/>
        <v/>
      </c>
      <c r="I194" s="57" t="str">
        <f t="shared" si="27"/>
        <v/>
      </c>
      <c r="J194" s="58" t="str">
        <f t="shared" si="28"/>
        <v/>
      </c>
      <c r="L194" s="31" t="str">
        <f t="shared" si="29"/>
        <v/>
      </c>
      <c r="M194" s="32" t="str">
        <f t="shared" si="34"/>
        <v/>
      </c>
      <c r="N194" s="32" t="str">
        <f t="shared" si="30"/>
        <v/>
      </c>
      <c r="O194" s="32" t="str">
        <f t="shared" si="31"/>
        <v/>
      </c>
      <c r="P194" s="32" t="str">
        <f t="shared" si="35"/>
        <v/>
      </c>
      <c r="Q194" s="33" t="str">
        <f t="shared" si="35"/>
        <v/>
      </c>
    </row>
    <row r="195" spans="2:17" x14ac:dyDescent="0.25">
      <c r="B195" s="9">
        <v>182</v>
      </c>
      <c r="C195" s="35"/>
      <c r="D195" s="2"/>
      <c r="E195" s="9" t="str">
        <f t="shared" si="24"/>
        <v/>
      </c>
      <c r="F195" s="54" t="str">
        <f t="shared" si="33"/>
        <v/>
      </c>
      <c r="G195" s="73" t="str">
        <f t="shared" si="25"/>
        <v/>
      </c>
      <c r="H195" s="56" t="str">
        <f t="shared" si="26"/>
        <v/>
      </c>
      <c r="I195" s="57" t="str">
        <f t="shared" si="27"/>
        <v/>
      </c>
      <c r="J195" s="58" t="str">
        <f t="shared" si="28"/>
        <v/>
      </c>
      <c r="L195" s="31" t="str">
        <f t="shared" si="29"/>
        <v/>
      </c>
      <c r="M195" s="32" t="str">
        <f t="shared" si="34"/>
        <v/>
      </c>
      <c r="N195" s="32" t="str">
        <f t="shared" si="30"/>
        <v/>
      </c>
      <c r="O195" s="32" t="str">
        <f t="shared" si="31"/>
        <v/>
      </c>
      <c r="P195" s="32" t="str">
        <f t="shared" si="35"/>
        <v/>
      </c>
      <c r="Q195" s="33" t="str">
        <f t="shared" si="35"/>
        <v/>
      </c>
    </row>
    <row r="196" spans="2:17" x14ac:dyDescent="0.25">
      <c r="B196" s="9">
        <v>183</v>
      </c>
      <c r="C196" s="35"/>
      <c r="D196" s="2"/>
      <c r="E196" s="9" t="str">
        <f t="shared" si="24"/>
        <v/>
      </c>
      <c r="F196" s="54" t="str">
        <f t="shared" si="33"/>
        <v/>
      </c>
      <c r="G196" s="73" t="str">
        <f t="shared" si="25"/>
        <v/>
      </c>
      <c r="H196" s="56" t="str">
        <f t="shared" si="26"/>
        <v/>
      </c>
      <c r="I196" s="57" t="str">
        <f t="shared" si="27"/>
        <v/>
      </c>
      <c r="J196" s="58" t="str">
        <f t="shared" si="28"/>
        <v/>
      </c>
      <c r="L196" s="31" t="str">
        <f t="shared" si="29"/>
        <v/>
      </c>
      <c r="M196" s="32" t="str">
        <f t="shared" si="34"/>
        <v/>
      </c>
      <c r="N196" s="32" t="str">
        <f t="shared" si="30"/>
        <v/>
      </c>
      <c r="O196" s="32" t="str">
        <f t="shared" si="31"/>
        <v/>
      </c>
      <c r="P196" s="32" t="str">
        <f t="shared" si="35"/>
        <v/>
      </c>
      <c r="Q196" s="33" t="str">
        <f t="shared" si="35"/>
        <v/>
      </c>
    </row>
    <row r="197" spans="2:17" x14ac:dyDescent="0.25">
      <c r="B197" s="9">
        <v>184</v>
      </c>
      <c r="C197" s="35"/>
      <c r="D197" s="2"/>
      <c r="E197" s="9" t="str">
        <f t="shared" si="24"/>
        <v/>
      </c>
      <c r="F197" s="54" t="str">
        <f t="shared" si="33"/>
        <v/>
      </c>
      <c r="G197" s="73" t="str">
        <f t="shared" si="25"/>
        <v/>
      </c>
      <c r="H197" s="56" t="str">
        <f t="shared" si="26"/>
        <v/>
      </c>
      <c r="I197" s="57" t="str">
        <f t="shared" si="27"/>
        <v/>
      </c>
      <c r="J197" s="58" t="str">
        <f t="shared" si="28"/>
        <v/>
      </c>
      <c r="L197" s="31" t="str">
        <f t="shared" si="29"/>
        <v/>
      </c>
      <c r="M197" s="32" t="str">
        <f t="shared" si="34"/>
        <v/>
      </c>
      <c r="N197" s="32" t="str">
        <f t="shared" si="30"/>
        <v/>
      </c>
      <c r="O197" s="32" t="str">
        <f t="shared" si="31"/>
        <v/>
      </c>
      <c r="P197" s="32" t="str">
        <f t="shared" si="35"/>
        <v/>
      </c>
      <c r="Q197" s="33" t="str">
        <f t="shared" si="35"/>
        <v/>
      </c>
    </row>
    <row r="198" spans="2:17" x14ac:dyDescent="0.25">
      <c r="B198" s="9">
        <v>185</v>
      </c>
      <c r="C198" s="35"/>
      <c r="D198" s="2"/>
      <c r="E198" s="9" t="str">
        <f t="shared" si="24"/>
        <v/>
      </c>
      <c r="F198" s="54" t="str">
        <f t="shared" si="33"/>
        <v/>
      </c>
      <c r="G198" s="73" t="str">
        <f t="shared" si="25"/>
        <v/>
      </c>
      <c r="H198" s="56" t="str">
        <f t="shared" si="26"/>
        <v/>
      </c>
      <c r="I198" s="57" t="str">
        <f t="shared" si="27"/>
        <v/>
      </c>
      <c r="J198" s="58" t="str">
        <f t="shared" si="28"/>
        <v/>
      </c>
      <c r="L198" s="31" t="str">
        <f t="shared" si="29"/>
        <v/>
      </c>
      <c r="M198" s="32" t="str">
        <f t="shared" si="34"/>
        <v/>
      </c>
      <c r="N198" s="32" t="str">
        <f t="shared" si="30"/>
        <v/>
      </c>
      <c r="O198" s="32" t="str">
        <f t="shared" si="31"/>
        <v/>
      </c>
      <c r="P198" s="32" t="str">
        <f t="shared" si="35"/>
        <v/>
      </c>
      <c r="Q198" s="33" t="str">
        <f t="shared" si="35"/>
        <v/>
      </c>
    </row>
    <row r="199" spans="2:17" x14ac:dyDescent="0.25">
      <c r="B199" s="9">
        <v>186</v>
      </c>
      <c r="C199" s="35"/>
      <c r="D199" s="2"/>
      <c r="E199" s="9" t="str">
        <f t="shared" si="24"/>
        <v/>
      </c>
      <c r="F199" s="54" t="str">
        <f t="shared" si="33"/>
        <v/>
      </c>
      <c r="G199" s="73" t="str">
        <f t="shared" si="25"/>
        <v/>
      </c>
      <c r="H199" s="56" t="str">
        <f t="shared" si="26"/>
        <v/>
      </c>
      <c r="I199" s="57" t="str">
        <f t="shared" si="27"/>
        <v/>
      </c>
      <c r="J199" s="58" t="str">
        <f t="shared" si="28"/>
        <v/>
      </c>
      <c r="L199" s="31" t="str">
        <f t="shared" si="29"/>
        <v/>
      </c>
      <c r="M199" s="32" t="str">
        <f t="shared" si="34"/>
        <v/>
      </c>
      <c r="N199" s="32" t="str">
        <f t="shared" si="30"/>
        <v/>
      </c>
      <c r="O199" s="32" t="str">
        <f t="shared" si="31"/>
        <v/>
      </c>
      <c r="P199" s="32" t="str">
        <f t="shared" si="35"/>
        <v/>
      </c>
      <c r="Q199" s="33" t="str">
        <f t="shared" si="35"/>
        <v/>
      </c>
    </row>
    <row r="200" spans="2:17" x14ac:dyDescent="0.25">
      <c r="B200" s="9">
        <v>187</v>
      </c>
      <c r="C200" s="35"/>
      <c r="D200" s="2"/>
      <c r="E200" s="9" t="str">
        <f t="shared" si="24"/>
        <v/>
      </c>
      <c r="F200" s="54" t="str">
        <f t="shared" si="33"/>
        <v/>
      </c>
      <c r="G200" s="73" t="str">
        <f t="shared" si="25"/>
        <v/>
      </c>
      <c r="H200" s="56" t="str">
        <f t="shared" si="26"/>
        <v/>
      </c>
      <c r="I200" s="57" t="str">
        <f t="shared" si="27"/>
        <v/>
      </c>
      <c r="J200" s="58" t="str">
        <f t="shared" si="28"/>
        <v/>
      </c>
      <c r="L200" s="31" t="str">
        <f t="shared" si="29"/>
        <v/>
      </c>
      <c r="M200" s="32" t="str">
        <f t="shared" si="34"/>
        <v/>
      </c>
      <c r="N200" s="32" t="str">
        <f t="shared" si="30"/>
        <v/>
      </c>
      <c r="O200" s="32" t="str">
        <f t="shared" si="31"/>
        <v/>
      </c>
      <c r="P200" s="32" t="str">
        <f t="shared" si="35"/>
        <v/>
      </c>
      <c r="Q200" s="33" t="str">
        <f t="shared" si="35"/>
        <v/>
      </c>
    </row>
    <row r="201" spans="2:17" x14ac:dyDescent="0.25">
      <c r="B201" s="9">
        <v>188</v>
      </c>
      <c r="C201" s="35"/>
      <c r="D201" s="2"/>
      <c r="E201" s="9" t="str">
        <f t="shared" si="24"/>
        <v/>
      </c>
      <c r="F201" s="54" t="str">
        <f t="shared" si="33"/>
        <v/>
      </c>
      <c r="G201" s="73" t="str">
        <f t="shared" si="25"/>
        <v/>
      </c>
      <c r="H201" s="56" t="str">
        <f t="shared" si="26"/>
        <v/>
      </c>
      <c r="I201" s="57" t="str">
        <f t="shared" si="27"/>
        <v/>
      </c>
      <c r="J201" s="58" t="str">
        <f t="shared" si="28"/>
        <v/>
      </c>
      <c r="L201" s="31" t="str">
        <f t="shared" si="29"/>
        <v/>
      </c>
      <c r="M201" s="32" t="str">
        <f t="shared" si="34"/>
        <v/>
      </c>
      <c r="N201" s="32" t="str">
        <f t="shared" si="30"/>
        <v/>
      </c>
      <c r="O201" s="32" t="str">
        <f t="shared" si="31"/>
        <v/>
      </c>
      <c r="P201" s="32" t="str">
        <f t="shared" si="35"/>
        <v/>
      </c>
      <c r="Q201" s="33" t="str">
        <f t="shared" si="35"/>
        <v/>
      </c>
    </row>
    <row r="202" spans="2:17" x14ac:dyDescent="0.25">
      <c r="B202" s="9">
        <v>189</v>
      </c>
      <c r="C202" s="35"/>
      <c r="D202" s="2"/>
      <c r="E202" s="9" t="str">
        <f t="shared" si="24"/>
        <v/>
      </c>
      <c r="F202" s="54" t="str">
        <f t="shared" si="33"/>
        <v/>
      </c>
      <c r="G202" s="73" t="str">
        <f t="shared" si="25"/>
        <v/>
      </c>
      <c r="H202" s="56" t="str">
        <f t="shared" si="26"/>
        <v/>
      </c>
      <c r="I202" s="57" t="str">
        <f t="shared" si="27"/>
        <v/>
      </c>
      <c r="J202" s="58" t="str">
        <f t="shared" si="28"/>
        <v/>
      </c>
      <c r="L202" s="31" t="str">
        <f t="shared" si="29"/>
        <v/>
      </c>
      <c r="M202" s="32" t="str">
        <f t="shared" si="34"/>
        <v/>
      </c>
      <c r="N202" s="32" t="str">
        <f t="shared" si="30"/>
        <v/>
      </c>
      <c r="O202" s="32" t="str">
        <f t="shared" si="31"/>
        <v/>
      </c>
      <c r="P202" s="32" t="str">
        <f t="shared" si="35"/>
        <v/>
      </c>
      <c r="Q202" s="33" t="str">
        <f t="shared" si="35"/>
        <v/>
      </c>
    </row>
    <row r="203" spans="2:17" ht="13.8" thickBot="1" x14ac:dyDescent="0.3">
      <c r="B203" s="10">
        <v>190</v>
      </c>
      <c r="C203" s="36"/>
      <c r="D203" s="2"/>
      <c r="E203" s="10" t="str">
        <f t="shared" si="24"/>
        <v/>
      </c>
      <c r="F203" s="26" t="str">
        <f t="shared" si="33"/>
        <v/>
      </c>
      <c r="G203" s="74" t="str">
        <f t="shared" si="25"/>
        <v/>
      </c>
      <c r="H203" s="60" t="str">
        <f t="shared" si="26"/>
        <v/>
      </c>
      <c r="I203" s="61" t="str">
        <f t="shared" si="27"/>
        <v/>
      </c>
      <c r="J203" s="62" t="str">
        <f t="shared" si="28"/>
        <v/>
      </c>
      <c r="L203" s="65" t="str">
        <f t="shared" si="29"/>
        <v/>
      </c>
      <c r="M203" s="66" t="str">
        <f t="shared" si="34"/>
        <v/>
      </c>
      <c r="N203" s="66" t="str">
        <f t="shared" si="30"/>
        <v/>
      </c>
      <c r="O203" s="66" t="str">
        <f t="shared" si="31"/>
        <v/>
      </c>
      <c r="P203" s="66" t="str">
        <f t="shared" si="35"/>
        <v/>
      </c>
      <c r="Q203" s="67" t="str">
        <f t="shared" si="35"/>
        <v/>
      </c>
    </row>
    <row r="204" spans="2:17" ht="13.8" thickTop="1" x14ac:dyDescent="0.25">
      <c r="B204" s="2"/>
      <c r="C204" s="2"/>
      <c r="D204" s="2"/>
      <c r="E204" s="2"/>
      <c r="F204" s="2"/>
      <c r="G204" s="43"/>
      <c r="H204" s="2"/>
    </row>
    <row r="205" spans="2:17" x14ac:dyDescent="0.25">
      <c r="B205" s="2"/>
      <c r="C205" s="2"/>
      <c r="D205" s="2"/>
      <c r="E205" s="2"/>
      <c r="F205" s="2"/>
      <c r="G205" s="43"/>
      <c r="H205" s="2"/>
    </row>
    <row r="206" spans="2:17" x14ac:dyDescent="0.25">
      <c r="B206" s="2"/>
      <c r="C206" s="2"/>
      <c r="D206" s="2"/>
      <c r="E206" s="2"/>
      <c r="F206" s="2"/>
      <c r="G206" s="43"/>
      <c r="H206" s="2"/>
    </row>
    <row r="207" spans="2:17" x14ac:dyDescent="0.25">
      <c r="B207" s="2"/>
      <c r="C207" s="2"/>
      <c r="D207" s="2"/>
      <c r="E207" s="2"/>
      <c r="F207" s="2"/>
      <c r="G207" s="43"/>
      <c r="H207" s="2"/>
    </row>
  </sheetData>
  <mergeCells count="14">
    <mergeCell ref="E8:G8"/>
    <mergeCell ref="E9:G9"/>
    <mergeCell ref="U3:V3"/>
    <mergeCell ref="E4:G4"/>
    <mergeCell ref="B11:C11"/>
    <mergeCell ref="E11:J11"/>
    <mergeCell ref="B3:C3"/>
    <mergeCell ref="E3:H3"/>
    <mergeCell ref="J3:K3"/>
    <mergeCell ref="M3:R3"/>
    <mergeCell ref="L11:Q11"/>
    <mergeCell ref="E5:G5"/>
    <mergeCell ref="E6:G6"/>
    <mergeCell ref="E7:G7"/>
  </mergeCells>
  <pageMargins left="0.75" right="0.75" top="1" bottom="1" header="0.5" footer="0.5"/>
  <pageSetup paperSize="9" orientation="portrait" verticalDpi="0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35211-9228-40CC-ACA7-A93277A26DB7}">
  <sheetPr codeName="Blad22"/>
  <dimension ref="B1:AU207"/>
  <sheetViews>
    <sheetView topLeftCell="A16" workbookViewId="0">
      <selection activeCell="B1" sqref="B1"/>
    </sheetView>
  </sheetViews>
  <sheetFormatPr defaultRowHeight="13.2" x14ac:dyDescent="0.25"/>
  <cols>
    <col min="1" max="1" width="2" customWidth="1"/>
    <col min="4" max="4" width="4.5546875" customWidth="1"/>
    <col min="6" max="6" width="10.6640625" bestFit="1" customWidth="1"/>
    <col min="11" max="11" width="8.33203125" customWidth="1"/>
  </cols>
  <sheetData>
    <row r="1" spans="2:47" ht="12" customHeight="1" x14ac:dyDescent="0.25">
      <c r="B1" s="4"/>
      <c r="E1" s="2"/>
      <c r="F1" s="1"/>
      <c r="G1" s="2"/>
      <c r="H1" s="2"/>
      <c r="S1" t="str">
        <f>Invoer!L1</f>
        <v>versie 1.2 juli 2009</v>
      </c>
    </row>
    <row r="2" spans="2:47" ht="5.25" customHeight="1" thickBot="1" x14ac:dyDescent="0.3">
      <c r="B2" s="51"/>
      <c r="H2" s="2"/>
    </row>
    <row r="3" spans="2:47" ht="14.4" thickTop="1" thickBot="1" x14ac:dyDescent="0.3">
      <c r="B3" s="152" t="s">
        <v>22</v>
      </c>
      <c r="C3" s="154"/>
      <c r="E3" s="152" t="s">
        <v>15</v>
      </c>
      <c r="F3" s="153"/>
      <c r="G3" s="153"/>
      <c r="H3" s="154"/>
      <c r="J3" s="152" t="s">
        <v>20</v>
      </c>
      <c r="K3" s="160"/>
      <c r="M3" s="152" t="s">
        <v>31</v>
      </c>
      <c r="N3" s="153"/>
      <c r="O3" s="153"/>
      <c r="P3" s="153"/>
      <c r="Q3" s="161"/>
      <c r="R3" s="162"/>
      <c r="U3" s="152" t="s">
        <v>23</v>
      </c>
      <c r="V3" s="160"/>
    </row>
    <row r="4" spans="2:47" ht="16.2" thickTop="1" x14ac:dyDescent="0.35">
      <c r="B4" s="18" t="s">
        <v>12</v>
      </c>
      <c r="C4" s="83" t="s">
        <v>140</v>
      </c>
      <c r="E4" s="155" t="s">
        <v>35</v>
      </c>
      <c r="F4" s="146"/>
      <c r="G4" s="147"/>
      <c r="H4" s="38">
        <v>5</v>
      </c>
      <c r="J4" s="16" t="s">
        <v>11</v>
      </c>
      <c r="K4" s="20">
        <f>COUNT(G14:G203)</f>
        <v>13</v>
      </c>
      <c r="M4" s="6" t="s">
        <v>12</v>
      </c>
      <c r="N4" s="88" t="s">
        <v>54</v>
      </c>
      <c r="O4" s="15" t="s">
        <v>53</v>
      </c>
      <c r="P4" s="15" t="s">
        <v>29</v>
      </c>
      <c r="Q4" s="68" t="s">
        <v>45</v>
      </c>
      <c r="R4" s="20" t="s">
        <v>30</v>
      </c>
      <c r="U4" s="69" t="s">
        <v>7</v>
      </c>
      <c r="V4" s="21">
        <f>IF(C6="","",((H7/1000)^3-1.5*(H6/1000)^2*(H7/1000)+0.5*(H6/1000)^3)/(4*(C6/1000)*(C7/1000)^3))</f>
        <v>313.68107282331363</v>
      </c>
    </row>
    <row r="5" spans="2:47" ht="16.2" thickBot="1" x14ac:dyDescent="0.4">
      <c r="B5" s="19" t="s">
        <v>27</v>
      </c>
      <c r="C5" s="27">
        <v>1335.7</v>
      </c>
      <c r="D5" s="2"/>
      <c r="E5" s="145" t="s">
        <v>14</v>
      </c>
      <c r="F5" s="148"/>
      <c r="G5" s="147"/>
      <c r="H5" s="28">
        <v>1</v>
      </c>
      <c r="J5" s="17" t="s">
        <v>18</v>
      </c>
      <c r="K5" s="21">
        <f>IF(I15="","",ROUND(AVERAGE(I15:I16),0))</f>
        <v>3599</v>
      </c>
      <c r="M5" s="13"/>
      <c r="N5" s="12" t="s">
        <v>48</v>
      </c>
      <c r="O5" s="14" t="s">
        <v>1</v>
      </c>
      <c r="P5" s="14" t="s">
        <v>1</v>
      </c>
      <c r="Q5" s="68" t="s">
        <v>46</v>
      </c>
      <c r="R5" s="22" t="s">
        <v>10</v>
      </c>
      <c r="U5" s="69" t="s">
        <v>8</v>
      </c>
      <c r="V5" s="87">
        <f>0.573*C5/1000+0.872*H8/1000</f>
        <v>2.2477561000000001</v>
      </c>
    </row>
    <row r="6" spans="2:47" ht="14.4" thickTop="1" thickBot="1" x14ac:dyDescent="0.3">
      <c r="B6" s="19" t="s">
        <v>5</v>
      </c>
      <c r="C6" s="27">
        <v>50.1</v>
      </c>
      <c r="D6" s="2"/>
      <c r="E6" s="145" t="s">
        <v>26</v>
      </c>
      <c r="F6" s="146"/>
      <c r="G6" s="147"/>
      <c r="H6" s="28">
        <v>0</v>
      </c>
      <c r="J6" s="17" t="s">
        <v>44</v>
      </c>
      <c r="K6" s="21">
        <f>IF(J15="","",ROUND(AVERAGE(J15:J16),0))</f>
        <v>16</v>
      </c>
      <c r="M6" s="16"/>
      <c r="N6" s="45"/>
      <c r="O6" s="45"/>
      <c r="P6" s="45"/>
      <c r="Q6" s="15"/>
      <c r="R6" s="39"/>
      <c r="U6" s="13" t="s">
        <v>57</v>
      </c>
      <c r="V6" s="98">
        <f ca="1">IF(K5="","",(OFFSET(H14,K4-1,1)+OFFSET(H14,K4-1,1))/2)</f>
        <v>136</v>
      </c>
      <c r="AB6" t="s">
        <v>84</v>
      </c>
    </row>
    <row r="7" spans="2:47" ht="16.8" thickTop="1" thickBot="1" x14ac:dyDescent="0.4">
      <c r="B7" s="19" t="s">
        <v>6</v>
      </c>
      <c r="C7" s="27">
        <v>50.3</v>
      </c>
      <c r="D7" s="2"/>
      <c r="E7" s="145" t="s">
        <v>25</v>
      </c>
      <c r="F7" s="146"/>
      <c r="G7" s="147"/>
      <c r="H7" s="28">
        <v>200</v>
      </c>
      <c r="J7" s="17" t="s">
        <v>19</v>
      </c>
      <c r="K7" s="21">
        <f ca="1">IF(K5="n/b","",OFFSET(B14,K4-1,1))</f>
        <v>150</v>
      </c>
      <c r="M7" s="13" t="str">
        <f>IF(C4="","",C4)</f>
        <v>8V</v>
      </c>
      <c r="N7" s="42">
        <f ca="1">IF(K8="","",K$8)</f>
        <v>4.3649090909090908</v>
      </c>
      <c r="O7" s="42">
        <f ca="1">K9</f>
        <v>2.2544999999999997</v>
      </c>
      <c r="P7" s="46">
        <f>K5</f>
        <v>3599</v>
      </c>
      <c r="Q7" s="46">
        <f>K6</f>
        <v>16</v>
      </c>
      <c r="R7" s="50">
        <f ca="1">K7</f>
        <v>150</v>
      </c>
      <c r="AB7" t="s">
        <v>85</v>
      </c>
    </row>
    <row r="8" spans="2:47" ht="16.8" thickTop="1" thickBot="1" x14ac:dyDescent="0.4">
      <c r="B8" s="37" t="s">
        <v>51</v>
      </c>
      <c r="C8" s="82"/>
      <c r="D8" s="2"/>
      <c r="E8" s="145" t="s">
        <v>28</v>
      </c>
      <c r="F8" s="148"/>
      <c r="G8" s="146"/>
      <c r="H8" s="28">
        <v>1700</v>
      </c>
      <c r="J8" s="17" t="s">
        <v>49</v>
      </c>
      <c r="K8" s="87">
        <f ca="1">IF(G14="","",AVERAGE(G15:OFFSET(F14,MATCH(K7,C14:C200)-2,1)))</f>
        <v>4.3649090909090908</v>
      </c>
      <c r="L8" s="135"/>
      <c r="AB8" t="s">
        <v>144</v>
      </c>
    </row>
    <row r="9" spans="2:47" ht="16.8" thickTop="1" thickBot="1" x14ac:dyDescent="0.4">
      <c r="B9" s="23" t="s">
        <v>50</v>
      </c>
      <c r="C9" s="24">
        <f>IF(C7="","",1.5*H7*(C8-H9)/(C6*C7^2))</f>
        <v>-0.11833618472259502</v>
      </c>
      <c r="D9" s="2"/>
      <c r="E9" s="149" t="s">
        <v>55</v>
      </c>
      <c r="F9" s="150"/>
      <c r="G9" s="151"/>
      <c r="H9" s="29">
        <v>50</v>
      </c>
      <c r="J9" s="23" t="s">
        <v>52</v>
      </c>
      <c r="K9" s="24">
        <f ca="1">IF(H14="","",AVERAGE(H15:OFFSET(H14,MATCH(K7,C14:C200)-1,0)))</f>
        <v>2.2544999999999997</v>
      </c>
      <c r="L9" s="135"/>
      <c r="AB9" t="s">
        <v>145</v>
      </c>
    </row>
    <row r="10" spans="2:47" ht="6.75" customHeight="1" thickTop="1" thickBot="1" x14ac:dyDescent="0.3">
      <c r="B10" s="5"/>
      <c r="C10" s="5"/>
      <c r="D10" s="2"/>
      <c r="E10" s="2"/>
      <c r="F10" s="2"/>
      <c r="G10" s="2"/>
      <c r="H10" s="2"/>
      <c r="AB10" t="s">
        <v>134</v>
      </c>
    </row>
    <row r="11" spans="2:47" ht="14.4" thickTop="1" thickBot="1" x14ac:dyDescent="0.3">
      <c r="B11" s="163" t="s">
        <v>13</v>
      </c>
      <c r="C11" s="164"/>
      <c r="D11" s="2"/>
      <c r="E11" s="152" t="s">
        <v>16</v>
      </c>
      <c r="F11" s="165"/>
      <c r="G11" s="165"/>
      <c r="H11" s="161"/>
      <c r="I11" s="161"/>
      <c r="J11" s="162"/>
      <c r="L11" s="152" t="s">
        <v>17</v>
      </c>
      <c r="M11" s="153"/>
      <c r="N11" s="153"/>
      <c r="O11" s="153"/>
      <c r="P11" s="153"/>
      <c r="Q11" s="154"/>
      <c r="AB11" t="s">
        <v>146</v>
      </c>
    </row>
    <row r="12" spans="2:47" ht="16.2" thickTop="1" x14ac:dyDescent="0.35">
      <c r="B12" s="6"/>
      <c r="C12" s="8" t="s">
        <v>9</v>
      </c>
      <c r="D12" s="3"/>
      <c r="E12" s="52" t="s">
        <v>80</v>
      </c>
      <c r="F12" s="53" t="s">
        <v>36</v>
      </c>
      <c r="G12" s="53" t="s">
        <v>81</v>
      </c>
      <c r="H12" s="55" t="s">
        <v>37</v>
      </c>
      <c r="I12" s="7" t="s">
        <v>0</v>
      </c>
      <c r="J12" s="8" t="s">
        <v>2</v>
      </c>
      <c r="K12" s="138"/>
      <c r="L12" s="7" t="s">
        <v>38</v>
      </c>
      <c r="M12" s="25" t="s">
        <v>82</v>
      </c>
      <c r="N12" s="25" t="s">
        <v>39</v>
      </c>
      <c r="O12" s="25" t="s">
        <v>43</v>
      </c>
      <c r="P12" s="25" t="s">
        <v>24</v>
      </c>
      <c r="Q12" s="8" t="s">
        <v>21</v>
      </c>
    </row>
    <row r="13" spans="2:47" ht="13.8" thickBot="1" x14ac:dyDescent="0.3">
      <c r="B13" s="13"/>
      <c r="C13" s="11" t="s">
        <v>10</v>
      </c>
      <c r="D13" s="3"/>
      <c r="E13" s="10" t="s">
        <v>4</v>
      </c>
      <c r="F13" s="26" t="s">
        <v>4</v>
      </c>
      <c r="G13" s="26" t="s">
        <v>1</v>
      </c>
      <c r="H13" s="63" t="s">
        <v>1</v>
      </c>
      <c r="I13" s="10" t="s">
        <v>1</v>
      </c>
      <c r="J13" s="11" t="s">
        <v>3</v>
      </c>
      <c r="K13" s="136"/>
      <c r="L13" s="10" t="s">
        <v>40</v>
      </c>
      <c r="M13" s="26" t="s">
        <v>40</v>
      </c>
      <c r="N13" s="26" t="s">
        <v>41</v>
      </c>
      <c r="O13" s="26" t="s">
        <v>41</v>
      </c>
      <c r="P13" s="26" t="s">
        <v>42</v>
      </c>
      <c r="Q13" s="11" t="s">
        <v>42</v>
      </c>
    </row>
    <row r="14" spans="2:47" ht="13.8" thickTop="1" x14ac:dyDescent="0.25">
      <c r="B14" s="7">
        <v>1</v>
      </c>
      <c r="C14" s="34">
        <v>0</v>
      </c>
      <c r="D14" s="3"/>
      <c r="E14" s="9">
        <f t="shared" ref="E14:E77" si="0">IF(L14="","",ROUND(12*C$7/(2*H$7^2+2*H$6*H$7-H$6^2)*L14*1000000,0))</f>
        <v>1803</v>
      </c>
      <c r="F14" s="54">
        <f>IF(L14="","",ABS(ROUND(12*C$7/(2*(H$7/1000)^2+2*(H$6/1000)*(H$7/1000)-(H$6/1000)^2)*(M14-M$14)*1,0)))</f>
        <v>0</v>
      </c>
      <c r="G14" s="73">
        <f t="shared" ref="G14:G77" si="1">IF(L14="","",ROUND(1.5*((N14-O14)*1000*H$7)/(C$6*C$7^2),3))</f>
        <v>4.21</v>
      </c>
      <c r="H14" s="56">
        <f t="shared" ref="H14:H77" si="2">IF(L14="","",ROUND(1.5*((N14/2-O14)*1000*H$7)/(C$6*C$7^2),3))</f>
        <v>2.1619999999999999</v>
      </c>
      <c r="I14" s="57">
        <f t="shared" ref="I14:I77" si="3">IF(L14="","",IF(P14&lt;=0,"foute meting",ROUND(0.000001*V$4*SQRT((1000000*Q14)^2+(1000000*P14+V$5*(2*PI()*H$5)^2)^2),0)))</f>
        <v>3774</v>
      </c>
      <c r="J14" s="58">
        <f t="shared" ref="J14:J77" si="4">IF(L14="","",ROUND(ATAN(Q14/P14)/PI()*180,1))</f>
        <v>7</v>
      </c>
      <c r="L14" s="31">
        <f t="shared" ref="L14:L77" si="5">IF(AG16&lt;=0,"",AG16)</f>
        <v>0.23899999999999999</v>
      </c>
      <c r="M14" s="30">
        <f>IF(AG16="","",AG16/2-AE16)</f>
        <v>0.11549999999999999</v>
      </c>
      <c r="N14" s="30">
        <f t="shared" ref="N14:N77" si="6">IF(AI16="","",AI16)</f>
        <v>1.7310000000000001</v>
      </c>
      <c r="O14" s="30">
        <f t="shared" ref="O14:O77" si="7">IF(AH16="","",AH16)</f>
        <v>-4.8000000000000001E-2</v>
      </c>
      <c r="P14" s="30">
        <f t="shared" ref="P14:Q45" si="8">IF(AJ16="","",AJ16)</f>
        <v>11.941000000000001</v>
      </c>
      <c r="Q14" s="59">
        <f t="shared" si="8"/>
        <v>1.458</v>
      </c>
      <c r="AB14" t="s">
        <v>86</v>
      </c>
      <c r="AC14" t="s">
        <v>87</v>
      </c>
      <c r="AD14" t="s">
        <v>88</v>
      </c>
      <c r="AE14" t="s">
        <v>89</v>
      </c>
      <c r="AF14" t="s">
        <v>90</v>
      </c>
      <c r="AG14" t="s">
        <v>91</v>
      </c>
      <c r="AH14" t="s">
        <v>113</v>
      </c>
      <c r="AI14" t="s">
        <v>114</v>
      </c>
      <c r="AJ14" t="s">
        <v>92</v>
      </c>
      <c r="AK14" t="s">
        <v>93</v>
      </c>
      <c r="AL14" t="s">
        <v>94</v>
      </c>
      <c r="AM14" t="s">
        <v>95</v>
      </c>
      <c r="AN14" t="s">
        <v>96</v>
      </c>
      <c r="AO14" t="s">
        <v>97</v>
      </c>
      <c r="AP14" t="s">
        <v>98</v>
      </c>
      <c r="AQ14" t="s">
        <v>99</v>
      </c>
      <c r="AR14" t="s">
        <v>100</v>
      </c>
      <c r="AS14" t="s">
        <v>101</v>
      </c>
      <c r="AT14" t="s">
        <v>102</v>
      </c>
      <c r="AU14" t="s">
        <v>103</v>
      </c>
    </row>
    <row r="15" spans="2:47" x14ac:dyDescent="0.25">
      <c r="B15" s="9">
        <v>2</v>
      </c>
      <c r="C15" s="35">
        <v>10</v>
      </c>
      <c r="D15" s="3"/>
      <c r="E15" s="9">
        <f t="shared" si="0"/>
        <v>1426</v>
      </c>
      <c r="F15" s="54">
        <f t="shared" ref="F15:F78" si="9">IF(L15="","",ABS(ROUND(12*C$7/(2*(H$7/1000)^2+2*(H$6/1000)*(H$7/1000)-(H$6/1000)^2)*(M15-M$14)*1,0)))</f>
        <v>1094</v>
      </c>
      <c r="G15" s="73">
        <f t="shared" si="1"/>
        <v>4.3239999999999998</v>
      </c>
      <c r="H15" s="56">
        <f t="shared" si="2"/>
        <v>2.2599999999999998</v>
      </c>
      <c r="I15" s="57">
        <f t="shared" si="3"/>
        <v>3625</v>
      </c>
      <c r="J15" s="58">
        <f t="shared" si="4"/>
        <v>16.2</v>
      </c>
      <c r="L15" s="31">
        <f t="shared" si="5"/>
        <v>0.189</v>
      </c>
      <c r="M15" s="32">
        <f t="shared" ref="M15:M78" si="10">IF(AG17="","",AG17/2-AE17)</f>
        <v>0.26050000000000001</v>
      </c>
      <c r="N15" s="32">
        <f t="shared" si="6"/>
        <v>1.744</v>
      </c>
      <c r="O15" s="32">
        <f t="shared" si="7"/>
        <v>-8.3000000000000004E-2</v>
      </c>
      <c r="P15" s="32">
        <f t="shared" si="8"/>
        <v>11.096</v>
      </c>
      <c r="Q15" s="33">
        <f t="shared" si="8"/>
        <v>3.2280000000000002</v>
      </c>
      <c r="AE15" t="s">
        <v>104</v>
      </c>
      <c r="AF15" t="s">
        <v>104</v>
      </c>
      <c r="AG15" t="s">
        <v>104</v>
      </c>
      <c r="AH15" t="s">
        <v>105</v>
      </c>
      <c r="AI15" t="s">
        <v>105</v>
      </c>
      <c r="AJ15" t="s">
        <v>106</v>
      </c>
      <c r="AK15" t="s">
        <v>106</v>
      </c>
      <c r="AL15" t="s">
        <v>107</v>
      </c>
      <c r="AN15" t="s">
        <v>106</v>
      </c>
      <c r="AO15" t="s">
        <v>106</v>
      </c>
      <c r="AP15" t="s">
        <v>108</v>
      </c>
      <c r="AQ15" t="s">
        <v>107</v>
      </c>
      <c r="AS15" t="s">
        <v>109</v>
      </c>
      <c r="AT15" t="s">
        <v>107</v>
      </c>
    </row>
    <row r="16" spans="2:47" x14ac:dyDescent="0.25">
      <c r="B16" s="9">
        <v>3</v>
      </c>
      <c r="C16" s="35">
        <v>20</v>
      </c>
      <c r="D16" s="3"/>
      <c r="E16" s="9">
        <f t="shared" si="0"/>
        <v>1381</v>
      </c>
      <c r="F16" s="54">
        <f t="shared" si="9"/>
        <v>1713</v>
      </c>
      <c r="G16" s="73">
        <f t="shared" si="1"/>
        <v>4.3550000000000004</v>
      </c>
      <c r="H16" s="56">
        <f t="shared" si="2"/>
        <v>2.2629999999999999</v>
      </c>
      <c r="I16" s="57">
        <f t="shared" si="3"/>
        <v>3573</v>
      </c>
      <c r="J16" s="58">
        <f t="shared" si="4"/>
        <v>15.7</v>
      </c>
      <c r="L16" s="31">
        <f t="shared" si="5"/>
        <v>0.183</v>
      </c>
      <c r="M16" s="32">
        <f t="shared" si="10"/>
        <v>0.34250000000000003</v>
      </c>
      <c r="N16" s="32">
        <f t="shared" si="6"/>
        <v>1.768</v>
      </c>
      <c r="O16" s="32">
        <f t="shared" si="7"/>
        <v>-7.1999999999999995E-2</v>
      </c>
      <c r="P16" s="32">
        <f t="shared" si="8"/>
        <v>10.965999999999999</v>
      </c>
      <c r="Q16" s="33">
        <f t="shared" si="8"/>
        <v>3.085</v>
      </c>
      <c r="AB16">
        <v>2</v>
      </c>
      <c r="AC16">
        <v>4</v>
      </c>
      <c r="AD16">
        <v>1</v>
      </c>
      <c r="AE16">
        <v>4.0000000000000001E-3</v>
      </c>
      <c r="AF16">
        <v>-0.23400000000000001</v>
      </c>
      <c r="AG16">
        <v>0.23899999999999999</v>
      </c>
      <c r="AH16">
        <v>-4.8000000000000001E-2</v>
      </c>
      <c r="AI16">
        <v>1.7310000000000001</v>
      </c>
      <c r="AJ16">
        <v>11.941000000000001</v>
      </c>
      <c r="AK16">
        <v>1.458</v>
      </c>
      <c r="AL16">
        <v>6.8289999999999997</v>
      </c>
      <c r="AM16">
        <v>0.12</v>
      </c>
      <c r="AN16">
        <v>12.051</v>
      </c>
      <c r="AO16">
        <v>10.926</v>
      </c>
      <c r="AP16">
        <v>2.4E-2</v>
      </c>
      <c r="AQ16">
        <v>6.7750000000000004</v>
      </c>
      <c r="AR16">
        <v>0.11899999999999999</v>
      </c>
      <c r="AS16">
        <v>1</v>
      </c>
      <c r="AT16">
        <v>0</v>
      </c>
      <c r="AU16">
        <v>64</v>
      </c>
    </row>
    <row r="17" spans="2:47" x14ac:dyDescent="0.25">
      <c r="B17" s="9">
        <v>4</v>
      </c>
      <c r="C17" s="35">
        <v>30</v>
      </c>
      <c r="D17" s="3"/>
      <c r="E17" s="9">
        <f t="shared" si="0"/>
        <v>1418</v>
      </c>
      <c r="F17" s="54">
        <f t="shared" si="9"/>
        <v>2260</v>
      </c>
      <c r="G17" s="73">
        <f t="shared" si="1"/>
        <v>4.3639999999999999</v>
      </c>
      <c r="H17" s="56">
        <f t="shared" si="2"/>
        <v>2.2570000000000001</v>
      </c>
      <c r="I17" s="57">
        <f t="shared" si="3"/>
        <v>3517</v>
      </c>
      <c r="J17" s="58">
        <f t="shared" si="4"/>
        <v>16</v>
      </c>
      <c r="L17" s="31">
        <f t="shared" si="5"/>
        <v>0.188</v>
      </c>
      <c r="M17" s="32">
        <f t="shared" si="10"/>
        <v>0.41500000000000004</v>
      </c>
      <c r="N17" s="32">
        <f t="shared" si="6"/>
        <v>1.7809999999999999</v>
      </c>
      <c r="O17" s="32">
        <f t="shared" si="7"/>
        <v>-6.3E-2</v>
      </c>
      <c r="P17" s="32">
        <f t="shared" si="8"/>
        <v>10.78</v>
      </c>
      <c r="Q17" s="33">
        <f t="shared" si="8"/>
        <v>3.0870000000000002</v>
      </c>
      <c r="AB17">
        <v>2</v>
      </c>
      <c r="AC17">
        <v>4</v>
      </c>
      <c r="AD17">
        <v>2</v>
      </c>
      <c r="AE17">
        <v>-0.16600000000000001</v>
      </c>
      <c r="AF17">
        <v>-0.35499999999999998</v>
      </c>
      <c r="AG17">
        <v>0.189</v>
      </c>
      <c r="AH17">
        <v>-8.3000000000000004E-2</v>
      </c>
      <c r="AI17">
        <v>1.744</v>
      </c>
      <c r="AJ17">
        <v>11.096</v>
      </c>
      <c r="AK17">
        <v>3.2280000000000002</v>
      </c>
      <c r="AL17">
        <v>16.22</v>
      </c>
      <c r="AM17">
        <v>0.29099999999999998</v>
      </c>
      <c r="AN17">
        <v>11.555999999999999</v>
      </c>
      <c r="AO17">
        <v>10.907999999999999</v>
      </c>
      <c r="AP17">
        <v>5.7000000000000002E-2</v>
      </c>
      <c r="AQ17">
        <v>15.255000000000001</v>
      </c>
      <c r="AR17">
        <v>0.27300000000000002</v>
      </c>
      <c r="AS17">
        <v>1</v>
      </c>
      <c r="AT17">
        <v>0</v>
      </c>
      <c r="AU17">
        <v>64</v>
      </c>
    </row>
    <row r="18" spans="2:47" x14ac:dyDescent="0.25">
      <c r="B18" s="9">
        <v>5</v>
      </c>
      <c r="C18" s="35">
        <v>40</v>
      </c>
      <c r="D18" s="3"/>
      <c r="E18" s="9">
        <f t="shared" si="0"/>
        <v>1426</v>
      </c>
      <c r="F18" s="54">
        <f t="shared" si="9"/>
        <v>2761</v>
      </c>
      <c r="G18" s="73">
        <f t="shared" si="1"/>
        <v>4.3689999999999998</v>
      </c>
      <c r="H18" s="56">
        <f t="shared" si="2"/>
        <v>2.2530000000000001</v>
      </c>
      <c r="I18" s="57">
        <f t="shared" si="3"/>
        <v>3473</v>
      </c>
      <c r="J18" s="58">
        <f t="shared" si="4"/>
        <v>15.9</v>
      </c>
      <c r="L18" s="31">
        <f t="shared" si="5"/>
        <v>0.189</v>
      </c>
      <c r="M18" s="32">
        <f t="shared" si="10"/>
        <v>0.48150000000000004</v>
      </c>
      <c r="N18" s="32">
        <f t="shared" si="6"/>
        <v>1.788</v>
      </c>
      <c r="O18" s="32">
        <f t="shared" si="7"/>
        <v>-5.8000000000000003E-2</v>
      </c>
      <c r="P18" s="32">
        <f t="shared" si="8"/>
        <v>10.648</v>
      </c>
      <c r="Q18" s="33">
        <f t="shared" si="8"/>
        <v>3.0379999999999998</v>
      </c>
      <c r="AB18">
        <v>2</v>
      </c>
      <c r="AC18">
        <v>4</v>
      </c>
      <c r="AD18">
        <v>3</v>
      </c>
      <c r="AE18">
        <v>-0.251</v>
      </c>
      <c r="AF18">
        <v>-0.434</v>
      </c>
      <c r="AG18">
        <v>0.183</v>
      </c>
      <c r="AH18">
        <v>-7.1999999999999995E-2</v>
      </c>
      <c r="AI18">
        <v>1.768</v>
      </c>
      <c r="AJ18">
        <v>10.965999999999999</v>
      </c>
      <c r="AK18">
        <v>3.085</v>
      </c>
      <c r="AL18">
        <v>15.712</v>
      </c>
      <c r="AM18">
        <v>0.28100000000000003</v>
      </c>
      <c r="AN18">
        <v>11.391999999999999</v>
      </c>
      <c r="AO18">
        <v>10.789</v>
      </c>
      <c r="AP18">
        <v>5.8000000000000003E-2</v>
      </c>
      <c r="AQ18">
        <v>14.847</v>
      </c>
      <c r="AR18">
        <v>0.26500000000000001</v>
      </c>
      <c r="AS18">
        <v>1</v>
      </c>
      <c r="AT18">
        <v>0</v>
      </c>
      <c r="AU18">
        <v>64</v>
      </c>
    </row>
    <row r="19" spans="2:47" x14ac:dyDescent="0.25">
      <c r="B19" s="9">
        <v>6</v>
      </c>
      <c r="C19" s="35">
        <v>50</v>
      </c>
      <c r="D19" s="3"/>
      <c r="E19" s="9">
        <f t="shared" si="0"/>
        <v>1456</v>
      </c>
      <c r="F19" s="54">
        <f t="shared" si="9"/>
        <v>3252</v>
      </c>
      <c r="G19" s="73">
        <f t="shared" si="1"/>
        <v>4.3689999999999998</v>
      </c>
      <c r="H19" s="56">
        <f t="shared" si="2"/>
        <v>2.25</v>
      </c>
      <c r="I19" s="57">
        <f t="shared" si="3"/>
        <v>3415</v>
      </c>
      <c r="J19" s="58">
        <f t="shared" si="4"/>
        <v>16.399999999999999</v>
      </c>
      <c r="L19" s="31">
        <f t="shared" si="5"/>
        <v>0.193</v>
      </c>
      <c r="M19" s="32">
        <f t="shared" si="10"/>
        <v>0.54649999999999999</v>
      </c>
      <c r="N19" s="32">
        <f t="shared" si="6"/>
        <v>1.7909999999999999</v>
      </c>
      <c r="O19" s="32">
        <f t="shared" si="7"/>
        <v>-5.5E-2</v>
      </c>
      <c r="P19" s="32">
        <f t="shared" si="8"/>
        <v>10.445</v>
      </c>
      <c r="Q19" s="33">
        <f t="shared" si="8"/>
        <v>3.0720000000000001</v>
      </c>
      <c r="AB19">
        <v>2</v>
      </c>
      <c r="AC19">
        <v>4</v>
      </c>
      <c r="AD19">
        <v>4</v>
      </c>
      <c r="AE19">
        <v>-0.32100000000000001</v>
      </c>
      <c r="AF19">
        <v>-0.50800000000000001</v>
      </c>
      <c r="AG19">
        <v>0.188</v>
      </c>
      <c r="AH19">
        <v>-6.3E-2</v>
      </c>
      <c r="AI19">
        <v>1.7809999999999999</v>
      </c>
      <c r="AJ19">
        <v>10.78</v>
      </c>
      <c r="AK19">
        <v>3.0870000000000002</v>
      </c>
      <c r="AL19">
        <v>15.977</v>
      </c>
      <c r="AM19">
        <v>0.28599999999999998</v>
      </c>
      <c r="AN19">
        <v>11.214</v>
      </c>
      <c r="AO19">
        <v>10.582000000000001</v>
      </c>
      <c r="AP19">
        <v>6.0999999999999999E-2</v>
      </c>
      <c r="AQ19">
        <v>15.042999999999999</v>
      </c>
      <c r="AR19">
        <v>0.26900000000000002</v>
      </c>
      <c r="AS19">
        <v>1</v>
      </c>
      <c r="AT19">
        <v>0</v>
      </c>
      <c r="AU19">
        <v>64</v>
      </c>
    </row>
    <row r="20" spans="2:47" x14ac:dyDescent="0.25">
      <c r="B20" s="9">
        <v>7</v>
      </c>
      <c r="C20" s="35">
        <v>60</v>
      </c>
      <c r="D20" s="3"/>
      <c r="E20" s="9">
        <f t="shared" si="0"/>
        <v>1479</v>
      </c>
      <c r="F20" s="54">
        <f t="shared" si="9"/>
        <v>3731</v>
      </c>
      <c r="G20" s="73">
        <f t="shared" si="1"/>
        <v>4.3739999999999997</v>
      </c>
      <c r="H20" s="56">
        <f t="shared" si="2"/>
        <v>2.2509999999999999</v>
      </c>
      <c r="I20" s="57">
        <f t="shared" si="3"/>
        <v>3350</v>
      </c>
      <c r="J20" s="58">
        <f t="shared" si="4"/>
        <v>16.3</v>
      </c>
      <c r="L20" s="31">
        <f t="shared" si="5"/>
        <v>0.19600000000000001</v>
      </c>
      <c r="M20" s="32">
        <f t="shared" si="10"/>
        <v>0.61</v>
      </c>
      <c r="N20" s="32">
        <f t="shared" si="6"/>
        <v>1.794</v>
      </c>
      <c r="O20" s="32">
        <f t="shared" si="7"/>
        <v>-5.3999999999999999E-2</v>
      </c>
      <c r="P20" s="32">
        <f t="shared" si="8"/>
        <v>10.253</v>
      </c>
      <c r="Q20" s="33">
        <f t="shared" si="8"/>
        <v>2.9910000000000001</v>
      </c>
      <c r="AB20">
        <v>2</v>
      </c>
      <c r="AC20">
        <v>4</v>
      </c>
      <c r="AD20">
        <v>5</v>
      </c>
      <c r="AE20">
        <v>-0.38700000000000001</v>
      </c>
      <c r="AF20">
        <v>-0.57599999999999996</v>
      </c>
      <c r="AG20">
        <v>0.189</v>
      </c>
      <c r="AH20">
        <v>-5.8000000000000003E-2</v>
      </c>
      <c r="AI20">
        <v>1.788</v>
      </c>
      <c r="AJ20">
        <v>10.648</v>
      </c>
      <c r="AK20">
        <v>3.0379999999999998</v>
      </c>
      <c r="AL20">
        <v>15.925000000000001</v>
      </c>
      <c r="AM20">
        <v>0.28499999999999998</v>
      </c>
      <c r="AN20">
        <v>11.071999999999999</v>
      </c>
      <c r="AO20">
        <v>10.555999999999999</v>
      </c>
      <c r="AP20">
        <v>6.2E-2</v>
      </c>
      <c r="AQ20">
        <v>15.138</v>
      </c>
      <c r="AR20">
        <v>0.27100000000000002</v>
      </c>
      <c r="AS20">
        <v>1</v>
      </c>
      <c r="AT20">
        <v>0</v>
      </c>
      <c r="AU20">
        <v>64</v>
      </c>
    </row>
    <row r="21" spans="2:47" x14ac:dyDescent="0.25">
      <c r="B21" s="9">
        <v>8</v>
      </c>
      <c r="C21" s="35">
        <v>70</v>
      </c>
      <c r="D21" s="3"/>
      <c r="E21" s="9">
        <f t="shared" si="0"/>
        <v>1509</v>
      </c>
      <c r="F21" s="54">
        <f t="shared" si="9"/>
        <v>4259</v>
      </c>
      <c r="G21" s="73">
        <f t="shared" si="1"/>
        <v>4.3739999999999997</v>
      </c>
      <c r="H21" s="56">
        <f t="shared" si="2"/>
        <v>2.2469999999999999</v>
      </c>
      <c r="I21" s="57">
        <f t="shared" si="3"/>
        <v>3289</v>
      </c>
      <c r="J21" s="58">
        <f t="shared" si="4"/>
        <v>16.8</v>
      </c>
      <c r="L21" s="31">
        <f t="shared" si="5"/>
        <v>0.2</v>
      </c>
      <c r="M21" s="32">
        <f t="shared" si="10"/>
        <v>0.67999999999999994</v>
      </c>
      <c r="N21" s="32">
        <f t="shared" si="6"/>
        <v>1.7969999999999999</v>
      </c>
      <c r="O21" s="32">
        <f t="shared" si="7"/>
        <v>-5.0999999999999997E-2</v>
      </c>
      <c r="P21" s="32">
        <f t="shared" si="8"/>
        <v>10.039999999999999</v>
      </c>
      <c r="Q21" s="33">
        <f t="shared" si="8"/>
        <v>3.0230000000000001</v>
      </c>
      <c r="AB21">
        <v>2</v>
      </c>
      <c r="AC21">
        <v>4</v>
      </c>
      <c r="AD21">
        <v>6</v>
      </c>
      <c r="AE21">
        <v>-0.45</v>
      </c>
      <c r="AF21">
        <v>-0.64300000000000002</v>
      </c>
      <c r="AG21">
        <v>0.193</v>
      </c>
      <c r="AH21">
        <v>-5.5E-2</v>
      </c>
      <c r="AI21">
        <v>1.7909999999999999</v>
      </c>
      <c r="AJ21">
        <v>10.445</v>
      </c>
      <c r="AK21">
        <v>3.0720000000000001</v>
      </c>
      <c r="AL21">
        <v>16.388000000000002</v>
      </c>
      <c r="AM21">
        <v>0.29399999999999998</v>
      </c>
      <c r="AN21">
        <v>10.888</v>
      </c>
      <c r="AO21">
        <v>10.304</v>
      </c>
      <c r="AP21">
        <v>6.5000000000000002E-2</v>
      </c>
      <c r="AQ21">
        <v>15.441000000000001</v>
      </c>
      <c r="AR21">
        <v>0.27600000000000002</v>
      </c>
      <c r="AS21">
        <v>1</v>
      </c>
      <c r="AT21">
        <v>0</v>
      </c>
      <c r="AU21">
        <v>64</v>
      </c>
    </row>
    <row r="22" spans="2:47" x14ac:dyDescent="0.25">
      <c r="B22" s="9">
        <v>9</v>
      </c>
      <c r="C22" s="35">
        <v>80</v>
      </c>
      <c r="D22" s="3"/>
      <c r="E22" s="9">
        <f t="shared" si="0"/>
        <v>1554</v>
      </c>
      <c r="F22" s="54">
        <f t="shared" si="9"/>
        <v>4780</v>
      </c>
      <c r="G22" s="73">
        <f t="shared" si="1"/>
        <v>4.3710000000000004</v>
      </c>
      <c r="H22" s="56">
        <f t="shared" si="2"/>
        <v>2.2469999999999999</v>
      </c>
      <c r="I22" s="57">
        <f t="shared" si="3"/>
        <v>3208</v>
      </c>
      <c r="J22" s="58">
        <f t="shared" si="4"/>
        <v>17.3</v>
      </c>
      <c r="L22" s="31">
        <f t="shared" si="5"/>
        <v>0.20599999999999999</v>
      </c>
      <c r="M22" s="32">
        <f t="shared" si="10"/>
        <v>0.749</v>
      </c>
      <c r="N22" s="32">
        <f t="shared" si="6"/>
        <v>1.7949999999999999</v>
      </c>
      <c r="O22" s="32">
        <f t="shared" si="7"/>
        <v>-5.1999999999999998E-2</v>
      </c>
      <c r="P22" s="32">
        <f t="shared" si="8"/>
        <v>9.7620000000000005</v>
      </c>
      <c r="Q22" s="33">
        <f t="shared" si="8"/>
        <v>3.0470000000000002</v>
      </c>
      <c r="AB22">
        <v>2</v>
      </c>
      <c r="AC22">
        <v>4</v>
      </c>
      <c r="AD22">
        <v>7</v>
      </c>
      <c r="AE22">
        <v>-0.51200000000000001</v>
      </c>
      <c r="AF22">
        <v>-0.70799999999999996</v>
      </c>
      <c r="AG22">
        <v>0.19600000000000001</v>
      </c>
      <c r="AH22">
        <v>-5.3999999999999999E-2</v>
      </c>
      <c r="AI22">
        <v>1.794</v>
      </c>
      <c r="AJ22">
        <v>10.253</v>
      </c>
      <c r="AK22">
        <v>2.9910000000000001</v>
      </c>
      <c r="AL22">
        <v>16.260999999999999</v>
      </c>
      <c r="AM22">
        <v>0.29199999999999998</v>
      </c>
      <c r="AN22">
        <v>10.680999999999999</v>
      </c>
      <c r="AO22">
        <v>10.255000000000001</v>
      </c>
      <c r="AP22">
        <v>6.6000000000000003E-2</v>
      </c>
      <c r="AQ22">
        <v>15.558999999999999</v>
      </c>
      <c r="AR22">
        <v>0.27800000000000002</v>
      </c>
      <c r="AS22">
        <v>1</v>
      </c>
      <c r="AT22">
        <v>0</v>
      </c>
      <c r="AU22">
        <v>64</v>
      </c>
    </row>
    <row r="23" spans="2:47" x14ac:dyDescent="0.25">
      <c r="B23" s="9">
        <v>10</v>
      </c>
      <c r="C23" s="35">
        <v>90</v>
      </c>
      <c r="D23" s="3"/>
      <c r="E23" s="9">
        <f t="shared" si="0"/>
        <v>1600</v>
      </c>
      <c r="F23" s="54">
        <f t="shared" si="9"/>
        <v>5376</v>
      </c>
      <c r="G23" s="73">
        <f t="shared" si="1"/>
        <v>4.3710000000000004</v>
      </c>
      <c r="H23" s="56">
        <f t="shared" si="2"/>
        <v>2.246</v>
      </c>
      <c r="I23" s="57">
        <f t="shared" si="3"/>
        <v>3117</v>
      </c>
      <c r="J23" s="58">
        <f t="shared" si="4"/>
        <v>17.600000000000001</v>
      </c>
      <c r="L23" s="31">
        <f t="shared" si="5"/>
        <v>0.21199999999999999</v>
      </c>
      <c r="M23" s="32">
        <f t="shared" si="10"/>
        <v>0.82799999999999996</v>
      </c>
      <c r="N23" s="32">
        <f t="shared" si="6"/>
        <v>1.796</v>
      </c>
      <c r="O23" s="32">
        <f t="shared" si="7"/>
        <v>-5.0999999999999997E-2</v>
      </c>
      <c r="P23" s="32">
        <f t="shared" si="8"/>
        <v>9.4700000000000006</v>
      </c>
      <c r="Q23" s="33">
        <f t="shared" si="8"/>
        <v>3.01</v>
      </c>
      <c r="AB23">
        <v>2</v>
      </c>
      <c r="AC23">
        <v>4</v>
      </c>
      <c r="AD23">
        <v>8</v>
      </c>
      <c r="AE23">
        <v>-0.57999999999999996</v>
      </c>
      <c r="AF23">
        <v>-0.78</v>
      </c>
      <c r="AG23">
        <v>0.2</v>
      </c>
      <c r="AH23">
        <v>-5.0999999999999997E-2</v>
      </c>
      <c r="AI23">
        <v>1.7969999999999999</v>
      </c>
      <c r="AJ23">
        <v>10.039999999999999</v>
      </c>
      <c r="AK23">
        <v>3.0230000000000001</v>
      </c>
      <c r="AL23">
        <v>16.754999999999999</v>
      </c>
      <c r="AM23">
        <v>0.30099999999999999</v>
      </c>
      <c r="AN23">
        <v>10.484999999999999</v>
      </c>
      <c r="AO23">
        <v>10.029999999999999</v>
      </c>
      <c r="AP23">
        <v>6.9000000000000006E-2</v>
      </c>
      <c r="AQ23">
        <v>15.952</v>
      </c>
      <c r="AR23">
        <v>0.28599999999999998</v>
      </c>
      <c r="AS23">
        <v>1</v>
      </c>
      <c r="AT23">
        <v>0</v>
      </c>
      <c r="AU23">
        <v>64</v>
      </c>
    </row>
    <row r="24" spans="2:47" x14ac:dyDescent="0.25">
      <c r="B24" s="9">
        <v>11</v>
      </c>
      <c r="C24" s="35">
        <v>100</v>
      </c>
      <c r="D24" s="3"/>
      <c r="E24" s="9">
        <f t="shared" si="0"/>
        <v>1683</v>
      </c>
      <c r="F24" s="54">
        <f t="shared" si="9"/>
        <v>6036</v>
      </c>
      <c r="G24" s="73">
        <f t="shared" si="1"/>
        <v>4.3739999999999997</v>
      </c>
      <c r="H24" s="56">
        <f t="shared" si="2"/>
        <v>2.246</v>
      </c>
      <c r="I24" s="57">
        <f t="shared" si="3"/>
        <v>3005</v>
      </c>
      <c r="J24" s="58">
        <f t="shared" si="4"/>
        <v>18.5</v>
      </c>
      <c r="L24" s="31">
        <f t="shared" si="5"/>
        <v>0.223</v>
      </c>
      <c r="M24" s="32">
        <f t="shared" si="10"/>
        <v>0.91550000000000009</v>
      </c>
      <c r="N24" s="32">
        <f t="shared" si="6"/>
        <v>1.798</v>
      </c>
      <c r="O24" s="32">
        <f t="shared" si="7"/>
        <v>-0.05</v>
      </c>
      <c r="P24" s="32">
        <f t="shared" si="8"/>
        <v>9.0879999999999992</v>
      </c>
      <c r="Q24" s="33">
        <f t="shared" si="8"/>
        <v>3.0329999999999999</v>
      </c>
      <c r="AB24">
        <v>2</v>
      </c>
      <c r="AC24">
        <v>4</v>
      </c>
      <c r="AD24">
        <v>9</v>
      </c>
      <c r="AE24">
        <v>-0.64600000000000002</v>
      </c>
      <c r="AF24">
        <v>-0.85199999999999998</v>
      </c>
      <c r="AG24">
        <v>0.20599999999999999</v>
      </c>
      <c r="AH24">
        <v>-5.1999999999999998E-2</v>
      </c>
      <c r="AI24">
        <v>1.7949999999999999</v>
      </c>
      <c r="AJ24">
        <v>9.7620000000000005</v>
      </c>
      <c r="AK24">
        <v>3.0470000000000002</v>
      </c>
      <c r="AL24">
        <v>17.335999999999999</v>
      </c>
      <c r="AM24">
        <v>0.312</v>
      </c>
      <c r="AN24">
        <v>10.226000000000001</v>
      </c>
      <c r="AO24">
        <v>9.7490000000000006</v>
      </c>
      <c r="AP24">
        <v>7.2999999999999995E-2</v>
      </c>
      <c r="AQ24">
        <v>16.463000000000001</v>
      </c>
      <c r="AR24">
        <v>0.29599999999999999</v>
      </c>
      <c r="AS24">
        <v>1</v>
      </c>
      <c r="AT24">
        <v>0</v>
      </c>
      <c r="AU24">
        <v>64</v>
      </c>
    </row>
    <row r="25" spans="2:47" x14ac:dyDescent="0.25">
      <c r="B25" s="9">
        <v>12</v>
      </c>
      <c r="C25" s="35">
        <v>125</v>
      </c>
      <c r="D25" s="3"/>
      <c r="E25" s="9">
        <f t="shared" si="0"/>
        <v>2611</v>
      </c>
      <c r="F25" s="54">
        <f t="shared" si="9"/>
        <v>8847</v>
      </c>
      <c r="G25" s="73">
        <f t="shared" si="1"/>
        <v>4.3689999999999998</v>
      </c>
      <c r="H25" s="56">
        <f t="shared" si="2"/>
        <v>2.2480000000000002</v>
      </c>
      <c r="I25" s="57">
        <f t="shared" si="3"/>
        <v>2307</v>
      </c>
      <c r="J25" s="58">
        <f t="shared" si="4"/>
        <v>25.4</v>
      </c>
      <c r="L25" s="31">
        <f t="shared" si="5"/>
        <v>0.34599999999999997</v>
      </c>
      <c r="M25" s="32">
        <f t="shared" si="10"/>
        <v>1.288</v>
      </c>
      <c r="N25" s="32">
        <f t="shared" si="6"/>
        <v>1.792</v>
      </c>
      <c r="O25" s="32">
        <f t="shared" si="7"/>
        <v>-5.3999999999999999E-2</v>
      </c>
      <c r="P25" s="32">
        <f t="shared" si="8"/>
        <v>6.64</v>
      </c>
      <c r="Q25" s="33">
        <f t="shared" si="8"/>
        <v>3.1589999999999998</v>
      </c>
      <c r="AB25">
        <v>2</v>
      </c>
      <c r="AC25">
        <v>4</v>
      </c>
      <c r="AD25">
        <v>10</v>
      </c>
      <c r="AE25">
        <v>-0.72199999999999998</v>
      </c>
      <c r="AF25">
        <v>-0.93400000000000005</v>
      </c>
      <c r="AG25">
        <v>0.21199999999999999</v>
      </c>
      <c r="AH25">
        <v>-5.0999999999999997E-2</v>
      </c>
      <c r="AI25">
        <v>1.796</v>
      </c>
      <c r="AJ25">
        <v>9.4700000000000006</v>
      </c>
      <c r="AK25">
        <v>3.01</v>
      </c>
      <c r="AL25">
        <v>17.634</v>
      </c>
      <c r="AM25">
        <v>0.318</v>
      </c>
      <c r="AN25">
        <v>9.9369999999999994</v>
      </c>
      <c r="AO25">
        <v>9.48</v>
      </c>
      <c r="AP25">
        <v>7.6999999999999999E-2</v>
      </c>
      <c r="AQ25">
        <v>16.765000000000001</v>
      </c>
      <c r="AR25">
        <v>0.30099999999999999</v>
      </c>
      <c r="AS25">
        <v>1</v>
      </c>
      <c r="AT25">
        <v>0</v>
      </c>
      <c r="AU25">
        <v>64</v>
      </c>
    </row>
    <row r="26" spans="2:47" x14ac:dyDescent="0.25">
      <c r="B26" s="9">
        <v>13</v>
      </c>
      <c r="C26" s="35">
        <v>150</v>
      </c>
      <c r="D26" s="3"/>
      <c r="E26" s="9">
        <f t="shared" si="0"/>
        <v>31621</v>
      </c>
      <c r="F26" s="54">
        <f t="shared" si="9"/>
        <v>54611</v>
      </c>
      <c r="G26" s="73">
        <f t="shared" si="1"/>
        <v>4.3639999999999999</v>
      </c>
      <c r="H26" s="56">
        <f t="shared" si="2"/>
        <v>2.286</v>
      </c>
      <c r="I26" s="57">
        <f t="shared" si="3"/>
        <v>136</v>
      </c>
      <c r="J26" s="58">
        <f t="shared" si="4"/>
        <v>12.8</v>
      </c>
      <c r="L26" s="31">
        <f t="shared" si="5"/>
        <v>4.1909999999999998</v>
      </c>
      <c r="M26" s="32">
        <f t="shared" si="10"/>
        <v>7.3535000000000004</v>
      </c>
      <c r="N26" s="32">
        <f t="shared" si="6"/>
        <v>1.756</v>
      </c>
      <c r="O26" s="32">
        <f t="shared" si="7"/>
        <v>-8.7999999999999995E-2</v>
      </c>
      <c r="P26" s="32">
        <f t="shared" si="8"/>
        <v>0.42299999999999999</v>
      </c>
      <c r="Q26" s="33">
        <f t="shared" si="8"/>
        <v>9.6000000000000002E-2</v>
      </c>
      <c r="AB26">
        <v>2</v>
      </c>
      <c r="AC26">
        <v>4</v>
      </c>
      <c r="AD26">
        <v>11</v>
      </c>
      <c r="AE26">
        <v>-0.80400000000000005</v>
      </c>
      <c r="AF26">
        <v>-1.026</v>
      </c>
      <c r="AG26">
        <v>0.223</v>
      </c>
      <c r="AH26">
        <v>-0.05</v>
      </c>
      <c r="AI26">
        <v>1.798</v>
      </c>
      <c r="AJ26">
        <v>9.0879999999999992</v>
      </c>
      <c r="AK26">
        <v>3.0329999999999999</v>
      </c>
      <c r="AL26">
        <v>18.454999999999998</v>
      </c>
      <c r="AM26">
        <v>0.33400000000000002</v>
      </c>
      <c r="AN26">
        <v>9.5809999999999995</v>
      </c>
      <c r="AO26">
        <v>9.1910000000000007</v>
      </c>
      <c r="AP26">
        <v>8.3000000000000004E-2</v>
      </c>
      <c r="AQ26">
        <v>17.623999999999999</v>
      </c>
      <c r="AR26">
        <v>0.318</v>
      </c>
      <c r="AS26">
        <v>1</v>
      </c>
      <c r="AT26">
        <v>0</v>
      </c>
      <c r="AU26">
        <v>64</v>
      </c>
    </row>
    <row r="27" spans="2:47" x14ac:dyDescent="0.25">
      <c r="B27" s="9">
        <v>14</v>
      </c>
      <c r="C27" s="35">
        <v>175</v>
      </c>
      <c r="D27" s="3"/>
      <c r="E27" s="9" t="str">
        <f t="shared" si="0"/>
        <v/>
      </c>
      <c r="F27" s="54" t="str">
        <f t="shared" si="9"/>
        <v/>
      </c>
      <c r="G27" s="73" t="str">
        <f t="shared" si="1"/>
        <v/>
      </c>
      <c r="H27" s="56" t="str">
        <f t="shared" si="2"/>
        <v/>
      </c>
      <c r="I27" s="57" t="str">
        <f t="shared" si="3"/>
        <v/>
      </c>
      <c r="J27" s="58" t="str">
        <f t="shared" si="4"/>
        <v/>
      </c>
      <c r="L27" s="31" t="str">
        <f t="shared" si="5"/>
        <v/>
      </c>
      <c r="M27" s="32" t="str">
        <f t="shared" si="10"/>
        <v/>
      </c>
      <c r="N27" s="32" t="str">
        <f t="shared" si="6"/>
        <v/>
      </c>
      <c r="O27" s="32" t="str">
        <f t="shared" si="7"/>
        <v/>
      </c>
      <c r="P27" s="32" t="str">
        <f t="shared" si="8"/>
        <v/>
      </c>
      <c r="Q27" s="33" t="str">
        <f t="shared" si="8"/>
        <v/>
      </c>
      <c r="AB27">
        <v>2</v>
      </c>
      <c r="AC27">
        <v>4</v>
      </c>
      <c r="AD27">
        <v>12</v>
      </c>
      <c r="AE27">
        <v>-1.115</v>
      </c>
      <c r="AF27">
        <v>-1.4610000000000001</v>
      </c>
      <c r="AG27">
        <v>0.34599999999999997</v>
      </c>
      <c r="AH27">
        <v>-5.3999999999999999E-2</v>
      </c>
      <c r="AI27">
        <v>1.792</v>
      </c>
      <c r="AJ27">
        <v>6.64</v>
      </c>
      <c r="AK27">
        <v>3.1589999999999998</v>
      </c>
      <c r="AL27">
        <v>25.48</v>
      </c>
      <c r="AM27">
        <v>0.47699999999999998</v>
      </c>
      <c r="AN27">
        <v>7.3540000000000001</v>
      </c>
      <c r="AO27">
        <v>7.0129999999999999</v>
      </c>
      <c r="AP27">
        <v>0.14799999999999999</v>
      </c>
      <c r="AQ27">
        <v>24.21</v>
      </c>
      <c r="AR27">
        <v>0.45</v>
      </c>
      <c r="AS27">
        <v>1</v>
      </c>
      <c r="AT27">
        <v>0</v>
      </c>
      <c r="AU27">
        <v>64</v>
      </c>
    </row>
    <row r="28" spans="2:47" x14ac:dyDescent="0.25">
      <c r="B28" s="9">
        <v>15</v>
      </c>
      <c r="C28" s="35">
        <v>200</v>
      </c>
      <c r="D28" s="3"/>
      <c r="E28" s="9" t="str">
        <f t="shared" si="0"/>
        <v/>
      </c>
      <c r="F28" s="54" t="str">
        <f t="shared" si="9"/>
        <v/>
      </c>
      <c r="G28" s="73" t="str">
        <f t="shared" si="1"/>
        <v/>
      </c>
      <c r="H28" s="56" t="str">
        <f t="shared" si="2"/>
        <v/>
      </c>
      <c r="I28" s="57" t="str">
        <f t="shared" si="3"/>
        <v/>
      </c>
      <c r="J28" s="58" t="str">
        <f t="shared" si="4"/>
        <v/>
      </c>
      <c r="L28" s="31" t="str">
        <f t="shared" si="5"/>
        <v/>
      </c>
      <c r="M28" s="32" t="str">
        <f t="shared" si="10"/>
        <v/>
      </c>
      <c r="N28" s="32" t="str">
        <f t="shared" si="6"/>
        <v/>
      </c>
      <c r="O28" s="32" t="str">
        <f t="shared" si="7"/>
        <v/>
      </c>
      <c r="P28" s="32" t="str">
        <f t="shared" si="8"/>
        <v/>
      </c>
      <c r="Q28" s="33" t="str">
        <f t="shared" si="8"/>
        <v/>
      </c>
      <c r="AB28">
        <v>2</v>
      </c>
      <c r="AC28">
        <v>4</v>
      </c>
      <c r="AD28">
        <v>13</v>
      </c>
      <c r="AE28">
        <v>-5.258</v>
      </c>
      <c r="AF28">
        <v>-9.4489999999999998</v>
      </c>
      <c r="AG28">
        <v>4.1909999999999998</v>
      </c>
      <c r="AH28">
        <v>-8.7999999999999995E-2</v>
      </c>
      <c r="AI28">
        <v>1.756</v>
      </c>
      <c r="AJ28">
        <v>0.42299999999999999</v>
      </c>
      <c r="AK28">
        <v>9.6000000000000002E-2</v>
      </c>
      <c r="AL28">
        <v>12.77</v>
      </c>
      <c r="AM28">
        <v>0.22700000000000001</v>
      </c>
      <c r="AN28">
        <v>0.433</v>
      </c>
      <c r="AO28">
        <v>0.42899999999999999</v>
      </c>
      <c r="AP28">
        <v>0.90600000000000003</v>
      </c>
      <c r="AQ28">
        <v>9.3469999999999995</v>
      </c>
      <c r="AR28">
        <v>0.16500000000000001</v>
      </c>
      <c r="AS28">
        <v>1</v>
      </c>
      <c r="AT28">
        <v>0</v>
      </c>
      <c r="AU28">
        <v>64</v>
      </c>
    </row>
    <row r="29" spans="2:47" x14ac:dyDescent="0.25">
      <c r="B29" s="9">
        <v>16</v>
      </c>
      <c r="C29" s="35">
        <v>225</v>
      </c>
      <c r="D29" s="3"/>
      <c r="E29" s="9" t="str">
        <f t="shared" si="0"/>
        <v/>
      </c>
      <c r="F29" s="54" t="str">
        <f t="shared" si="9"/>
        <v/>
      </c>
      <c r="G29" s="73" t="str">
        <f t="shared" si="1"/>
        <v/>
      </c>
      <c r="H29" s="56" t="str">
        <f t="shared" si="2"/>
        <v/>
      </c>
      <c r="I29" s="57" t="str">
        <f t="shared" si="3"/>
        <v/>
      </c>
      <c r="J29" s="58" t="str">
        <f t="shared" si="4"/>
        <v/>
      </c>
      <c r="L29" s="31" t="str">
        <f t="shared" si="5"/>
        <v/>
      </c>
      <c r="M29" s="32" t="str">
        <f t="shared" si="10"/>
        <v/>
      </c>
      <c r="N29" s="32" t="str">
        <f t="shared" si="6"/>
        <v/>
      </c>
      <c r="O29" s="32" t="str">
        <f t="shared" si="7"/>
        <v/>
      </c>
      <c r="P29" s="32" t="str">
        <f t="shared" si="8"/>
        <v/>
      </c>
      <c r="Q29" s="33" t="str">
        <f t="shared" si="8"/>
        <v/>
      </c>
    </row>
    <row r="30" spans="2:47" x14ac:dyDescent="0.25">
      <c r="B30" s="9">
        <v>17</v>
      </c>
      <c r="C30" s="35">
        <v>250</v>
      </c>
      <c r="D30" s="3"/>
      <c r="E30" s="9" t="str">
        <f t="shared" si="0"/>
        <v/>
      </c>
      <c r="F30" s="54" t="str">
        <f t="shared" si="9"/>
        <v/>
      </c>
      <c r="G30" s="73" t="str">
        <f t="shared" si="1"/>
        <v/>
      </c>
      <c r="H30" s="56" t="str">
        <f t="shared" si="2"/>
        <v/>
      </c>
      <c r="I30" s="57" t="str">
        <f t="shared" si="3"/>
        <v/>
      </c>
      <c r="J30" s="58" t="str">
        <f t="shared" si="4"/>
        <v/>
      </c>
      <c r="L30" s="31" t="str">
        <f t="shared" si="5"/>
        <v/>
      </c>
      <c r="M30" s="32" t="str">
        <f t="shared" si="10"/>
        <v/>
      </c>
      <c r="N30" s="32" t="str">
        <f t="shared" si="6"/>
        <v/>
      </c>
      <c r="O30" s="32" t="str">
        <f t="shared" si="7"/>
        <v/>
      </c>
      <c r="P30" s="32" t="str">
        <f t="shared" si="8"/>
        <v/>
      </c>
      <c r="Q30" s="33" t="str">
        <f t="shared" si="8"/>
        <v/>
      </c>
    </row>
    <row r="31" spans="2:47" x14ac:dyDescent="0.25">
      <c r="B31" s="9">
        <v>18</v>
      </c>
      <c r="C31" s="35">
        <v>275</v>
      </c>
      <c r="D31" s="3"/>
      <c r="E31" s="9" t="str">
        <f t="shared" si="0"/>
        <v/>
      </c>
      <c r="F31" s="54" t="str">
        <f t="shared" si="9"/>
        <v/>
      </c>
      <c r="G31" s="73" t="str">
        <f t="shared" si="1"/>
        <v/>
      </c>
      <c r="H31" s="56" t="str">
        <f t="shared" si="2"/>
        <v/>
      </c>
      <c r="I31" s="57" t="str">
        <f t="shared" si="3"/>
        <v/>
      </c>
      <c r="J31" s="58" t="str">
        <f t="shared" si="4"/>
        <v/>
      </c>
      <c r="L31" s="31" t="str">
        <f t="shared" si="5"/>
        <v/>
      </c>
      <c r="M31" s="32" t="str">
        <f t="shared" si="10"/>
        <v/>
      </c>
      <c r="N31" s="32" t="str">
        <f t="shared" si="6"/>
        <v/>
      </c>
      <c r="O31" s="32" t="str">
        <f t="shared" si="7"/>
        <v/>
      </c>
      <c r="P31" s="32" t="str">
        <f t="shared" si="8"/>
        <v/>
      </c>
      <c r="Q31" s="33" t="str">
        <f t="shared" si="8"/>
        <v/>
      </c>
    </row>
    <row r="32" spans="2:47" x14ac:dyDescent="0.25">
      <c r="B32" s="9">
        <v>19</v>
      </c>
      <c r="C32" s="35">
        <v>300</v>
      </c>
      <c r="D32" s="3"/>
      <c r="E32" s="9" t="str">
        <f t="shared" si="0"/>
        <v/>
      </c>
      <c r="F32" s="54" t="str">
        <f t="shared" si="9"/>
        <v/>
      </c>
      <c r="G32" s="73" t="str">
        <f t="shared" si="1"/>
        <v/>
      </c>
      <c r="H32" s="56" t="str">
        <f t="shared" si="2"/>
        <v/>
      </c>
      <c r="I32" s="57" t="str">
        <f t="shared" si="3"/>
        <v/>
      </c>
      <c r="J32" s="58" t="str">
        <f t="shared" si="4"/>
        <v/>
      </c>
      <c r="L32" s="31" t="str">
        <f t="shared" si="5"/>
        <v/>
      </c>
      <c r="M32" s="32" t="str">
        <f t="shared" si="10"/>
        <v/>
      </c>
      <c r="N32" s="32" t="str">
        <f t="shared" si="6"/>
        <v/>
      </c>
      <c r="O32" s="32" t="str">
        <f t="shared" si="7"/>
        <v/>
      </c>
      <c r="P32" s="32" t="str">
        <f t="shared" si="8"/>
        <v/>
      </c>
      <c r="Q32" s="33" t="str">
        <f t="shared" si="8"/>
        <v/>
      </c>
    </row>
    <row r="33" spans="2:17" x14ac:dyDescent="0.25">
      <c r="B33" s="9">
        <v>20</v>
      </c>
      <c r="C33" s="35">
        <v>325</v>
      </c>
      <c r="D33" s="3"/>
      <c r="E33" s="9" t="str">
        <f t="shared" si="0"/>
        <v/>
      </c>
      <c r="F33" s="54" t="str">
        <f t="shared" si="9"/>
        <v/>
      </c>
      <c r="G33" s="73" t="str">
        <f t="shared" si="1"/>
        <v/>
      </c>
      <c r="H33" s="56" t="str">
        <f t="shared" si="2"/>
        <v/>
      </c>
      <c r="I33" s="57" t="str">
        <f t="shared" si="3"/>
        <v/>
      </c>
      <c r="J33" s="58" t="str">
        <f t="shared" si="4"/>
        <v/>
      </c>
      <c r="L33" s="31" t="str">
        <f t="shared" si="5"/>
        <v/>
      </c>
      <c r="M33" s="32" t="str">
        <f t="shared" si="10"/>
        <v/>
      </c>
      <c r="N33" s="32" t="str">
        <f t="shared" si="6"/>
        <v/>
      </c>
      <c r="O33" s="32" t="str">
        <f t="shared" si="7"/>
        <v/>
      </c>
      <c r="P33" s="32" t="str">
        <f t="shared" si="8"/>
        <v/>
      </c>
      <c r="Q33" s="33" t="str">
        <f t="shared" si="8"/>
        <v/>
      </c>
    </row>
    <row r="34" spans="2:17" x14ac:dyDescent="0.25">
      <c r="B34" s="9">
        <v>21</v>
      </c>
      <c r="C34" s="35">
        <v>350</v>
      </c>
      <c r="D34" s="3"/>
      <c r="E34" s="9" t="str">
        <f t="shared" si="0"/>
        <v/>
      </c>
      <c r="F34" s="54" t="str">
        <f t="shared" si="9"/>
        <v/>
      </c>
      <c r="G34" s="73" t="str">
        <f t="shared" si="1"/>
        <v/>
      </c>
      <c r="H34" s="56" t="str">
        <f t="shared" si="2"/>
        <v/>
      </c>
      <c r="I34" s="57" t="str">
        <f t="shared" si="3"/>
        <v/>
      </c>
      <c r="J34" s="58" t="str">
        <f t="shared" si="4"/>
        <v/>
      </c>
      <c r="L34" s="31" t="str">
        <f t="shared" si="5"/>
        <v/>
      </c>
      <c r="M34" s="32" t="str">
        <f t="shared" si="10"/>
        <v/>
      </c>
      <c r="N34" s="32" t="str">
        <f t="shared" si="6"/>
        <v/>
      </c>
      <c r="O34" s="32" t="str">
        <f t="shared" si="7"/>
        <v/>
      </c>
      <c r="P34" s="32" t="str">
        <f t="shared" si="8"/>
        <v/>
      </c>
      <c r="Q34" s="33" t="str">
        <f t="shared" si="8"/>
        <v/>
      </c>
    </row>
    <row r="35" spans="2:17" x14ac:dyDescent="0.25">
      <c r="B35" s="9">
        <v>22</v>
      </c>
      <c r="C35" s="35">
        <v>375</v>
      </c>
      <c r="D35" s="3"/>
      <c r="E35" s="9" t="str">
        <f t="shared" si="0"/>
        <v/>
      </c>
      <c r="F35" s="54" t="str">
        <f t="shared" si="9"/>
        <v/>
      </c>
      <c r="G35" s="73" t="str">
        <f t="shared" si="1"/>
        <v/>
      </c>
      <c r="H35" s="56" t="str">
        <f t="shared" si="2"/>
        <v/>
      </c>
      <c r="I35" s="57" t="str">
        <f t="shared" si="3"/>
        <v/>
      </c>
      <c r="J35" s="58" t="str">
        <f t="shared" si="4"/>
        <v/>
      </c>
      <c r="L35" s="31" t="str">
        <f t="shared" si="5"/>
        <v/>
      </c>
      <c r="M35" s="32" t="str">
        <f t="shared" si="10"/>
        <v/>
      </c>
      <c r="N35" s="32" t="str">
        <f t="shared" si="6"/>
        <v/>
      </c>
      <c r="O35" s="32" t="str">
        <f t="shared" si="7"/>
        <v/>
      </c>
      <c r="P35" s="32" t="str">
        <f t="shared" si="8"/>
        <v/>
      </c>
      <c r="Q35" s="33" t="str">
        <f t="shared" si="8"/>
        <v/>
      </c>
    </row>
    <row r="36" spans="2:17" x14ac:dyDescent="0.25">
      <c r="B36" s="9">
        <v>23</v>
      </c>
      <c r="C36" s="35">
        <v>400</v>
      </c>
      <c r="D36" s="3"/>
      <c r="E36" s="9" t="str">
        <f t="shared" si="0"/>
        <v/>
      </c>
      <c r="F36" s="54" t="str">
        <f t="shared" si="9"/>
        <v/>
      </c>
      <c r="G36" s="73" t="str">
        <f t="shared" si="1"/>
        <v/>
      </c>
      <c r="H36" s="56" t="str">
        <f t="shared" si="2"/>
        <v/>
      </c>
      <c r="I36" s="57" t="str">
        <f t="shared" si="3"/>
        <v/>
      </c>
      <c r="J36" s="58" t="str">
        <f t="shared" si="4"/>
        <v/>
      </c>
      <c r="L36" s="31" t="str">
        <f t="shared" si="5"/>
        <v/>
      </c>
      <c r="M36" s="32" t="str">
        <f t="shared" si="10"/>
        <v/>
      </c>
      <c r="N36" s="32" t="str">
        <f t="shared" si="6"/>
        <v/>
      </c>
      <c r="O36" s="32" t="str">
        <f t="shared" si="7"/>
        <v/>
      </c>
      <c r="P36" s="32" t="str">
        <f t="shared" si="8"/>
        <v/>
      </c>
      <c r="Q36" s="33" t="str">
        <f t="shared" si="8"/>
        <v/>
      </c>
    </row>
    <row r="37" spans="2:17" x14ac:dyDescent="0.25">
      <c r="B37" s="9">
        <v>24</v>
      </c>
      <c r="C37" s="35">
        <v>425</v>
      </c>
      <c r="D37" s="3"/>
      <c r="E37" s="9" t="str">
        <f t="shared" si="0"/>
        <v/>
      </c>
      <c r="F37" s="54" t="str">
        <f t="shared" si="9"/>
        <v/>
      </c>
      <c r="G37" s="73" t="str">
        <f t="shared" si="1"/>
        <v/>
      </c>
      <c r="H37" s="56" t="str">
        <f t="shared" si="2"/>
        <v/>
      </c>
      <c r="I37" s="57" t="str">
        <f t="shared" si="3"/>
        <v/>
      </c>
      <c r="J37" s="58" t="str">
        <f t="shared" si="4"/>
        <v/>
      </c>
      <c r="L37" s="31" t="str">
        <f t="shared" si="5"/>
        <v/>
      </c>
      <c r="M37" s="32" t="str">
        <f t="shared" si="10"/>
        <v/>
      </c>
      <c r="N37" s="32" t="str">
        <f t="shared" si="6"/>
        <v/>
      </c>
      <c r="O37" s="32" t="str">
        <f t="shared" si="7"/>
        <v/>
      </c>
      <c r="P37" s="32" t="str">
        <f t="shared" si="8"/>
        <v/>
      </c>
      <c r="Q37" s="33" t="str">
        <f t="shared" si="8"/>
        <v/>
      </c>
    </row>
    <row r="38" spans="2:17" x14ac:dyDescent="0.25">
      <c r="B38" s="9">
        <v>25</v>
      </c>
      <c r="C38" s="35">
        <v>450</v>
      </c>
      <c r="D38" s="3"/>
      <c r="E38" s="9" t="str">
        <f t="shared" si="0"/>
        <v/>
      </c>
      <c r="F38" s="54" t="str">
        <f t="shared" si="9"/>
        <v/>
      </c>
      <c r="G38" s="73" t="str">
        <f t="shared" si="1"/>
        <v/>
      </c>
      <c r="H38" s="56" t="str">
        <f t="shared" si="2"/>
        <v/>
      </c>
      <c r="I38" s="57" t="str">
        <f t="shared" si="3"/>
        <v/>
      </c>
      <c r="J38" s="58" t="str">
        <f t="shared" si="4"/>
        <v/>
      </c>
      <c r="L38" s="31" t="str">
        <f t="shared" si="5"/>
        <v/>
      </c>
      <c r="M38" s="32" t="str">
        <f t="shared" si="10"/>
        <v/>
      </c>
      <c r="N38" s="32" t="str">
        <f t="shared" si="6"/>
        <v/>
      </c>
      <c r="O38" s="32" t="str">
        <f t="shared" si="7"/>
        <v/>
      </c>
      <c r="P38" s="32" t="str">
        <f t="shared" si="8"/>
        <v/>
      </c>
      <c r="Q38" s="33" t="str">
        <f t="shared" si="8"/>
        <v/>
      </c>
    </row>
    <row r="39" spans="2:17" x14ac:dyDescent="0.25">
      <c r="B39" s="9">
        <v>26</v>
      </c>
      <c r="C39" s="35">
        <v>475</v>
      </c>
      <c r="D39" s="3"/>
      <c r="E39" s="9" t="str">
        <f t="shared" si="0"/>
        <v/>
      </c>
      <c r="F39" s="54" t="str">
        <f t="shared" si="9"/>
        <v/>
      </c>
      <c r="G39" s="73" t="str">
        <f t="shared" si="1"/>
        <v/>
      </c>
      <c r="H39" s="56" t="str">
        <f t="shared" si="2"/>
        <v/>
      </c>
      <c r="I39" s="57" t="str">
        <f t="shared" si="3"/>
        <v/>
      </c>
      <c r="J39" s="58" t="str">
        <f t="shared" si="4"/>
        <v/>
      </c>
      <c r="L39" s="31" t="str">
        <f t="shared" si="5"/>
        <v/>
      </c>
      <c r="M39" s="32" t="str">
        <f t="shared" si="10"/>
        <v/>
      </c>
      <c r="N39" s="32" t="str">
        <f t="shared" si="6"/>
        <v/>
      </c>
      <c r="O39" s="32" t="str">
        <f t="shared" si="7"/>
        <v/>
      </c>
      <c r="P39" s="32" t="str">
        <f t="shared" si="8"/>
        <v/>
      </c>
      <c r="Q39" s="33" t="str">
        <f t="shared" si="8"/>
        <v/>
      </c>
    </row>
    <row r="40" spans="2:17" x14ac:dyDescent="0.25">
      <c r="B40" s="9">
        <v>27</v>
      </c>
      <c r="C40" s="35">
        <v>500</v>
      </c>
      <c r="D40" s="3"/>
      <c r="E40" s="9" t="str">
        <f t="shared" si="0"/>
        <v/>
      </c>
      <c r="F40" s="54" t="str">
        <f t="shared" si="9"/>
        <v/>
      </c>
      <c r="G40" s="73" t="str">
        <f t="shared" si="1"/>
        <v/>
      </c>
      <c r="H40" s="56" t="str">
        <f t="shared" si="2"/>
        <v/>
      </c>
      <c r="I40" s="57" t="str">
        <f t="shared" si="3"/>
        <v/>
      </c>
      <c r="J40" s="58" t="str">
        <f t="shared" si="4"/>
        <v/>
      </c>
      <c r="L40" s="31" t="str">
        <f t="shared" si="5"/>
        <v/>
      </c>
      <c r="M40" s="32" t="str">
        <f t="shared" si="10"/>
        <v/>
      </c>
      <c r="N40" s="32" t="str">
        <f t="shared" si="6"/>
        <v/>
      </c>
      <c r="O40" s="32" t="str">
        <f t="shared" si="7"/>
        <v/>
      </c>
      <c r="P40" s="32" t="str">
        <f t="shared" si="8"/>
        <v/>
      </c>
      <c r="Q40" s="33" t="str">
        <f t="shared" si="8"/>
        <v/>
      </c>
    </row>
    <row r="41" spans="2:17" x14ac:dyDescent="0.25">
      <c r="B41" s="9">
        <v>28</v>
      </c>
      <c r="C41" s="35">
        <v>600</v>
      </c>
      <c r="D41" s="3"/>
      <c r="E41" s="9" t="str">
        <f t="shared" si="0"/>
        <v/>
      </c>
      <c r="F41" s="54" t="str">
        <f t="shared" si="9"/>
        <v/>
      </c>
      <c r="G41" s="73" t="str">
        <f t="shared" si="1"/>
        <v/>
      </c>
      <c r="H41" s="56" t="str">
        <f t="shared" si="2"/>
        <v/>
      </c>
      <c r="I41" s="57" t="str">
        <f t="shared" si="3"/>
        <v/>
      </c>
      <c r="J41" s="58" t="str">
        <f t="shared" si="4"/>
        <v/>
      </c>
      <c r="L41" s="31" t="str">
        <f t="shared" si="5"/>
        <v/>
      </c>
      <c r="M41" s="32" t="str">
        <f t="shared" si="10"/>
        <v/>
      </c>
      <c r="N41" s="32" t="str">
        <f t="shared" si="6"/>
        <v/>
      </c>
      <c r="O41" s="32" t="str">
        <f t="shared" si="7"/>
        <v/>
      </c>
      <c r="P41" s="32" t="str">
        <f t="shared" si="8"/>
        <v/>
      </c>
      <c r="Q41" s="33" t="str">
        <f t="shared" si="8"/>
        <v/>
      </c>
    </row>
    <row r="42" spans="2:17" x14ac:dyDescent="0.25">
      <c r="B42" s="9">
        <v>29</v>
      </c>
      <c r="C42" s="35">
        <v>700</v>
      </c>
      <c r="D42" s="3"/>
      <c r="E42" s="9" t="str">
        <f t="shared" si="0"/>
        <v/>
      </c>
      <c r="F42" s="54" t="str">
        <f t="shared" si="9"/>
        <v/>
      </c>
      <c r="G42" s="73" t="str">
        <f t="shared" si="1"/>
        <v/>
      </c>
      <c r="H42" s="56" t="str">
        <f t="shared" si="2"/>
        <v/>
      </c>
      <c r="I42" s="57" t="str">
        <f t="shared" si="3"/>
        <v/>
      </c>
      <c r="J42" s="58" t="str">
        <f t="shared" si="4"/>
        <v/>
      </c>
      <c r="L42" s="31" t="str">
        <f t="shared" si="5"/>
        <v/>
      </c>
      <c r="M42" s="32" t="str">
        <f t="shared" si="10"/>
        <v/>
      </c>
      <c r="N42" s="32" t="str">
        <f t="shared" si="6"/>
        <v/>
      </c>
      <c r="O42" s="32" t="str">
        <f t="shared" si="7"/>
        <v/>
      </c>
      <c r="P42" s="32" t="str">
        <f t="shared" si="8"/>
        <v/>
      </c>
      <c r="Q42" s="33" t="str">
        <f t="shared" si="8"/>
        <v/>
      </c>
    </row>
    <row r="43" spans="2:17" x14ac:dyDescent="0.25">
      <c r="B43" s="9">
        <v>30</v>
      </c>
      <c r="C43" s="35">
        <v>800</v>
      </c>
      <c r="D43" s="3"/>
      <c r="E43" s="9" t="str">
        <f t="shared" si="0"/>
        <v/>
      </c>
      <c r="F43" s="54" t="str">
        <f t="shared" si="9"/>
        <v/>
      </c>
      <c r="G43" s="73" t="str">
        <f t="shared" si="1"/>
        <v/>
      </c>
      <c r="H43" s="56" t="str">
        <f t="shared" si="2"/>
        <v/>
      </c>
      <c r="I43" s="57" t="str">
        <f t="shared" si="3"/>
        <v/>
      </c>
      <c r="J43" s="58" t="str">
        <f t="shared" si="4"/>
        <v/>
      </c>
      <c r="L43" s="31" t="str">
        <f t="shared" si="5"/>
        <v/>
      </c>
      <c r="M43" s="32" t="str">
        <f t="shared" si="10"/>
        <v/>
      </c>
      <c r="N43" s="32" t="str">
        <f t="shared" si="6"/>
        <v/>
      </c>
      <c r="O43" s="32" t="str">
        <f t="shared" si="7"/>
        <v/>
      </c>
      <c r="P43" s="32" t="str">
        <f t="shared" si="8"/>
        <v/>
      </c>
      <c r="Q43" s="33" t="str">
        <f t="shared" si="8"/>
        <v/>
      </c>
    </row>
    <row r="44" spans="2:17" x14ac:dyDescent="0.25">
      <c r="B44" s="9">
        <v>31</v>
      </c>
      <c r="C44" s="35">
        <v>900</v>
      </c>
      <c r="D44" s="3"/>
      <c r="E44" s="9" t="str">
        <f t="shared" si="0"/>
        <v/>
      </c>
      <c r="F44" s="54" t="str">
        <f t="shared" si="9"/>
        <v/>
      </c>
      <c r="G44" s="73" t="str">
        <f t="shared" si="1"/>
        <v/>
      </c>
      <c r="H44" s="56" t="str">
        <f t="shared" si="2"/>
        <v/>
      </c>
      <c r="I44" s="57" t="str">
        <f t="shared" si="3"/>
        <v/>
      </c>
      <c r="J44" s="58" t="str">
        <f t="shared" si="4"/>
        <v/>
      </c>
      <c r="L44" s="31" t="str">
        <f t="shared" si="5"/>
        <v/>
      </c>
      <c r="M44" s="32" t="str">
        <f t="shared" si="10"/>
        <v/>
      </c>
      <c r="N44" s="32" t="str">
        <f t="shared" si="6"/>
        <v/>
      </c>
      <c r="O44" s="32" t="str">
        <f t="shared" si="7"/>
        <v/>
      </c>
      <c r="P44" s="32" t="str">
        <f t="shared" si="8"/>
        <v/>
      </c>
      <c r="Q44" s="33" t="str">
        <f t="shared" si="8"/>
        <v/>
      </c>
    </row>
    <row r="45" spans="2:17" x14ac:dyDescent="0.25">
      <c r="B45" s="9">
        <v>32</v>
      </c>
      <c r="C45" s="35">
        <v>1000</v>
      </c>
      <c r="D45" s="3"/>
      <c r="E45" s="9" t="str">
        <f t="shared" si="0"/>
        <v/>
      </c>
      <c r="F45" s="54" t="str">
        <f t="shared" si="9"/>
        <v/>
      </c>
      <c r="G45" s="73" t="str">
        <f t="shared" si="1"/>
        <v/>
      </c>
      <c r="H45" s="56" t="str">
        <f t="shared" si="2"/>
        <v/>
      </c>
      <c r="I45" s="57" t="str">
        <f t="shared" si="3"/>
        <v/>
      </c>
      <c r="J45" s="58" t="str">
        <f t="shared" si="4"/>
        <v/>
      </c>
      <c r="L45" s="31" t="str">
        <f t="shared" si="5"/>
        <v/>
      </c>
      <c r="M45" s="32" t="str">
        <f t="shared" si="10"/>
        <v/>
      </c>
      <c r="N45" s="32" t="str">
        <f t="shared" si="6"/>
        <v/>
      </c>
      <c r="O45" s="32" t="str">
        <f t="shared" si="7"/>
        <v/>
      </c>
      <c r="P45" s="32" t="str">
        <f t="shared" si="8"/>
        <v/>
      </c>
      <c r="Q45" s="33" t="str">
        <f t="shared" si="8"/>
        <v/>
      </c>
    </row>
    <row r="46" spans="2:17" x14ac:dyDescent="0.25">
      <c r="B46" s="9">
        <v>33</v>
      </c>
      <c r="C46" s="35">
        <v>1100</v>
      </c>
      <c r="D46" s="3"/>
      <c r="E46" s="9" t="str">
        <f t="shared" si="0"/>
        <v/>
      </c>
      <c r="F46" s="54" t="str">
        <f t="shared" si="9"/>
        <v/>
      </c>
      <c r="G46" s="73" t="str">
        <f t="shared" si="1"/>
        <v/>
      </c>
      <c r="H46" s="56" t="str">
        <f t="shared" si="2"/>
        <v/>
      </c>
      <c r="I46" s="57" t="str">
        <f t="shared" si="3"/>
        <v/>
      </c>
      <c r="J46" s="58" t="str">
        <f t="shared" si="4"/>
        <v/>
      </c>
      <c r="L46" s="31" t="str">
        <f t="shared" si="5"/>
        <v/>
      </c>
      <c r="M46" s="32" t="str">
        <f t="shared" si="10"/>
        <v/>
      </c>
      <c r="N46" s="32" t="str">
        <f t="shared" si="6"/>
        <v/>
      </c>
      <c r="O46" s="32" t="str">
        <f t="shared" si="7"/>
        <v/>
      </c>
      <c r="P46" s="32" t="str">
        <f t="shared" ref="P46:Q77" si="11">IF(AJ48="","",AJ48)</f>
        <v/>
      </c>
      <c r="Q46" s="33" t="str">
        <f t="shared" si="11"/>
        <v/>
      </c>
    </row>
    <row r="47" spans="2:17" x14ac:dyDescent="0.25">
      <c r="B47" s="9">
        <v>34</v>
      </c>
      <c r="C47" s="35">
        <v>1200</v>
      </c>
      <c r="D47" s="3"/>
      <c r="E47" s="9" t="str">
        <f t="shared" si="0"/>
        <v/>
      </c>
      <c r="F47" s="54" t="str">
        <f t="shared" si="9"/>
        <v/>
      </c>
      <c r="G47" s="73" t="str">
        <f t="shared" si="1"/>
        <v/>
      </c>
      <c r="H47" s="56" t="str">
        <f t="shared" si="2"/>
        <v/>
      </c>
      <c r="I47" s="57" t="str">
        <f t="shared" si="3"/>
        <v/>
      </c>
      <c r="J47" s="58" t="str">
        <f t="shared" si="4"/>
        <v/>
      </c>
      <c r="L47" s="31" t="str">
        <f t="shared" si="5"/>
        <v/>
      </c>
      <c r="M47" s="32" t="str">
        <f t="shared" si="10"/>
        <v/>
      </c>
      <c r="N47" s="32" t="str">
        <f t="shared" si="6"/>
        <v/>
      </c>
      <c r="O47" s="32" t="str">
        <f t="shared" si="7"/>
        <v/>
      </c>
      <c r="P47" s="32" t="str">
        <f t="shared" si="11"/>
        <v/>
      </c>
      <c r="Q47" s="33" t="str">
        <f t="shared" si="11"/>
        <v/>
      </c>
    </row>
    <row r="48" spans="2:17" x14ac:dyDescent="0.25">
      <c r="B48" s="9">
        <v>35</v>
      </c>
      <c r="C48" s="35">
        <v>1300</v>
      </c>
      <c r="D48" s="3"/>
      <c r="E48" s="9" t="str">
        <f t="shared" si="0"/>
        <v/>
      </c>
      <c r="F48" s="54" t="str">
        <f t="shared" si="9"/>
        <v/>
      </c>
      <c r="G48" s="73" t="str">
        <f t="shared" si="1"/>
        <v/>
      </c>
      <c r="H48" s="56" t="str">
        <f t="shared" si="2"/>
        <v/>
      </c>
      <c r="I48" s="57" t="str">
        <f t="shared" si="3"/>
        <v/>
      </c>
      <c r="J48" s="58" t="str">
        <f t="shared" si="4"/>
        <v/>
      </c>
      <c r="L48" s="31" t="str">
        <f t="shared" si="5"/>
        <v/>
      </c>
      <c r="M48" s="32" t="str">
        <f t="shared" si="10"/>
        <v/>
      </c>
      <c r="N48" s="32" t="str">
        <f t="shared" si="6"/>
        <v/>
      </c>
      <c r="O48" s="32" t="str">
        <f t="shared" si="7"/>
        <v/>
      </c>
      <c r="P48" s="32" t="str">
        <f t="shared" si="11"/>
        <v/>
      </c>
      <c r="Q48" s="33" t="str">
        <f t="shared" si="11"/>
        <v/>
      </c>
    </row>
    <row r="49" spans="2:17" x14ac:dyDescent="0.25">
      <c r="B49" s="9">
        <v>36</v>
      </c>
      <c r="C49" s="35">
        <v>1400</v>
      </c>
      <c r="D49" s="3"/>
      <c r="E49" s="9" t="str">
        <f t="shared" si="0"/>
        <v/>
      </c>
      <c r="F49" s="54" t="str">
        <f t="shared" si="9"/>
        <v/>
      </c>
      <c r="G49" s="73" t="str">
        <f t="shared" si="1"/>
        <v/>
      </c>
      <c r="H49" s="56" t="str">
        <f t="shared" si="2"/>
        <v/>
      </c>
      <c r="I49" s="57" t="str">
        <f t="shared" si="3"/>
        <v/>
      </c>
      <c r="J49" s="58" t="str">
        <f t="shared" si="4"/>
        <v/>
      </c>
      <c r="L49" s="31" t="str">
        <f t="shared" si="5"/>
        <v/>
      </c>
      <c r="M49" s="32" t="str">
        <f t="shared" si="10"/>
        <v/>
      </c>
      <c r="N49" s="32" t="str">
        <f t="shared" si="6"/>
        <v/>
      </c>
      <c r="O49" s="32" t="str">
        <f t="shared" si="7"/>
        <v/>
      </c>
      <c r="P49" s="32" t="str">
        <f t="shared" si="11"/>
        <v/>
      </c>
      <c r="Q49" s="33" t="str">
        <f t="shared" si="11"/>
        <v/>
      </c>
    </row>
    <row r="50" spans="2:17" x14ac:dyDescent="0.25">
      <c r="B50" s="9">
        <v>37</v>
      </c>
      <c r="C50" s="35">
        <v>1500</v>
      </c>
      <c r="D50" s="3"/>
      <c r="E50" s="9" t="str">
        <f t="shared" si="0"/>
        <v/>
      </c>
      <c r="F50" s="54" t="str">
        <f t="shared" si="9"/>
        <v/>
      </c>
      <c r="G50" s="73" t="str">
        <f t="shared" si="1"/>
        <v/>
      </c>
      <c r="H50" s="56" t="str">
        <f t="shared" si="2"/>
        <v/>
      </c>
      <c r="I50" s="57" t="str">
        <f t="shared" si="3"/>
        <v/>
      </c>
      <c r="J50" s="58" t="str">
        <f t="shared" si="4"/>
        <v/>
      </c>
      <c r="L50" s="31" t="str">
        <f t="shared" si="5"/>
        <v/>
      </c>
      <c r="M50" s="32" t="str">
        <f t="shared" si="10"/>
        <v/>
      </c>
      <c r="N50" s="32" t="str">
        <f t="shared" si="6"/>
        <v/>
      </c>
      <c r="O50" s="32" t="str">
        <f t="shared" si="7"/>
        <v/>
      </c>
      <c r="P50" s="32" t="str">
        <f t="shared" si="11"/>
        <v/>
      </c>
      <c r="Q50" s="33" t="str">
        <f t="shared" si="11"/>
        <v/>
      </c>
    </row>
    <row r="51" spans="2:17" x14ac:dyDescent="0.25">
      <c r="B51" s="9">
        <v>38</v>
      </c>
      <c r="C51" s="35">
        <v>1600</v>
      </c>
      <c r="D51" s="3"/>
      <c r="E51" s="9" t="str">
        <f t="shared" si="0"/>
        <v/>
      </c>
      <c r="F51" s="54" t="str">
        <f t="shared" si="9"/>
        <v/>
      </c>
      <c r="G51" s="73" t="str">
        <f t="shared" si="1"/>
        <v/>
      </c>
      <c r="H51" s="56" t="str">
        <f t="shared" si="2"/>
        <v/>
      </c>
      <c r="I51" s="57" t="str">
        <f t="shared" si="3"/>
        <v/>
      </c>
      <c r="J51" s="58" t="str">
        <f t="shared" si="4"/>
        <v/>
      </c>
      <c r="L51" s="31" t="str">
        <f t="shared" si="5"/>
        <v/>
      </c>
      <c r="M51" s="32" t="str">
        <f t="shared" si="10"/>
        <v/>
      </c>
      <c r="N51" s="32" t="str">
        <f t="shared" si="6"/>
        <v/>
      </c>
      <c r="O51" s="32" t="str">
        <f t="shared" si="7"/>
        <v/>
      </c>
      <c r="P51" s="32" t="str">
        <f t="shared" si="11"/>
        <v/>
      </c>
      <c r="Q51" s="33" t="str">
        <f t="shared" si="11"/>
        <v/>
      </c>
    </row>
    <row r="52" spans="2:17" x14ac:dyDescent="0.25">
      <c r="B52" s="9">
        <v>39</v>
      </c>
      <c r="C52" s="35">
        <v>1700</v>
      </c>
      <c r="D52" s="3"/>
      <c r="E52" s="9" t="str">
        <f t="shared" si="0"/>
        <v/>
      </c>
      <c r="F52" s="54" t="str">
        <f t="shared" si="9"/>
        <v/>
      </c>
      <c r="G52" s="73" t="str">
        <f t="shared" si="1"/>
        <v/>
      </c>
      <c r="H52" s="56" t="str">
        <f t="shared" si="2"/>
        <v/>
      </c>
      <c r="I52" s="57" t="str">
        <f t="shared" si="3"/>
        <v/>
      </c>
      <c r="J52" s="58" t="str">
        <f t="shared" si="4"/>
        <v/>
      </c>
      <c r="L52" s="31" t="str">
        <f t="shared" si="5"/>
        <v/>
      </c>
      <c r="M52" s="32" t="str">
        <f t="shared" si="10"/>
        <v/>
      </c>
      <c r="N52" s="32" t="str">
        <f t="shared" si="6"/>
        <v/>
      </c>
      <c r="O52" s="32" t="str">
        <f t="shared" si="7"/>
        <v/>
      </c>
      <c r="P52" s="32" t="str">
        <f t="shared" si="11"/>
        <v/>
      </c>
      <c r="Q52" s="33" t="str">
        <f t="shared" si="11"/>
        <v/>
      </c>
    </row>
    <row r="53" spans="2:17" x14ac:dyDescent="0.25">
      <c r="B53" s="9">
        <v>40</v>
      </c>
      <c r="C53" s="35">
        <v>1800</v>
      </c>
      <c r="D53" s="3"/>
      <c r="E53" s="9" t="str">
        <f t="shared" si="0"/>
        <v/>
      </c>
      <c r="F53" s="54" t="str">
        <f t="shared" si="9"/>
        <v/>
      </c>
      <c r="G53" s="73" t="str">
        <f t="shared" si="1"/>
        <v/>
      </c>
      <c r="H53" s="56" t="str">
        <f t="shared" si="2"/>
        <v/>
      </c>
      <c r="I53" s="57" t="str">
        <f t="shared" si="3"/>
        <v/>
      </c>
      <c r="J53" s="58" t="str">
        <f t="shared" si="4"/>
        <v/>
      </c>
      <c r="L53" s="31" t="str">
        <f t="shared" si="5"/>
        <v/>
      </c>
      <c r="M53" s="32" t="str">
        <f t="shared" si="10"/>
        <v/>
      </c>
      <c r="N53" s="32" t="str">
        <f t="shared" si="6"/>
        <v/>
      </c>
      <c r="O53" s="32" t="str">
        <f t="shared" si="7"/>
        <v/>
      </c>
      <c r="P53" s="32" t="str">
        <f t="shared" si="11"/>
        <v/>
      </c>
      <c r="Q53" s="33" t="str">
        <f t="shared" si="11"/>
        <v/>
      </c>
    </row>
    <row r="54" spans="2:17" x14ac:dyDescent="0.25">
      <c r="B54" s="9">
        <v>41</v>
      </c>
      <c r="C54" s="35">
        <v>1900</v>
      </c>
      <c r="D54" s="3"/>
      <c r="E54" s="9" t="str">
        <f t="shared" si="0"/>
        <v/>
      </c>
      <c r="F54" s="54" t="str">
        <f t="shared" si="9"/>
        <v/>
      </c>
      <c r="G54" s="73" t="str">
        <f t="shared" si="1"/>
        <v/>
      </c>
      <c r="H54" s="56" t="str">
        <f t="shared" si="2"/>
        <v/>
      </c>
      <c r="I54" s="57" t="str">
        <f t="shared" si="3"/>
        <v/>
      </c>
      <c r="J54" s="58" t="str">
        <f t="shared" si="4"/>
        <v/>
      </c>
      <c r="L54" s="31" t="str">
        <f t="shared" si="5"/>
        <v/>
      </c>
      <c r="M54" s="32" t="str">
        <f t="shared" si="10"/>
        <v/>
      </c>
      <c r="N54" s="32" t="str">
        <f t="shared" si="6"/>
        <v/>
      </c>
      <c r="O54" s="32" t="str">
        <f t="shared" si="7"/>
        <v/>
      </c>
      <c r="P54" s="32" t="str">
        <f t="shared" si="11"/>
        <v/>
      </c>
      <c r="Q54" s="33" t="str">
        <f t="shared" si="11"/>
        <v/>
      </c>
    </row>
    <row r="55" spans="2:17" x14ac:dyDescent="0.25">
      <c r="B55" s="9">
        <v>42</v>
      </c>
      <c r="C55" s="35">
        <v>2000</v>
      </c>
      <c r="D55" s="3"/>
      <c r="E55" s="9" t="str">
        <f t="shared" si="0"/>
        <v/>
      </c>
      <c r="F55" s="54" t="str">
        <f t="shared" si="9"/>
        <v/>
      </c>
      <c r="G55" s="73" t="str">
        <f t="shared" si="1"/>
        <v/>
      </c>
      <c r="H55" s="56" t="str">
        <f t="shared" si="2"/>
        <v/>
      </c>
      <c r="I55" s="57" t="str">
        <f t="shared" si="3"/>
        <v/>
      </c>
      <c r="J55" s="58" t="str">
        <f t="shared" si="4"/>
        <v/>
      </c>
      <c r="L55" s="31" t="str">
        <f t="shared" si="5"/>
        <v/>
      </c>
      <c r="M55" s="32" t="str">
        <f t="shared" si="10"/>
        <v/>
      </c>
      <c r="N55" s="32" t="str">
        <f t="shared" si="6"/>
        <v/>
      </c>
      <c r="O55" s="32" t="str">
        <f t="shared" si="7"/>
        <v/>
      </c>
      <c r="P55" s="32" t="str">
        <f t="shared" si="11"/>
        <v/>
      </c>
      <c r="Q55" s="33" t="str">
        <f t="shared" si="11"/>
        <v/>
      </c>
    </row>
    <row r="56" spans="2:17" x14ac:dyDescent="0.25">
      <c r="B56" s="9">
        <v>43</v>
      </c>
      <c r="C56" s="35">
        <v>2500</v>
      </c>
      <c r="D56" s="3"/>
      <c r="E56" s="9" t="str">
        <f t="shared" si="0"/>
        <v/>
      </c>
      <c r="F56" s="54" t="str">
        <f t="shared" si="9"/>
        <v/>
      </c>
      <c r="G56" s="73" t="str">
        <f t="shared" si="1"/>
        <v/>
      </c>
      <c r="H56" s="56" t="str">
        <f t="shared" si="2"/>
        <v/>
      </c>
      <c r="I56" s="57" t="str">
        <f t="shared" si="3"/>
        <v/>
      </c>
      <c r="J56" s="58" t="str">
        <f t="shared" si="4"/>
        <v/>
      </c>
      <c r="L56" s="31" t="str">
        <f t="shared" si="5"/>
        <v/>
      </c>
      <c r="M56" s="32" t="str">
        <f t="shared" si="10"/>
        <v/>
      </c>
      <c r="N56" s="32" t="str">
        <f t="shared" si="6"/>
        <v/>
      </c>
      <c r="O56" s="32" t="str">
        <f t="shared" si="7"/>
        <v/>
      </c>
      <c r="P56" s="32" t="str">
        <f t="shared" si="11"/>
        <v/>
      </c>
      <c r="Q56" s="33" t="str">
        <f t="shared" si="11"/>
        <v/>
      </c>
    </row>
    <row r="57" spans="2:17" x14ac:dyDescent="0.25">
      <c r="B57" s="9">
        <v>44</v>
      </c>
      <c r="C57" s="35">
        <v>3000</v>
      </c>
      <c r="D57" s="3"/>
      <c r="E57" s="9" t="str">
        <f t="shared" si="0"/>
        <v/>
      </c>
      <c r="F57" s="54" t="str">
        <f t="shared" si="9"/>
        <v/>
      </c>
      <c r="G57" s="73" t="str">
        <f t="shared" si="1"/>
        <v/>
      </c>
      <c r="H57" s="56" t="str">
        <f t="shared" si="2"/>
        <v/>
      </c>
      <c r="I57" s="57" t="str">
        <f t="shared" si="3"/>
        <v/>
      </c>
      <c r="J57" s="58" t="str">
        <f t="shared" si="4"/>
        <v/>
      </c>
      <c r="L57" s="31" t="str">
        <f t="shared" si="5"/>
        <v/>
      </c>
      <c r="M57" s="32" t="str">
        <f t="shared" si="10"/>
        <v/>
      </c>
      <c r="N57" s="32" t="str">
        <f t="shared" si="6"/>
        <v/>
      </c>
      <c r="O57" s="32" t="str">
        <f t="shared" si="7"/>
        <v/>
      </c>
      <c r="P57" s="32" t="str">
        <f t="shared" si="11"/>
        <v/>
      </c>
      <c r="Q57" s="33" t="str">
        <f t="shared" si="11"/>
        <v/>
      </c>
    </row>
    <row r="58" spans="2:17" x14ac:dyDescent="0.25">
      <c r="B58" s="9">
        <v>45</v>
      </c>
      <c r="C58" s="35">
        <v>3500</v>
      </c>
      <c r="D58" s="3"/>
      <c r="E58" s="9" t="str">
        <f t="shared" si="0"/>
        <v/>
      </c>
      <c r="F58" s="54" t="str">
        <f t="shared" si="9"/>
        <v/>
      </c>
      <c r="G58" s="73" t="str">
        <f t="shared" si="1"/>
        <v/>
      </c>
      <c r="H58" s="56" t="str">
        <f t="shared" si="2"/>
        <v/>
      </c>
      <c r="I58" s="57" t="str">
        <f t="shared" si="3"/>
        <v/>
      </c>
      <c r="J58" s="58" t="str">
        <f t="shared" si="4"/>
        <v/>
      </c>
      <c r="L58" s="31" t="str">
        <f t="shared" si="5"/>
        <v/>
      </c>
      <c r="M58" s="32" t="str">
        <f t="shared" si="10"/>
        <v/>
      </c>
      <c r="N58" s="32" t="str">
        <f t="shared" si="6"/>
        <v/>
      </c>
      <c r="O58" s="32" t="str">
        <f t="shared" si="7"/>
        <v/>
      </c>
      <c r="P58" s="32" t="str">
        <f t="shared" si="11"/>
        <v/>
      </c>
      <c r="Q58" s="33" t="str">
        <f t="shared" si="11"/>
        <v/>
      </c>
    </row>
    <row r="59" spans="2:17" x14ac:dyDescent="0.25">
      <c r="B59" s="9">
        <v>46</v>
      </c>
      <c r="C59" s="35">
        <v>4000</v>
      </c>
      <c r="D59" s="3"/>
      <c r="E59" s="9" t="str">
        <f t="shared" si="0"/>
        <v/>
      </c>
      <c r="F59" s="54" t="str">
        <f t="shared" si="9"/>
        <v/>
      </c>
      <c r="G59" s="73" t="str">
        <f t="shared" si="1"/>
        <v/>
      </c>
      <c r="H59" s="56" t="str">
        <f t="shared" si="2"/>
        <v/>
      </c>
      <c r="I59" s="57" t="str">
        <f t="shared" si="3"/>
        <v/>
      </c>
      <c r="J59" s="58" t="str">
        <f t="shared" si="4"/>
        <v/>
      </c>
      <c r="L59" s="31" t="str">
        <f t="shared" si="5"/>
        <v/>
      </c>
      <c r="M59" s="32" t="str">
        <f t="shared" si="10"/>
        <v/>
      </c>
      <c r="N59" s="32" t="str">
        <f t="shared" si="6"/>
        <v/>
      </c>
      <c r="O59" s="32" t="str">
        <f t="shared" si="7"/>
        <v/>
      </c>
      <c r="P59" s="32" t="str">
        <f t="shared" si="11"/>
        <v/>
      </c>
      <c r="Q59" s="33" t="str">
        <f t="shared" si="11"/>
        <v/>
      </c>
    </row>
    <row r="60" spans="2:17" x14ac:dyDescent="0.25">
      <c r="B60" s="9">
        <v>47</v>
      </c>
      <c r="C60" s="35">
        <v>4500</v>
      </c>
      <c r="D60" s="3"/>
      <c r="E60" s="9" t="str">
        <f t="shared" si="0"/>
        <v/>
      </c>
      <c r="F60" s="54" t="str">
        <f t="shared" si="9"/>
        <v/>
      </c>
      <c r="G60" s="73" t="str">
        <f t="shared" si="1"/>
        <v/>
      </c>
      <c r="H60" s="56" t="str">
        <f t="shared" si="2"/>
        <v/>
      </c>
      <c r="I60" s="57" t="str">
        <f t="shared" si="3"/>
        <v/>
      </c>
      <c r="J60" s="58" t="str">
        <f t="shared" si="4"/>
        <v/>
      </c>
      <c r="L60" s="31" t="str">
        <f t="shared" si="5"/>
        <v/>
      </c>
      <c r="M60" s="32" t="str">
        <f t="shared" si="10"/>
        <v/>
      </c>
      <c r="N60" s="32" t="str">
        <f t="shared" si="6"/>
        <v/>
      </c>
      <c r="O60" s="32" t="str">
        <f t="shared" si="7"/>
        <v/>
      </c>
      <c r="P60" s="32" t="str">
        <f t="shared" si="11"/>
        <v/>
      </c>
      <c r="Q60" s="33" t="str">
        <f t="shared" si="11"/>
        <v/>
      </c>
    </row>
    <row r="61" spans="2:17" x14ac:dyDescent="0.25">
      <c r="B61" s="9">
        <v>48</v>
      </c>
      <c r="C61" s="35">
        <v>5000</v>
      </c>
      <c r="D61" s="3"/>
      <c r="E61" s="9" t="str">
        <f t="shared" si="0"/>
        <v/>
      </c>
      <c r="F61" s="54" t="str">
        <f t="shared" si="9"/>
        <v/>
      </c>
      <c r="G61" s="73" t="str">
        <f t="shared" si="1"/>
        <v/>
      </c>
      <c r="H61" s="56" t="str">
        <f t="shared" si="2"/>
        <v/>
      </c>
      <c r="I61" s="57" t="str">
        <f t="shared" si="3"/>
        <v/>
      </c>
      <c r="J61" s="58" t="str">
        <f t="shared" si="4"/>
        <v/>
      </c>
      <c r="L61" s="31" t="str">
        <f t="shared" si="5"/>
        <v/>
      </c>
      <c r="M61" s="32" t="str">
        <f t="shared" si="10"/>
        <v/>
      </c>
      <c r="N61" s="32" t="str">
        <f t="shared" si="6"/>
        <v/>
      </c>
      <c r="O61" s="32" t="str">
        <f t="shared" si="7"/>
        <v/>
      </c>
      <c r="P61" s="32" t="str">
        <f t="shared" si="11"/>
        <v/>
      </c>
      <c r="Q61" s="33" t="str">
        <f t="shared" si="11"/>
        <v/>
      </c>
    </row>
    <row r="62" spans="2:17" x14ac:dyDescent="0.25">
      <c r="B62" s="9">
        <v>49</v>
      </c>
      <c r="C62" s="35">
        <v>5500</v>
      </c>
      <c r="D62" s="3"/>
      <c r="E62" s="9" t="str">
        <f t="shared" si="0"/>
        <v/>
      </c>
      <c r="F62" s="54" t="str">
        <f t="shared" si="9"/>
        <v/>
      </c>
      <c r="G62" s="73" t="str">
        <f t="shared" si="1"/>
        <v/>
      </c>
      <c r="H62" s="56" t="str">
        <f t="shared" si="2"/>
        <v/>
      </c>
      <c r="I62" s="57" t="str">
        <f t="shared" si="3"/>
        <v/>
      </c>
      <c r="J62" s="58" t="str">
        <f t="shared" si="4"/>
        <v/>
      </c>
      <c r="L62" s="31" t="str">
        <f t="shared" si="5"/>
        <v/>
      </c>
      <c r="M62" s="32" t="str">
        <f t="shared" si="10"/>
        <v/>
      </c>
      <c r="N62" s="32" t="str">
        <f t="shared" si="6"/>
        <v/>
      </c>
      <c r="O62" s="32" t="str">
        <f t="shared" si="7"/>
        <v/>
      </c>
      <c r="P62" s="32" t="str">
        <f t="shared" si="11"/>
        <v/>
      </c>
      <c r="Q62" s="33" t="str">
        <f t="shared" si="11"/>
        <v/>
      </c>
    </row>
    <row r="63" spans="2:17" x14ac:dyDescent="0.25">
      <c r="B63" s="9">
        <v>50</v>
      </c>
      <c r="C63" s="35">
        <v>6000</v>
      </c>
      <c r="D63" s="3"/>
      <c r="E63" s="9" t="str">
        <f t="shared" si="0"/>
        <v/>
      </c>
      <c r="F63" s="54" t="str">
        <f t="shared" si="9"/>
        <v/>
      </c>
      <c r="G63" s="73" t="str">
        <f t="shared" si="1"/>
        <v/>
      </c>
      <c r="H63" s="56" t="str">
        <f t="shared" si="2"/>
        <v/>
      </c>
      <c r="I63" s="57" t="str">
        <f t="shared" si="3"/>
        <v/>
      </c>
      <c r="J63" s="58" t="str">
        <f t="shared" si="4"/>
        <v/>
      </c>
      <c r="L63" s="31" t="str">
        <f t="shared" si="5"/>
        <v/>
      </c>
      <c r="M63" s="32" t="str">
        <f t="shared" si="10"/>
        <v/>
      </c>
      <c r="N63" s="32" t="str">
        <f t="shared" si="6"/>
        <v/>
      </c>
      <c r="O63" s="32" t="str">
        <f t="shared" si="7"/>
        <v/>
      </c>
      <c r="P63" s="32" t="str">
        <f t="shared" si="11"/>
        <v/>
      </c>
      <c r="Q63" s="33" t="str">
        <f t="shared" si="11"/>
        <v/>
      </c>
    </row>
    <row r="64" spans="2:17" x14ac:dyDescent="0.25">
      <c r="B64" s="9">
        <v>51</v>
      </c>
      <c r="C64" s="35">
        <v>6500</v>
      </c>
      <c r="D64" s="3"/>
      <c r="E64" s="9" t="str">
        <f t="shared" si="0"/>
        <v/>
      </c>
      <c r="F64" s="54" t="str">
        <f t="shared" si="9"/>
        <v/>
      </c>
      <c r="G64" s="73" t="str">
        <f t="shared" si="1"/>
        <v/>
      </c>
      <c r="H64" s="56" t="str">
        <f t="shared" si="2"/>
        <v/>
      </c>
      <c r="I64" s="57" t="str">
        <f t="shared" si="3"/>
        <v/>
      </c>
      <c r="J64" s="58" t="str">
        <f t="shared" si="4"/>
        <v/>
      </c>
      <c r="L64" s="31" t="str">
        <f t="shared" si="5"/>
        <v/>
      </c>
      <c r="M64" s="32" t="str">
        <f t="shared" si="10"/>
        <v/>
      </c>
      <c r="N64" s="32" t="str">
        <f t="shared" si="6"/>
        <v/>
      </c>
      <c r="O64" s="32" t="str">
        <f t="shared" si="7"/>
        <v/>
      </c>
      <c r="P64" s="32" t="str">
        <f t="shared" si="11"/>
        <v/>
      </c>
      <c r="Q64" s="33" t="str">
        <f t="shared" si="11"/>
        <v/>
      </c>
    </row>
    <row r="65" spans="2:17" x14ac:dyDescent="0.25">
      <c r="B65" s="9">
        <v>52</v>
      </c>
      <c r="C65" s="35">
        <v>7000</v>
      </c>
      <c r="D65" s="3"/>
      <c r="E65" s="9" t="str">
        <f t="shared" si="0"/>
        <v/>
      </c>
      <c r="F65" s="54" t="str">
        <f t="shared" si="9"/>
        <v/>
      </c>
      <c r="G65" s="73" t="str">
        <f t="shared" si="1"/>
        <v/>
      </c>
      <c r="H65" s="56" t="str">
        <f t="shared" si="2"/>
        <v/>
      </c>
      <c r="I65" s="57" t="str">
        <f t="shared" si="3"/>
        <v/>
      </c>
      <c r="J65" s="58" t="str">
        <f t="shared" si="4"/>
        <v/>
      </c>
      <c r="L65" s="31" t="str">
        <f t="shared" si="5"/>
        <v/>
      </c>
      <c r="M65" s="32" t="str">
        <f t="shared" si="10"/>
        <v/>
      </c>
      <c r="N65" s="32" t="str">
        <f t="shared" si="6"/>
        <v/>
      </c>
      <c r="O65" s="32" t="str">
        <f t="shared" si="7"/>
        <v/>
      </c>
      <c r="P65" s="32" t="str">
        <f t="shared" si="11"/>
        <v/>
      </c>
      <c r="Q65" s="33" t="str">
        <f t="shared" si="11"/>
        <v/>
      </c>
    </row>
    <row r="66" spans="2:17" x14ac:dyDescent="0.25">
      <c r="B66" s="9">
        <v>53</v>
      </c>
      <c r="C66" s="35">
        <v>7500</v>
      </c>
      <c r="D66" s="3"/>
      <c r="E66" s="9" t="str">
        <f t="shared" si="0"/>
        <v/>
      </c>
      <c r="F66" s="54" t="str">
        <f t="shared" si="9"/>
        <v/>
      </c>
      <c r="G66" s="73" t="str">
        <f t="shared" si="1"/>
        <v/>
      </c>
      <c r="H66" s="56" t="str">
        <f t="shared" si="2"/>
        <v/>
      </c>
      <c r="I66" s="57" t="str">
        <f t="shared" si="3"/>
        <v/>
      </c>
      <c r="J66" s="58" t="str">
        <f t="shared" si="4"/>
        <v/>
      </c>
      <c r="L66" s="31" t="str">
        <f t="shared" si="5"/>
        <v/>
      </c>
      <c r="M66" s="32" t="str">
        <f t="shared" si="10"/>
        <v/>
      </c>
      <c r="N66" s="32" t="str">
        <f t="shared" si="6"/>
        <v/>
      </c>
      <c r="O66" s="32" t="str">
        <f t="shared" si="7"/>
        <v/>
      </c>
      <c r="P66" s="32" t="str">
        <f t="shared" si="11"/>
        <v/>
      </c>
      <c r="Q66" s="33" t="str">
        <f t="shared" si="11"/>
        <v/>
      </c>
    </row>
    <row r="67" spans="2:17" x14ac:dyDescent="0.25">
      <c r="B67" s="9">
        <v>54</v>
      </c>
      <c r="C67" s="35">
        <v>8000</v>
      </c>
      <c r="D67" s="3"/>
      <c r="E67" s="9" t="str">
        <f t="shared" si="0"/>
        <v/>
      </c>
      <c r="F67" s="54" t="str">
        <f t="shared" si="9"/>
        <v/>
      </c>
      <c r="G67" s="73" t="str">
        <f t="shared" si="1"/>
        <v/>
      </c>
      <c r="H67" s="56" t="str">
        <f t="shared" si="2"/>
        <v/>
      </c>
      <c r="I67" s="57" t="str">
        <f t="shared" si="3"/>
        <v/>
      </c>
      <c r="J67" s="58" t="str">
        <f t="shared" si="4"/>
        <v/>
      </c>
      <c r="L67" s="31" t="str">
        <f t="shared" si="5"/>
        <v/>
      </c>
      <c r="M67" s="32" t="str">
        <f t="shared" si="10"/>
        <v/>
      </c>
      <c r="N67" s="32" t="str">
        <f t="shared" si="6"/>
        <v/>
      </c>
      <c r="O67" s="32" t="str">
        <f t="shared" si="7"/>
        <v/>
      </c>
      <c r="P67" s="32" t="str">
        <f t="shared" si="11"/>
        <v/>
      </c>
      <c r="Q67" s="33" t="str">
        <f t="shared" si="11"/>
        <v/>
      </c>
    </row>
    <row r="68" spans="2:17" x14ac:dyDescent="0.25">
      <c r="B68" s="9">
        <v>55</v>
      </c>
      <c r="C68" s="35">
        <v>8500</v>
      </c>
      <c r="D68" s="3"/>
      <c r="E68" s="9" t="str">
        <f t="shared" si="0"/>
        <v/>
      </c>
      <c r="F68" s="54" t="str">
        <f t="shared" si="9"/>
        <v/>
      </c>
      <c r="G68" s="73" t="str">
        <f t="shared" si="1"/>
        <v/>
      </c>
      <c r="H68" s="56" t="str">
        <f t="shared" si="2"/>
        <v/>
      </c>
      <c r="I68" s="57" t="str">
        <f t="shared" si="3"/>
        <v/>
      </c>
      <c r="J68" s="58" t="str">
        <f t="shared" si="4"/>
        <v/>
      </c>
      <c r="L68" s="31" t="str">
        <f t="shared" si="5"/>
        <v/>
      </c>
      <c r="M68" s="32" t="str">
        <f t="shared" si="10"/>
        <v/>
      </c>
      <c r="N68" s="32" t="str">
        <f t="shared" si="6"/>
        <v/>
      </c>
      <c r="O68" s="32" t="str">
        <f t="shared" si="7"/>
        <v/>
      </c>
      <c r="P68" s="32" t="str">
        <f t="shared" si="11"/>
        <v/>
      </c>
      <c r="Q68" s="33" t="str">
        <f t="shared" si="11"/>
        <v/>
      </c>
    </row>
    <row r="69" spans="2:17" x14ac:dyDescent="0.25">
      <c r="B69" s="9">
        <v>56</v>
      </c>
      <c r="C69" s="35">
        <v>9000</v>
      </c>
      <c r="D69" s="3"/>
      <c r="E69" s="9" t="str">
        <f t="shared" si="0"/>
        <v/>
      </c>
      <c r="F69" s="54" t="str">
        <f t="shared" si="9"/>
        <v/>
      </c>
      <c r="G69" s="73" t="str">
        <f t="shared" si="1"/>
        <v/>
      </c>
      <c r="H69" s="56" t="str">
        <f t="shared" si="2"/>
        <v/>
      </c>
      <c r="I69" s="57" t="str">
        <f t="shared" si="3"/>
        <v/>
      </c>
      <c r="J69" s="58" t="str">
        <f t="shared" si="4"/>
        <v/>
      </c>
      <c r="L69" s="31" t="str">
        <f t="shared" si="5"/>
        <v/>
      </c>
      <c r="M69" s="32" t="str">
        <f t="shared" si="10"/>
        <v/>
      </c>
      <c r="N69" s="32" t="str">
        <f t="shared" si="6"/>
        <v/>
      </c>
      <c r="O69" s="32" t="str">
        <f t="shared" si="7"/>
        <v/>
      </c>
      <c r="P69" s="32" t="str">
        <f t="shared" si="11"/>
        <v/>
      </c>
      <c r="Q69" s="33" t="str">
        <f t="shared" si="11"/>
        <v/>
      </c>
    </row>
    <row r="70" spans="2:17" x14ac:dyDescent="0.25">
      <c r="B70" s="9">
        <v>57</v>
      </c>
      <c r="C70" s="35">
        <v>9500</v>
      </c>
      <c r="D70" s="3"/>
      <c r="E70" s="9" t="str">
        <f t="shared" si="0"/>
        <v/>
      </c>
      <c r="F70" s="54" t="str">
        <f t="shared" si="9"/>
        <v/>
      </c>
      <c r="G70" s="73" t="str">
        <f t="shared" si="1"/>
        <v/>
      </c>
      <c r="H70" s="56" t="str">
        <f t="shared" si="2"/>
        <v/>
      </c>
      <c r="I70" s="57" t="str">
        <f t="shared" si="3"/>
        <v/>
      </c>
      <c r="J70" s="58" t="str">
        <f t="shared" si="4"/>
        <v/>
      </c>
      <c r="L70" s="31" t="str">
        <f t="shared" si="5"/>
        <v/>
      </c>
      <c r="M70" s="32" t="str">
        <f t="shared" si="10"/>
        <v/>
      </c>
      <c r="N70" s="32" t="str">
        <f t="shared" si="6"/>
        <v/>
      </c>
      <c r="O70" s="32" t="str">
        <f t="shared" si="7"/>
        <v/>
      </c>
      <c r="P70" s="32" t="str">
        <f t="shared" si="11"/>
        <v/>
      </c>
      <c r="Q70" s="33" t="str">
        <f t="shared" si="11"/>
        <v/>
      </c>
    </row>
    <row r="71" spans="2:17" x14ac:dyDescent="0.25">
      <c r="B71" s="9">
        <v>58</v>
      </c>
      <c r="C71" s="35">
        <v>10000</v>
      </c>
      <c r="D71" s="3"/>
      <c r="E71" s="9" t="str">
        <f t="shared" si="0"/>
        <v/>
      </c>
      <c r="F71" s="54" t="str">
        <f t="shared" si="9"/>
        <v/>
      </c>
      <c r="G71" s="73" t="str">
        <f t="shared" si="1"/>
        <v/>
      </c>
      <c r="H71" s="56" t="str">
        <f t="shared" si="2"/>
        <v/>
      </c>
      <c r="I71" s="57" t="str">
        <f t="shared" si="3"/>
        <v/>
      </c>
      <c r="J71" s="58" t="str">
        <f t="shared" si="4"/>
        <v/>
      </c>
      <c r="L71" s="31" t="str">
        <f t="shared" si="5"/>
        <v/>
      </c>
      <c r="M71" s="32" t="str">
        <f t="shared" si="10"/>
        <v/>
      </c>
      <c r="N71" s="32" t="str">
        <f t="shared" si="6"/>
        <v/>
      </c>
      <c r="O71" s="32" t="str">
        <f t="shared" si="7"/>
        <v/>
      </c>
      <c r="P71" s="32" t="str">
        <f t="shared" si="11"/>
        <v/>
      </c>
      <c r="Q71" s="33" t="str">
        <f t="shared" si="11"/>
        <v/>
      </c>
    </row>
    <row r="72" spans="2:17" x14ac:dyDescent="0.25">
      <c r="B72" s="9">
        <v>59</v>
      </c>
      <c r="C72" s="35">
        <v>10500</v>
      </c>
      <c r="D72" s="3"/>
      <c r="E72" s="9" t="str">
        <f t="shared" si="0"/>
        <v/>
      </c>
      <c r="F72" s="54" t="str">
        <f t="shared" si="9"/>
        <v/>
      </c>
      <c r="G72" s="73" t="str">
        <f t="shared" si="1"/>
        <v/>
      </c>
      <c r="H72" s="56" t="str">
        <f t="shared" si="2"/>
        <v/>
      </c>
      <c r="I72" s="57" t="str">
        <f t="shared" si="3"/>
        <v/>
      </c>
      <c r="J72" s="58" t="str">
        <f t="shared" si="4"/>
        <v/>
      </c>
      <c r="L72" s="31" t="str">
        <f t="shared" si="5"/>
        <v/>
      </c>
      <c r="M72" s="32" t="str">
        <f t="shared" si="10"/>
        <v/>
      </c>
      <c r="N72" s="32" t="str">
        <f t="shared" si="6"/>
        <v/>
      </c>
      <c r="O72" s="32" t="str">
        <f t="shared" si="7"/>
        <v/>
      </c>
      <c r="P72" s="32" t="str">
        <f t="shared" si="11"/>
        <v/>
      </c>
      <c r="Q72" s="33" t="str">
        <f t="shared" si="11"/>
        <v/>
      </c>
    </row>
    <row r="73" spans="2:17" x14ac:dyDescent="0.25">
      <c r="B73" s="9">
        <v>60</v>
      </c>
      <c r="C73" s="35">
        <v>11000</v>
      </c>
      <c r="D73" s="3"/>
      <c r="E73" s="9" t="str">
        <f t="shared" si="0"/>
        <v/>
      </c>
      <c r="F73" s="54" t="str">
        <f t="shared" si="9"/>
        <v/>
      </c>
      <c r="G73" s="73" t="str">
        <f t="shared" si="1"/>
        <v/>
      </c>
      <c r="H73" s="56" t="str">
        <f t="shared" si="2"/>
        <v/>
      </c>
      <c r="I73" s="57" t="str">
        <f t="shared" si="3"/>
        <v/>
      </c>
      <c r="J73" s="58" t="str">
        <f t="shared" si="4"/>
        <v/>
      </c>
      <c r="L73" s="31" t="str">
        <f t="shared" si="5"/>
        <v/>
      </c>
      <c r="M73" s="32" t="str">
        <f t="shared" si="10"/>
        <v/>
      </c>
      <c r="N73" s="32" t="str">
        <f t="shared" si="6"/>
        <v/>
      </c>
      <c r="O73" s="32" t="str">
        <f t="shared" si="7"/>
        <v/>
      </c>
      <c r="P73" s="32" t="str">
        <f t="shared" si="11"/>
        <v/>
      </c>
      <c r="Q73" s="33" t="str">
        <f t="shared" si="11"/>
        <v/>
      </c>
    </row>
    <row r="74" spans="2:17" x14ac:dyDescent="0.25">
      <c r="B74" s="9">
        <v>61</v>
      </c>
      <c r="C74" s="35">
        <v>11500</v>
      </c>
      <c r="D74" s="3"/>
      <c r="E74" s="9" t="str">
        <f t="shared" si="0"/>
        <v/>
      </c>
      <c r="F74" s="54" t="str">
        <f t="shared" si="9"/>
        <v/>
      </c>
      <c r="G74" s="73" t="str">
        <f t="shared" si="1"/>
        <v/>
      </c>
      <c r="H74" s="56" t="str">
        <f t="shared" si="2"/>
        <v/>
      </c>
      <c r="I74" s="57" t="str">
        <f t="shared" si="3"/>
        <v/>
      </c>
      <c r="J74" s="58" t="str">
        <f t="shared" si="4"/>
        <v/>
      </c>
      <c r="L74" s="31" t="str">
        <f t="shared" si="5"/>
        <v/>
      </c>
      <c r="M74" s="32" t="str">
        <f t="shared" si="10"/>
        <v/>
      </c>
      <c r="N74" s="32" t="str">
        <f t="shared" si="6"/>
        <v/>
      </c>
      <c r="O74" s="32" t="str">
        <f t="shared" si="7"/>
        <v/>
      </c>
      <c r="P74" s="32" t="str">
        <f t="shared" si="11"/>
        <v/>
      </c>
      <c r="Q74" s="33" t="str">
        <f t="shared" si="11"/>
        <v/>
      </c>
    </row>
    <row r="75" spans="2:17" x14ac:dyDescent="0.25">
      <c r="B75" s="9">
        <v>62</v>
      </c>
      <c r="C75" s="35">
        <v>12000</v>
      </c>
      <c r="D75" s="3"/>
      <c r="E75" s="9" t="str">
        <f t="shared" si="0"/>
        <v/>
      </c>
      <c r="F75" s="54" t="str">
        <f t="shared" si="9"/>
        <v/>
      </c>
      <c r="G75" s="73" t="str">
        <f t="shared" si="1"/>
        <v/>
      </c>
      <c r="H75" s="56" t="str">
        <f t="shared" si="2"/>
        <v/>
      </c>
      <c r="I75" s="57" t="str">
        <f t="shared" si="3"/>
        <v/>
      </c>
      <c r="J75" s="58" t="str">
        <f t="shared" si="4"/>
        <v/>
      </c>
      <c r="L75" s="31" t="str">
        <f t="shared" si="5"/>
        <v/>
      </c>
      <c r="M75" s="32" t="str">
        <f t="shared" si="10"/>
        <v/>
      </c>
      <c r="N75" s="32" t="str">
        <f t="shared" si="6"/>
        <v/>
      </c>
      <c r="O75" s="32" t="str">
        <f t="shared" si="7"/>
        <v/>
      </c>
      <c r="P75" s="32" t="str">
        <f t="shared" si="11"/>
        <v/>
      </c>
      <c r="Q75" s="33" t="str">
        <f t="shared" si="11"/>
        <v/>
      </c>
    </row>
    <row r="76" spans="2:17" x14ac:dyDescent="0.25">
      <c r="B76" s="9">
        <v>63</v>
      </c>
      <c r="C76" s="35">
        <v>12500</v>
      </c>
      <c r="D76" s="3"/>
      <c r="E76" s="9" t="str">
        <f t="shared" si="0"/>
        <v/>
      </c>
      <c r="F76" s="54" t="str">
        <f t="shared" si="9"/>
        <v/>
      </c>
      <c r="G76" s="73" t="str">
        <f t="shared" si="1"/>
        <v/>
      </c>
      <c r="H76" s="56" t="str">
        <f t="shared" si="2"/>
        <v/>
      </c>
      <c r="I76" s="57" t="str">
        <f t="shared" si="3"/>
        <v/>
      </c>
      <c r="J76" s="58" t="str">
        <f t="shared" si="4"/>
        <v/>
      </c>
      <c r="L76" s="31" t="str">
        <f t="shared" si="5"/>
        <v/>
      </c>
      <c r="M76" s="32" t="str">
        <f t="shared" si="10"/>
        <v/>
      </c>
      <c r="N76" s="32" t="str">
        <f t="shared" si="6"/>
        <v/>
      </c>
      <c r="O76" s="32" t="str">
        <f t="shared" si="7"/>
        <v/>
      </c>
      <c r="P76" s="32" t="str">
        <f t="shared" si="11"/>
        <v/>
      </c>
      <c r="Q76" s="33" t="str">
        <f t="shared" si="11"/>
        <v/>
      </c>
    </row>
    <row r="77" spans="2:17" x14ac:dyDescent="0.25">
      <c r="B77" s="9">
        <v>64</v>
      </c>
      <c r="C77" s="35">
        <v>13000</v>
      </c>
      <c r="D77" s="3"/>
      <c r="E77" s="9" t="str">
        <f t="shared" si="0"/>
        <v/>
      </c>
      <c r="F77" s="54" t="str">
        <f t="shared" si="9"/>
        <v/>
      </c>
      <c r="G77" s="73" t="str">
        <f t="shared" si="1"/>
        <v/>
      </c>
      <c r="H77" s="56" t="str">
        <f t="shared" si="2"/>
        <v/>
      </c>
      <c r="I77" s="57" t="str">
        <f t="shared" si="3"/>
        <v/>
      </c>
      <c r="J77" s="58" t="str">
        <f t="shared" si="4"/>
        <v/>
      </c>
      <c r="L77" s="31" t="str">
        <f t="shared" si="5"/>
        <v/>
      </c>
      <c r="M77" s="32" t="str">
        <f t="shared" si="10"/>
        <v/>
      </c>
      <c r="N77" s="32" t="str">
        <f t="shared" si="6"/>
        <v/>
      </c>
      <c r="O77" s="32" t="str">
        <f t="shared" si="7"/>
        <v/>
      </c>
      <c r="P77" s="32" t="str">
        <f t="shared" si="11"/>
        <v/>
      </c>
      <c r="Q77" s="33" t="str">
        <f t="shared" si="11"/>
        <v/>
      </c>
    </row>
    <row r="78" spans="2:17" x14ac:dyDescent="0.25">
      <c r="B78" s="9">
        <v>65</v>
      </c>
      <c r="C78" s="35">
        <v>13500</v>
      </c>
      <c r="D78" s="3"/>
      <c r="E78" s="9" t="str">
        <f t="shared" ref="E78:E141" si="12">IF(L78="","",ROUND(12*C$7/(2*H$7^2+2*H$6*H$7-H$6^2)*L78*1000000,0))</f>
        <v/>
      </c>
      <c r="F78" s="54" t="str">
        <f t="shared" si="9"/>
        <v/>
      </c>
      <c r="G78" s="73" t="str">
        <f t="shared" ref="G78:G141" si="13">IF(L78="","",ROUND(1.5*((N78-O78)*1000*H$7)/(C$6*C$7^2),3))</f>
        <v/>
      </c>
      <c r="H78" s="56" t="str">
        <f t="shared" ref="H78:H141" si="14">IF(L78="","",ROUND(1.5*((N78/2-O78)*1000*H$7)/(C$6*C$7^2),3))</f>
        <v/>
      </c>
      <c r="I78" s="57" t="str">
        <f t="shared" ref="I78:I141" si="15">IF(L78="","",IF(P78&lt;=0,"foute meting",ROUND(0.000001*V$4*SQRT((1000000*Q78)^2+(1000000*P78+V$5*(2*PI()*H$5)^2)^2),0)))</f>
        <v/>
      </c>
      <c r="J78" s="58" t="str">
        <f t="shared" ref="J78:J141" si="16">IF(L78="","",ROUND(ATAN(Q78/P78)/PI()*180,1))</f>
        <v/>
      </c>
      <c r="L78" s="31" t="str">
        <f t="shared" ref="L78:L141" si="17">IF(AG80&lt;=0,"",AG80)</f>
        <v/>
      </c>
      <c r="M78" s="32" t="str">
        <f t="shared" si="10"/>
        <v/>
      </c>
      <c r="N78" s="32" t="str">
        <f t="shared" ref="N78:N141" si="18">IF(AI80="","",AI80)</f>
        <v/>
      </c>
      <c r="O78" s="32" t="str">
        <f t="shared" ref="O78:O141" si="19">IF(AH80="","",AH80)</f>
        <v/>
      </c>
      <c r="P78" s="32" t="str">
        <f t="shared" ref="P78:Q109" si="20">IF(AJ80="","",AJ80)</f>
        <v/>
      </c>
      <c r="Q78" s="33" t="str">
        <f t="shared" si="20"/>
        <v/>
      </c>
    </row>
    <row r="79" spans="2:17" x14ac:dyDescent="0.25">
      <c r="B79" s="9">
        <v>66</v>
      </c>
      <c r="C79" s="35">
        <v>14000</v>
      </c>
      <c r="D79" s="3"/>
      <c r="E79" s="9" t="str">
        <f t="shared" si="12"/>
        <v/>
      </c>
      <c r="F79" s="54" t="str">
        <f t="shared" ref="F79:F142" si="21">IF(L79="","",ABS(ROUND(12*C$7/(2*(H$7/1000)^2+2*(H$6/1000)*(H$7/1000)-(H$6/1000)^2)*(M79-M$14)*1,0)))</f>
        <v/>
      </c>
      <c r="G79" s="73" t="str">
        <f t="shared" si="13"/>
        <v/>
      </c>
      <c r="H79" s="56" t="str">
        <f t="shared" si="14"/>
        <v/>
      </c>
      <c r="I79" s="57" t="str">
        <f t="shared" si="15"/>
        <v/>
      </c>
      <c r="J79" s="58" t="str">
        <f t="shared" si="16"/>
        <v/>
      </c>
      <c r="L79" s="31" t="str">
        <f t="shared" si="17"/>
        <v/>
      </c>
      <c r="M79" s="32" t="str">
        <f t="shared" ref="M79:M142" si="22">IF(AG81="","",AG81/2-AE81)</f>
        <v/>
      </c>
      <c r="N79" s="32" t="str">
        <f t="shared" si="18"/>
        <v/>
      </c>
      <c r="O79" s="32" t="str">
        <f t="shared" si="19"/>
        <v/>
      </c>
      <c r="P79" s="32" t="str">
        <f t="shared" si="20"/>
        <v/>
      </c>
      <c r="Q79" s="33" t="str">
        <f t="shared" si="20"/>
        <v/>
      </c>
    </row>
    <row r="80" spans="2:17" x14ac:dyDescent="0.25">
      <c r="B80" s="9">
        <v>67</v>
      </c>
      <c r="C80" s="35">
        <v>14500</v>
      </c>
      <c r="D80" s="3"/>
      <c r="E80" s="9" t="str">
        <f t="shared" si="12"/>
        <v/>
      </c>
      <c r="F80" s="54" t="str">
        <f t="shared" si="21"/>
        <v/>
      </c>
      <c r="G80" s="73" t="str">
        <f t="shared" si="13"/>
        <v/>
      </c>
      <c r="H80" s="56" t="str">
        <f t="shared" si="14"/>
        <v/>
      </c>
      <c r="I80" s="57" t="str">
        <f t="shared" si="15"/>
        <v/>
      </c>
      <c r="J80" s="58" t="str">
        <f t="shared" si="16"/>
        <v/>
      </c>
      <c r="L80" s="31" t="str">
        <f t="shared" si="17"/>
        <v/>
      </c>
      <c r="M80" s="32" t="str">
        <f t="shared" si="22"/>
        <v/>
      </c>
      <c r="N80" s="32" t="str">
        <f t="shared" si="18"/>
        <v/>
      </c>
      <c r="O80" s="32" t="str">
        <f t="shared" si="19"/>
        <v/>
      </c>
      <c r="P80" s="32" t="str">
        <f t="shared" si="20"/>
        <v/>
      </c>
      <c r="Q80" s="33" t="str">
        <f t="shared" si="20"/>
        <v/>
      </c>
    </row>
    <row r="81" spans="2:17" x14ac:dyDescent="0.25">
      <c r="B81" s="9">
        <v>68</v>
      </c>
      <c r="C81" s="35">
        <v>15000</v>
      </c>
      <c r="D81" s="3"/>
      <c r="E81" s="9" t="str">
        <f t="shared" si="12"/>
        <v/>
      </c>
      <c r="F81" s="54" t="str">
        <f t="shared" si="21"/>
        <v/>
      </c>
      <c r="G81" s="73" t="str">
        <f t="shared" si="13"/>
        <v/>
      </c>
      <c r="H81" s="56" t="str">
        <f t="shared" si="14"/>
        <v/>
      </c>
      <c r="I81" s="57" t="str">
        <f t="shared" si="15"/>
        <v/>
      </c>
      <c r="J81" s="58" t="str">
        <f t="shared" si="16"/>
        <v/>
      </c>
      <c r="L81" s="31" t="str">
        <f t="shared" si="17"/>
        <v/>
      </c>
      <c r="M81" s="32" t="str">
        <f t="shared" si="22"/>
        <v/>
      </c>
      <c r="N81" s="32" t="str">
        <f t="shared" si="18"/>
        <v/>
      </c>
      <c r="O81" s="32" t="str">
        <f t="shared" si="19"/>
        <v/>
      </c>
      <c r="P81" s="32" t="str">
        <f t="shared" si="20"/>
        <v/>
      </c>
      <c r="Q81" s="33" t="str">
        <f t="shared" si="20"/>
        <v/>
      </c>
    </row>
    <row r="82" spans="2:17" x14ac:dyDescent="0.25">
      <c r="B82" s="9">
        <v>69</v>
      </c>
      <c r="C82" s="35">
        <v>15500</v>
      </c>
      <c r="D82" s="3"/>
      <c r="E82" s="9" t="str">
        <f t="shared" si="12"/>
        <v/>
      </c>
      <c r="F82" s="54" t="str">
        <f t="shared" si="21"/>
        <v/>
      </c>
      <c r="G82" s="73" t="str">
        <f t="shared" si="13"/>
        <v/>
      </c>
      <c r="H82" s="56" t="str">
        <f t="shared" si="14"/>
        <v/>
      </c>
      <c r="I82" s="57" t="str">
        <f t="shared" si="15"/>
        <v/>
      </c>
      <c r="J82" s="58" t="str">
        <f t="shared" si="16"/>
        <v/>
      </c>
      <c r="L82" s="31" t="str">
        <f t="shared" si="17"/>
        <v/>
      </c>
      <c r="M82" s="32" t="str">
        <f t="shared" si="22"/>
        <v/>
      </c>
      <c r="N82" s="32" t="str">
        <f t="shared" si="18"/>
        <v/>
      </c>
      <c r="O82" s="32" t="str">
        <f t="shared" si="19"/>
        <v/>
      </c>
      <c r="P82" s="32" t="str">
        <f t="shared" si="20"/>
        <v/>
      </c>
      <c r="Q82" s="33" t="str">
        <f t="shared" si="20"/>
        <v/>
      </c>
    </row>
    <row r="83" spans="2:17" x14ac:dyDescent="0.25">
      <c r="B83" s="9">
        <v>70</v>
      </c>
      <c r="C83" s="35">
        <v>16000</v>
      </c>
      <c r="D83" s="3"/>
      <c r="E83" s="9" t="str">
        <f t="shared" si="12"/>
        <v/>
      </c>
      <c r="F83" s="54" t="str">
        <f t="shared" si="21"/>
        <v/>
      </c>
      <c r="G83" s="73" t="str">
        <f t="shared" si="13"/>
        <v/>
      </c>
      <c r="H83" s="56" t="str">
        <f t="shared" si="14"/>
        <v/>
      </c>
      <c r="I83" s="57" t="str">
        <f t="shared" si="15"/>
        <v/>
      </c>
      <c r="J83" s="58" t="str">
        <f t="shared" si="16"/>
        <v/>
      </c>
      <c r="L83" s="31" t="str">
        <f t="shared" si="17"/>
        <v/>
      </c>
      <c r="M83" s="32" t="str">
        <f t="shared" si="22"/>
        <v/>
      </c>
      <c r="N83" s="32" t="str">
        <f t="shared" si="18"/>
        <v/>
      </c>
      <c r="O83" s="32" t="str">
        <f t="shared" si="19"/>
        <v/>
      </c>
      <c r="P83" s="32" t="str">
        <f t="shared" si="20"/>
        <v/>
      </c>
      <c r="Q83" s="33" t="str">
        <f t="shared" si="20"/>
        <v/>
      </c>
    </row>
    <row r="84" spans="2:17" x14ac:dyDescent="0.25">
      <c r="B84" s="9">
        <v>71</v>
      </c>
      <c r="C84" s="35">
        <v>16500</v>
      </c>
      <c r="D84" s="3"/>
      <c r="E84" s="9" t="str">
        <f t="shared" si="12"/>
        <v/>
      </c>
      <c r="F84" s="54" t="str">
        <f t="shared" si="21"/>
        <v/>
      </c>
      <c r="G84" s="73" t="str">
        <f t="shared" si="13"/>
        <v/>
      </c>
      <c r="H84" s="56" t="str">
        <f t="shared" si="14"/>
        <v/>
      </c>
      <c r="I84" s="57" t="str">
        <f t="shared" si="15"/>
        <v/>
      </c>
      <c r="J84" s="58" t="str">
        <f t="shared" si="16"/>
        <v/>
      </c>
      <c r="L84" s="31" t="str">
        <f t="shared" si="17"/>
        <v/>
      </c>
      <c r="M84" s="32" t="str">
        <f t="shared" si="22"/>
        <v/>
      </c>
      <c r="N84" s="32" t="str">
        <f t="shared" si="18"/>
        <v/>
      </c>
      <c r="O84" s="32" t="str">
        <f t="shared" si="19"/>
        <v/>
      </c>
      <c r="P84" s="32" t="str">
        <f t="shared" si="20"/>
        <v/>
      </c>
      <c r="Q84" s="33" t="str">
        <f t="shared" si="20"/>
        <v/>
      </c>
    </row>
    <row r="85" spans="2:17" x14ac:dyDescent="0.25">
      <c r="B85" s="9">
        <v>72</v>
      </c>
      <c r="C85" s="35">
        <v>17000</v>
      </c>
      <c r="D85" s="3"/>
      <c r="E85" s="9" t="str">
        <f t="shared" si="12"/>
        <v/>
      </c>
      <c r="F85" s="54" t="str">
        <f t="shared" si="21"/>
        <v/>
      </c>
      <c r="G85" s="73" t="str">
        <f t="shared" si="13"/>
        <v/>
      </c>
      <c r="H85" s="56" t="str">
        <f t="shared" si="14"/>
        <v/>
      </c>
      <c r="I85" s="57" t="str">
        <f t="shared" si="15"/>
        <v/>
      </c>
      <c r="J85" s="58" t="str">
        <f t="shared" si="16"/>
        <v/>
      </c>
      <c r="L85" s="31" t="str">
        <f t="shared" si="17"/>
        <v/>
      </c>
      <c r="M85" s="32" t="str">
        <f t="shared" si="22"/>
        <v/>
      </c>
      <c r="N85" s="32" t="str">
        <f t="shared" si="18"/>
        <v/>
      </c>
      <c r="O85" s="32" t="str">
        <f t="shared" si="19"/>
        <v/>
      </c>
      <c r="P85" s="32" t="str">
        <f t="shared" si="20"/>
        <v/>
      </c>
      <c r="Q85" s="33" t="str">
        <f t="shared" si="20"/>
        <v/>
      </c>
    </row>
    <row r="86" spans="2:17" x14ac:dyDescent="0.25">
      <c r="B86" s="9">
        <v>73</v>
      </c>
      <c r="C86" s="35">
        <v>17500</v>
      </c>
      <c r="D86" s="3"/>
      <c r="E86" s="9" t="str">
        <f t="shared" si="12"/>
        <v/>
      </c>
      <c r="F86" s="54" t="str">
        <f t="shared" si="21"/>
        <v/>
      </c>
      <c r="G86" s="73" t="str">
        <f t="shared" si="13"/>
        <v/>
      </c>
      <c r="H86" s="56" t="str">
        <f t="shared" si="14"/>
        <v/>
      </c>
      <c r="I86" s="57" t="str">
        <f t="shared" si="15"/>
        <v/>
      </c>
      <c r="J86" s="58" t="str">
        <f t="shared" si="16"/>
        <v/>
      </c>
      <c r="L86" s="31" t="str">
        <f t="shared" si="17"/>
        <v/>
      </c>
      <c r="M86" s="32" t="str">
        <f t="shared" si="22"/>
        <v/>
      </c>
      <c r="N86" s="32" t="str">
        <f t="shared" si="18"/>
        <v/>
      </c>
      <c r="O86" s="32" t="str">
        <f t="shared" si="19"/>
        <v/>
      </c>
      <c r="P86" s="32" t="str">
        <f t="shared" si="20"/>
        <v/>
      </c>
      <c r="Q86" s="33" t="str">
        <f t="shared" si="20"/>
        <v/>
      </c>
    </row>
    <row r="87" spans="2:17" x14ac:dyDescent="0.25">
      <c r="B87" s="9">
        <v>74</v>
      </c>
      <c r="C87" s="35">
        <v>18000</v>
      </c>
      <c r="D87" s="3"/>
      <c r="E87" s="9" t="str">
        <f t="shared" si="12"/>
        <v/>
      </c>
      <c r="F87" s="54" t="str">
        <f t="shared" si="21"/>
        <v/>
      </c>
      <c r="G87" s="73" t="str">
        <f t="shared" si="13"/>
        <v/>
      </c>
      <c r="H87" s="56" t="str">
        <f t="shared" si="14"/>
        <v/>
      </c>
      <c r="I87" s="57" t="str">
        <f t="shared" si="15"/>
        <v/>
      </c>
      <c r="J87" s="58" t="str">
        <f t="shared" si="16"/>
        <v/>
      </c>
      <c r="L87" s="31" t="str">
        <f t="shared" si="17"/>
        <v/>
      </c>
      <c r="M87" s="32" t="str">
        <f t="shared" si="22"/>
        <v/>
      </c>
      <c r="N87" s="32" t="str">
        <f t="shared" si="18"/>
        <v/>
      </c>
      <c r="O87" s="32" t="str">
        <f t="shared" si="19"/>
        <v/>
      </c>
      <c r="P87" s="32" t="str">
        <f t="shared" si="20"/>
        <v/>
      </c>
      <c r="Q87" s="33" t="str">
        <f t="shared" si="20"/>
        <v/>
      </c>
    </row>
    <row r="88" spans="2:17" x14ac:dyDescent="0.25">
      <c r="B88" s="9">
        <v>75</v>
      </c>
      <c r="C88" s="35">
        <v>18500</v>
      </c>
      <c r="D88" s="3"/>
      <c r="E88" s="9" t="str">
        <f t="shared" si="12"/>
        <v/>
      </c>
      <c r="F88" s="54" t="str">
        <f t="shared" si="21"/>
        <v/>
      </c>
      <c r="G88" s="73" t="str">
        <f t="shared" si="13"/>
        <v/>
      </c>
      <c r="H88" s="56" t="str">
        <f t="shared" si="14"/>
        <v/>
      </c>
      <c r="I88" s="57" t="str">
        <f t="shared" si="15"/>
        <v/>
      </c>
      <c r="J88" s="58" t="str">
        <f t="shared" si="16"/>
        <v/>
      </c>
      <c r="L88" s="31" t="str">
        <f t="shared" si="17"/>
        <v/>
      </c>
      <c r="M88" s="32" t="str">
        <f t="shared" si="22"/>
        <v/>
      </c>
      <c r="N88" s="32" t="str">
        <f t="shared" si="18"/>
        <v/>
      </c>
      <c r="O88" s="32" t="str">
        <f t="shared" si="19"/>
        <v/>
      </c>
      <c r="P88" s="32" t="str">
        <f t="shared" si="20"/>
        <v/>
      </c>
      <c r="Q88" s="33" t="str">
        <f t="shared" si="20"/>
        <v/>
      </c>
    </row>
    <row r="89" spans="2:17" x14ac:dyDescent="0.25">
      <c r="B89" s="9">
        <v>76</v>
      </c>
      <c r="C89" s="35">
        <v>19000</v>
      </c>
      <c r="D89" s="3"/>
      <c r="E89" s="9" t="str">
        <f t="shared" si="12"/>
        <v/>
      </c>
      <c r="F89" s="54" t="str">
        <f t="shared" si="21"/>
        <v/>
      </c>
      <c r="G89" s="73" t="str">
        <f t="shared" si="13"/>
        <v/>
      </c>
      <c r="H89" s="56" t="str">
        <f t="shared" si="14"/>
        <v/>
      </c>
      <c r="I89" s="57" t="str">
        <f t="shared" si="15"/>
        <v/>
      </c>
      <c r="J89" s="58" t="str">
        <f t="shared" si="16"/>
        <v/>
      </c>
      <c r="L89" s="31" t="str">
        <f t="shared" si="17"/>
        <v/>
      </c>
      <c r="M89" s="32" t="str">
        <f t="shared" si="22"/>
        <v/>
      </c>
      <c r="N89" s="32" t="str">
        <f t="shared" si="18"/>
        <v/>
      </c>
      <c r="O89" s="32" t="str">
        <f t="shared" si="19"/>
        <v/>
      </c>
      <c r="P89" s="32" t="str">
        <f t="shared" si="20"/>
        <v/>
      </c>
      <c r="Q89" s="33" t="str">
        <f t="shared" si="20"/>
        <v/>
      </c>
    </row>
    <row r="90" spans="2:17" x14ac:dyDescent="0.25">
      <c r="B90" s="9">
        <v>77</v>
      </c>
      <c r="C90" s="35">
        <v>19500</v>
      </c>
      <c r="D90" s="3"/>
      <c r="E90" s="9" t="str">
        <f t="shared" si="12"/>
        <v/>
      </c>
      <c r="F90" s="54" t="str">
        <f t="shared" si="21"/>
        <v/>
      </c>
      <c r="G90" s="73" t="str">
        <f t="shared" si="13"/>
        <v/>
      </c>
      <c r="H90" s="56" t="str">
        <f t="shared" si="14"/>
        <v/>
      </c>
      <c r="I90" s="57" t="str">
        <f t="shared" si="15"/>
        <v/>
      </c>
      <c r="J90" s="58" t="str">
        <f t="shared" si="16"/>
        <v/>
      </c>
      <c r="L90" s="31" t="str">
        <f t="shared" si="17"/>
        <v/>
      </c>
      <c r="M90" s="32" t="str">
        <f t="shared" si="22"/>
        <v/>
      </c>
      <c r="N90" s="32" t="str">
        <f t="shared" si="18"/>
        <v/>
      </c>
      <c r="O90" s="32" t="str">
        <f t="shared" si="19"/>
        <v/>
      </c>
      <c r="P90" s="32" t="str">
        <f t="shared" si="20"/>
        <v/>
      </c>
      <c r="Q90" s="33" t="str">
        <f t="shared" si="20"/>
        <v/>
      </c>
    </row>
    <row r="91" spans="2:17" x14ac:dyDescent="0.25">
      <c r="B91" s="9">
        <v>78</v>
      </c>
      <c r="C91" s="35">
        <v>20000</v>
      </c>
      <c r="D91" s="3"/>
      <c r="E91" s="9" t="str">
        <f t="shared" si="12"/>
        <v/>
      </c>
      <c r="F91" s="54" t="str">
        <f t="shared" si="21"/>
        <v/>
      </c>
      <c r="G91" s="73" t="str">
        <f t="shared" si="13"/>
        <v/>
      </c>
      <c r="H91" s="56" t="str">
        <f t="shared" si="14"/>
        <v/>
      </c>
      <c r="I91" s="57" t="str">
        <f t="shared" si="15"/>
        <v/>
      </c>
      <c r="J91" s="58" t="str">
        <f t="shared" si="16"/>
        <v/>
      </c>
      <c r="L91" s="31" t="str">
        <f t="shared" si="17"/>
        <v/>
      </c>
      <c r="M91" s="32" t="str">
        <f t="shared" si="22"/>
        <v/>
      </c>
      <c r="N91" s="32" t="str">
        <f t="shared" si="18"/>
        <v/>
      </c>
      <c r="O91" s="32" t="str">
        <f t="shared" si="19"/>
        <v/>
      </c>
      <c r="P91" s="32" t="str">
        <f t="shared" si="20"/>
        <v/>
      </c>
      <c r="Q91" s="33" t="str">
        <f t="shared" si="20"/>
        <v/>
      </c>
    </row>
    <row r="92" spans="2:17" x14ac:dyDescent="0.25">
      <c r="B92" s="9">
        <v>79</v>
      </c>
      <c r="C92" s="35">
        <v>20500</v>
      </c>
      <c r="D92" s="3"/>
      <c r="E92" s="9" t="str">
        <f t="shared" si="12"/>
        <v/>
      </c>
      <c r="F92" s="54" t="str">
        <f t="shared" si="21"/>
        <v/>
      </c>
      <c r="G92" s="73" t="str">
        <f t="shared" si="13"/>
        <v/>
      </c>
      <c r="H92" s="56" t="str">
        <f t="shared" si="14"/>
        <v/>
      </c>
      <c r="I92" s="57" t="str">
        <f t="shared" si="15"/>
        <v/>
      </c>
      <c r="J92" s="58" t="str">
        <f t="shared" si="16"/>
        <v/>
      </c>
      <c r="L92" s="31" t="str">
        <f t="shared" si="17"/>
        <v/>
      </c>
      <c r="M92" s="32" t="str">
        <f t="shared" si="22"/>
        <v/>
      </c>
      <c r="N92" s="32" t="str">
        <f t="shared" si="18"/>
        <v/>
      </c>
      <c r="O92" s="32" t="str">
        <f t="shared" si="19"/>
        <v/>
      </c>
      <c r="P92" s="32" t="str">
        <f t="shared" si="20"/>
        <v/>
      </c>
      <c r="Q92" s="33" t="str">
        <f t="shared" si="20"/>
        <v/>
      </c>
    </row>
    <row r="93" spans="2:17" x14ac:dyDescent="0.25">
      <c r="B93" s="9">
        <v>80</v>
      </c>
      <c r="C93" s="35">
        <v>21000</v>
      </c>
      <c r="D93" s="3"/>
      <c r="E93" s="9" t="str">
        <f t="shared" si="12"/>
        <v/>
      </c>
      <c r="F93" s="54" t="str">
        <f t="shared" si="21"/>
        <v/>
      </c>
      <c r="G93" s="73" t="str">
        <f t="shared" si="13"/>
        <v/>
      </c>
      <c r="H93" s="56" t="str">
        <f t="shared" si="14"/>
        <v/>
      </c>
      <c r="I93" s="57" t="str">
        <f t="shared" si="15"/>
        <v/>
      </c>
      <c r="J93" s="58" t="str">
        <f t="shared" si="16"/>
        <v/>
      </c>
      <c r="L93" s="31" t="str">
        <f t="shared" si="17"/>
        <v/>
      </c>
      <c r="M93" s="32" t="str">
        <f t="shared" si="22"/>
        <v/>
      </c>
      <c r="N93" s="32" t="str">
        <f t="shared" si="18"/>
        <v/>
      </c>
      <c r="O93" s="32" t="str">
        <f t="shared" si="19"/>
        <v/>
      </c>
      <c r="P93" s="32" t="str">
        <f t="shared" si="20"/>
        <v/>
      </c>
      <c r="Q93" s="33" t="str">
        <f t="shared" si="20"/>
        <v/>
      </c>
    </row>
    <row r="94" spans="2:17" x14ac:dyDescent="0.25">
      <c r="B94" s="9">
        <v>81</v>
      </c>
      <c r="C94" s="35">
        <v>21500</v>
      </c>
      <c r="D94" s="3"/>
      <c r="E94" s="9" t="str">
        <f t="shared" si="12"/>
        <v/>
      </c>
      <c r="F94" s="54" t="str">
        <f t="shared" si="21"/>
        <v/>
      </c>
      <c r="G94" s="73" t="str">
        <f t="shared" si="13"/>
        <v/>
      </c>
      <c r="H94" s="56" t="str">
        <f t="shared" si="14"/>
        <v/>
      </c>
      <c r="I94" s="57" t="str">
        <f t="shared" si="15"/>
        <v/>
      </c>
      <c r="J94" s="58" t="str">
        <f t="shared" si="16"/>
        <v/>
      </c>
      <c r="L94" s="31" t="str">
        <f t="shared" si="17"/>
        <v/>
      </c>
      <c r="M94" s="32" t="str">
        <f t="shared" si="22"/>
        <v/>
      </c>
      <c r="N94" s="32" t="str">
        <f t="shared" si="18"/>
        <v/>
      </c>
      <c r="O94" s="32" t="str">
        <f t="shared" si="19"/>
        <v/>
      </c>
      <c r="P94" s="32" t="str">
        <f t="shared" si="20"/>
        <v/>
      </c>
      <c r="Q94" s="33" t="str">
        <f t="shared" si="20"/>
        <v/>
      </c>
    </row>
    <row r="95" spans="2:17" x14ac:dyDescent="0.25">
      <c r="B95" s="9">
        <v>82</v>
      </c>
      <c r="C95" s="35">
        <v>22000</v>
      </c>
      <c r="D95" s="3"/>
      <c r="E95" s="9" t="str">
        <f t="shared" si="12"/>
        <v/>
      </c>
      <c r="F95" s="54" t="str">
        <f t="shared" si="21"/>
        <v/>
      </c>
      <c r="G95" s="73" t="str">
        <f t="shared" si="13"/>
        <v/>
      </c>
      <c r="H95" s="56" t="str">
        <f t="shared" si="14"/>
        <v/>
      </c>
      <c r="I95" s="57" t="str">
        <f t="shared" si="15"/>
        <v/>
      </c>
      <c r="J95" s="58" t="str">
        <f t="shared" si="16"/>
        <v/>
      </c>
      <c r="L95" s="31" t="str">
        <f t="shared" si="17"/>
        <v/>
      </c>
      <c r="M95" s="32" t="str">
        <f t="shared" si="22"/>
        <v/>
      </c>
      <c r="N95" s="32" t="str">
        <f t="shared" si="18"/>
        <v/>
      </c>
      <c r="O95" s="32" t="str">
        <f t="shared" si="19"/>
        <v/>
      </c>
      <c r="P95" s="32" t="str">
        <f t="shared" si="20"/>
        <v/>
      </c>
      <c r="Q95" s="33" t="str">
        <f t="shared" si="20"/>
        <v/>
      </c>
    </row>
    <row r="96" spans="2:17" x14ac:dyDescent="0.25">
      <c r="B96" s="9">
        <v>83</v>
      </c>
      <c r="C96" s="35">
        <v>22500</v>
      </c>
      <c r="D96" s="3"/>
      <c r="E96" s="9" t="str">
        <f t="shared" si="12"/>
        <v/>
      </c>
      <c r="F96" s="54" t="str">
        <f t="shared" si="21"/>
        <v/>
      </c>
      <c r="G96" s="73" t="str">
        <f t="shared" si="13"/>
        <v/>
      </c>
      <c r="H96" s="56" t="str">
        <f t="shared" si="14"/>
        <v/>
      </c>
      <c r="I96" s="57" t="str">
        <f t="shared" si="15"/>
        <v/>
      </c>
      <c r="J96" s="58" t="str">
        <f t="shared" si="16"/>
        <v/>
      </c>
      <c r="L96" s="31" t="str">
        <f t="shared" si="17"/>
        <v/>
      </c>
      <c r="M96" s="32" t="str">
        <f t="shared" si="22"/>
        <v/>
      </c>
      <c r="N96" s="32" t="str">
        <f t="shared" si="18"/>
        <v/>
      </c>
      <c r="O96" s="32" t="str">
        <f t="shared" si="19"/>
        <v/>
      </c>
      <c r="P96" s="32" t="str">
        <f t="shared" si="20"/>
        <v/>
      </c>
      <c r="Q96" s="33" t="str">
        <f t="shared" si="20"/>
        <v/>
      </c>
    </row>
    <row r="97" spans="2:17" x14ac:dyDescent="0.25">
      <c r="B97" s="9">
        <v>84</v>
      </c>
      <c r="C97" s="35">
        <v>23000</v>
      </c>
      <c r="D97" s="3"/>
      <c r="E97" s="9" t="str">
        <f t="shared" si="12"/>
        <v/>
      </c>
      <c r="F97" s="54" t="str">
        <f t="shared" si="21"/>
        <v/>
      </c>
      <c r="G97" s="73" t="str">
        <f t="shared" si="13"/>
        <v/>
      </c>
      <c r="H97" s="56" t="str">
        <f t="shared" si="14"/>
        <v/>
      </c>
      <c r="I97" s="57" t="str">
        <f t="shared" si="15"/>
        <v/>
      </c>
      <c r="J97" s="58" t="str">
        <f t="shared" si="16"/>
        <v/>
      </c>
      <c r="L97" s="31" t="str">
        <f t="shared" si="17"/>
        <v/>
      </c>
      <c r="M97" s="32" t="str">
        <f t="shared" si="22"/>
        <v/>
      </c>
      <c r="N97" s="32" t="str">
        <f t="shared" si="18"/>
        <v/>
      </c>
      <c r="O97" s="32" t="str">
        <f t="shared" si="19"/>
        <v/>
      </c>
      <c r="P97" s="32" t="str">
        <f t="shared" si="20"/>
        <v/>
      </c>
      <c r="Q97" s="33" t="str">
        <f t="shared" si="20"/>
        <v/>
      </c>
    </row>
    <row r="98" spans="2:17" x14ac:dyDescent="0.25">
      <c r="B98" s="9">
        <v>85</v>
      </c>
      <c r="C98" s="35">
        <v>23500</v>
      </c>
      <c r="D98" s="3"/>
      <c r="E98" s="9" t="str">
        <f t="shared" si="12"/>
        <v/>
      </c>
      <c r="F98" s="54" t="str">
        <f t="shared" si="21"/>
        <v/>
      </c>
      <c r="G98" s="73" t="str">
        <f t="shared" si="13"/>
        <v/>
      </c>
      <c r="H98" s="56" t="str">
        <f t="shared" si="14"/>
        <v/>
      </c>
      <c r="I98" s="57" t="str">
        <f t="shared" si="15"/>
        <v/>
      </c>
      <c r="J98" s="58" t="str">
        <f t="shared" si="16"/>
        <v/>
      </c>
      <c r="L98" s="31" t="str">
        <f t="shared" si="17"/>
        <v/>
      </c>
      <c r="M98" s="32" t="str">
        <f t="shared" si="22"/>
        <v/>
      </c>
      <c r="N98" s="32" t="str">
        <f t="shared" si="18"/>
        <v/>
      </c>
      <c r="O98" s="32" t="str">
        <f t="shared" si="19"/>
        <v/>
      </c>
      <c r="P98" s="32" t="str">
        <f t="shared" si="20"/>
        <v/>
      </c>
      <c r="Q98" s="33" t="str">
        <f t="shared" si="20"/>
        <v/>
      </c>
    </row>
    <row r="99" spans="2:17" x14ac:dyDescent="0.25">
      <c r="B99" s="9">
        <v>86</v>
      </c>
      <c r="C99" s="35">
        <v>24000</v>
      </c>
      <c r="D99" s="3"/>
      <c r="E99" s="9" t="str">
        <f t="shared" si="12"/>
        <v/>
      </c>
      <c r="F99" s="54" t="str">
        <f t="shared" si="21"/>
        <v/>
      </c>
      <c r="G99" s="73" t="str">
        <f t="shared" si="13"/>
        <v/>
      </c>
      <c r="H99" s="56" t="str">
        <f t="shared" si="14"/>
        <v/>
      </c>
      <c r="I99" s="57" t="str">
        <f t="shared" si="15"/>
        <v/>
      </c>
      <c r="J99" s="58" t="str">
        <f t="shared" si="16"/>
        <v/>
      </c>
      <c r="L99" s="31" t="str">
        <f t="shared" si="17"/>
        <v/>
      </c>
      <c r="M99" s="32" t="str">
        <f t="shared" si="22"/>
        <v/>
      </c>
      <c r="N99" s="32" t="str">
        <f t="shared" si="18"/>
        <v/>
      </c>
      <c r="O99" s="32" t="str">
        <f t="shared" si="19"/>
        <v/>
      </c>
      <c r="P99" s="32" t="str">
        <f t="shared" si="20"/>
        <v/>
      </c>
      <c r="Q99" s="33" t="str">
        <f t="shared" si="20"/>
        <v/>
      </c>
    </row>
    <row r="100" spans="2:17" x14ac:dyDescent="0.25">
      <c r="B100" s="9">
        <v>87</v>
      </c>
      <c r="C100" s="35">
        <v>24500</v>
      </c>
      <c r="D100" s="3"/>
      <c r="E100" s="9" t="str">
        <f t="shared" si="12"/>
        <v/>
      </c>
      <c r="F100" s="54" t="str">
        <f t="shared" si="21"/>
        <v/>
      </c>
      <c r="G100" s="73" t="str">
        <f t="shared" si="13"/>
        <v/>
      </c>
      <c r="H100" s="56" t="str">
        <f t="shared" si="14"/>
        <v/>
      </c>
      <c r="I100" s="57" t="str">
        <f t="shared" si="15"/>
        <v/>
      </c>
      <c r="J100" s="58" t="str">
        <f t="shared" si="16"/>
        <v/>
      </c>
      <c r="L100" s="31" t="str">
        <f t="shared" si="17"/>
        <v/>
      </c>
      <c r="M100" s="32" t="str">
        <f t="shared" si="22"/>
        <v/>
      </c>
      <c r="N100" s="32" t="str">
        <f t="shared" si="18"/>
        <v/>
      </c>
      <c r="O100" s="32" t="str">
        <f t="shared" si="19"/>
        <v/>
      </c>
      <c r="P100" s="32" t="str">
        <f t="shared" si="20"/>
        <v/>
      </c>
      <c r="Q100" s="33" t="str">
        <f t="shared" si="20"/>
        <v/>
      </c>
    </row>
    <row r="101" spans="2:17" x14ac:dyDescent="0.25">
      <c r="B101" s="9">
        <v>88</v>
      </c>
      <c r="C101" s="35">
        <v>25000</v>
      </c>
      <c r="D101" s="3"/>
      <c r="E101" s="9" t="str">
        <f t="shared" si="12"/>
        <v/>
      </c>
      <c r="F101" s="54" t="str">
        <f t="shared" si="21"/>
        <v/>
      </c>
      <c r="G101" s="73" t="str">
        <f t="shared" si="13"/>
        <v/>
      </c>
      <c r="H101" s="56" t="str">
        <f t="shared" si="14"/>
        <v/>
      </c>
      <c r="I101" s="57" t="str">
        <f t="shared" si="15"/>
        <v/>
      </c>
      <c r="J101" s="58" t="str">
        <f t="shared" si="16"/>
        <v/>
      </c>
      <c r="L101" s="31" t="str">
        <f t="shared" si="17"/>
        <v/>
      </c>
      <c r="M101" s="32" t="str">
        <f t="shared" si="22"/>
        <v/>
      </c>
      <c r="N101" s="32" t="str">
        <f t="shared" si="18"/>
        <v/>
      </c>
      <c r="O101" s="32" t="str">
        <f t="shared" si="19"/>
        <v/>
      </c>
      <c r="P101" s="32" t="str">
        <f t="shared" si="20"/>
        <v/>
      </c>
      <c r="Q101" s="33" t="str">
        <f t="shared" si="20"/>
        <v/>
      </c>
    </row>
    <row r="102" spans="2:17" x14ac:dyDescent="0.25">
      <c r="B102" s="9">
        <v>89</v>
      </c>
      <c r="C102" s="35">
        <v>25500</v>
      </c>
      <c r="D102" s="3"/>
      <c r="E102" s="9" t="str">
        <f t="shared" si="12"/>
        <v/>
      </c>
      <c r="F102" s="54" t="str">
        <f t="shared" si="21"/>
        <v/>
      </c>
      <c r="G102" s="73" t="str">
        <f t="shared" si="13"/>
        <v/>
      </c>
      <c r="H102" s="56" t="str">
        <f t="shared" si="14"/>
        <v/>
      </c>
      <c r="I102" s="57" t="str">
        <f t="shared" si="15"/>
        <v/>
      </c>
      <c r="J102" s="58" t="str">
        <f t="shared" si="16"/>
        <v/>
      </c>
      <c r="L102" s="31" t="str">
        <f t="shared" si="17"/>
        <v/>
      </c>
      <c r="M102" s="32" t="str">
        <f t="shared" si="22"/>
        <v/>
      </c>
      <c r="N102" s="32" t="str">
        <f t="shared" si="18"/>
        <v/>
      </c>
      <c r="O102" s="32" t="str">
        <f t="shared" si="19"/>
        <v/>
      </c>
      <c r="P102" s="32" t="str">
        <f t="shared" si="20"/>
        <v/>
      </c>
      <c r="Q102" s="33" t="str">
        <f t="shared" si="20"/>
        <v/>
      </c>
    </row>
    <row r="103" spans="2:17" x14ac:dyDescent="0.25">
      <c r="B103" s="9">
        <v>90</v>
      </c>
      <c r="C103" s="35">
        <v>26000</v>
      </c>
      <c r="D103" s="3"/>
      <c r="E103" s="9" t="str">
        <f t="shared" si="12"/>
        <v/>
      </c>
      <c r="F103" s="54" t="str">
        <f t="shared" si="21"/>
        <v/>
      </c>
      <c r="G103" s="73" t="str">
        <f t="shared" si="13"/>
        <v/>
      </c>
      <c r="H103" s="56" t="str">
        <f t="shared" si="14"/>
        <v/>
      </c>
      <c r="I103" s="57" t="str">
        <f t="shared" si="15"/>
        <v/>
      </c>
      <c r="J103" s="58" t="str">
        <f t="shared" si="16"/>
        <v/>
      </c>
      <c r="L103" s="31" t="str">
        <f t="shared" si="17"/>
        <v/>
      </c>
      <c r="M103" s="32" t="str">
        <f t="shared" si="22"/>
        <v/>
      </c>
      <c r="N103" s="32" t="str">
        <f t="shared" si="18"/>
        <v/>
      </c>
      <c r="O103" s="32" t="str">
        <f t="shared" si="19"/>
        <v/>
      </c>
      <c r="P103" s="32" t="str">
        <f t="shared" si="20"/>
        <v/>
      </c>
      <c r="Q103" s="33" t="str">
        <f t="shared" si="20"/>
        <v/>
      </c>
    </row>
    <row r="104" spans="2:17" x14ac:dyDescent="0.25">
      <c r="B104" s="9">
        <v>91</v>
      </c>
      <c r="C104" s="35">
        <v>26500</v>
      </c>
      <c r="D104" s="3"/>
      <c r="E104" s="9" t="str">
        <f t="shared" si="12"/>
        <v/>
      </c>
      <c r="F104" s="54" t="str">
        <f t="shared" si="21"/>
        <v/>
      </c>
      <c r="G104" s="73" t="str">
        <f t="shared" si="13"/>
        <v/>
      </c>
      <c r="H104" s="56" t="str">
        <f t="shared" si="14"/>
        <v/>
      </c>
      <c r="I104" s="57" t="str">
        <f t="shared" si="15"/>
        <v/>
      </c>
      <c r="J104" s="58" t="str">
        <f t="shared" si="16"/>
        <v/>
      </c>
      <c r="L104" s="31" t="str">
        <f t="shared" si="17"/>
        <v/>
      </c>
      <c r="M104" s="32" t="str">
        <f t="shared" si="22"/>
        <v/>
      </c>
      <c r="N104" s="32" t="str">
        <f t="shared" si="18"/>
        <v/>
      </c>
      <c r="O104" s="32" t="str">
        <f t="shared" si="19"/>
        <v/>
      </c>
      <c r="P104" s="32" t="str">
        <f t="shared" si="20"/>
        <v/>
      </c>
      <c r="Q104" s="33" t="str">
        <f t="shared" si="20"/>
        <v/>
      </c>
    </row>
    <row r="105" spans="2:17" x14ac:dyDescent="0.25">
      <c r="B105" s="9">
        <v>92</v>
      </c>
      <c r="C105" s="35">
        <v>27000</v>
      </c>
      <c r="D105" s="3"/>
      <c r="E105" s="9" t="str">
        <f t="shared" si="12"/>
        <v/>
      </c>
      <c r="F105" s="54" t="str">
        <f t="shared" si="21"/>
        <v/>
      </c>
      <c r="G105" s="73" t="str">
        <f t="shared" si="13"/>
        <v/>
      </c>
      <c r="H105" s="56" t="str">
        <f t="shared" si="14"/>
        <v/>
      </c>
      <c r="I105" s="57" t="str">
        <f t="shared" si="15"/>
        <v/>
      </c>
      <c r="J105" s="58" t="str">
        <f t="shared" si="16"/>
        <v/>
      </c>
      <c r="L105" s="31" t="str">
        <f t="shared" si="17"/>
        <v/>
      </c>
      <c r="M105" s="32" t="str">
        <f t="shared" si="22"/>
        <v/>
      </c>
      <c r="N105" s="32" t="str">
        <f t="shared" si="18"/>
        <v/>
      </c>
      <c r="O105" s="32" t="str">
        <f t="shared" si="19"/>
        <v/>
      </c>
      <c r="P105" s="32" t="str">
        <f t="shared" si="20"/>
        <v/>
      </c>
      <c r="Q105" s="33" t="str">
        <f t="shared" si="20"/>
        <v/>
      </c>
    </row>
    <row r="106" spans="2:17" x14ac:dyDescent="0.25">
      <c r="B106" s="9">
        <v>93</v>
      </c>
      <c r="C106" s="35">
        <v>27500</v>
      </c>
      <c r="D106" s="3"/>
      <c r="E106" s="9" t="str">
        <f t="shared" si="12"/>
        <v/>
      </c>
      <c r="F106" s="54" t="str">
        <f t="shared" si="21"/>
        <v/>
      </c>
      <c r="G106" s="73" t="str">
        <f t="shared" si="13"/>
        <v/>
      </c>
      <c r="H106" s="56" t="str">
        <f t="shared" si="14"/>
        <v/>
      </c>
      <c r="I106" s="57" t="str">
        <f t="shared" si="15"/>
        <v/>
      </c>
      <c r="J106" s="58" t="str">
        <f t="shared" si="16"/>
        <v/>
      </c>
      <c r="L106" s="31" t="str">
        <f t="shared" si="17"/>
        <v/>
      </c>
      <c r="M106" s="32" t="str">
        <f t="shared" si="22"/>
        <v/>
      </c>
      <c r="N106" s="32" t="str">
        <f t="shared" si="18"/>
        <v/>
      </c>
      <c r="O106" s="32" t="str">
        <f t="shared" si="19"/>
        <v/>
      </c>
      <c r="P106" s="32" t="str">
        <f t="shared" si="20"/>
        <v/>
      </c>
      <c r="Q106" s="33" t="str">
        <f t="shared" si="20"/>
        <v/>
      </c>
    </row>
    <row r="107" spans="2:17" x14ac:dyDescent="0.25">
      <c r="B107" s="9">
        <v>94</v>
      </c>
      <c r="C107" s="35">
        <v>28000</v>
      </c>
      <c r="D107" s="3"/>
      <c r="E107" s="9" t="str">
        <f t="shared" si="12"/>
        <v/>
      </c>
      <c r="F107" s="54" t="str">
        <f t="shared" si="21"/>
        <v/>
      </c>
      <c r="G107" s="73" t="str">
        <f t="shared" si="13"/>
        <v/>
      </c>
      <c r="H107" s="56" t="str">
        <f t="shared" si="14"/>
        <v/>
      </c>
      <c r="I107" s="57" t="str">
        <f t="shared" si="15"/>
        <v/>
      </c>
      <c r="J107" s="58" t="str">
        <f t="shared" si="16"/>
        <v/>
      </c>
      <c r="L107" s="31" t="str">
        <f t="shared" si="17"/>
        <v/>
      </c>
      <c r="M107" s="32" t="str">
        <f t="shared" si="22"/>
        <v/>
      </c>
      <c r="N107" s="32" t="str">
        <f t="shared" si="18"/>
        <v/>
      </c>
      <c r="O107" s="32" t="str">
        <f t="shared" si="19"/>
        <v/>
      </c>
      <c r="P107" s="32" t="str">
        <f t="shared" si="20"/>
        <v/>
      </c>
      <c r="Q107" s="33" t="str">
        <f t="shared" si="20"/>
        <v/>
      </c>
    </row>
    <row r="108" spans="2:17" x14ac:dyDescent="0.25">
      <c r="B108" s="9">
        <v>95</v>
      </c>
      <c r="C108" s="35">
        <v>28500</v>
      </c>
      <c r="D108" s="3"/>
      <c r="E108" s="9" t="str">
        <f t="shared" si="12"/>
        <v/>
      </c>
      <c r="F108" s="54" t="str">
        <f t="shared" si="21"/>
        <v/>
      </c>
      <c r="G108" s="73" t="str">
        <f t="shared" si="13"/>
        <v/>
      </c>
      <c r="H108" s="56" t="str">
        <f t="shared" si="14"/>
        <v/>
      </c>
      <c r="I108" s="57" t="str">
        <f t="shared" si="15"/>
        <v/>
      </c>
      <c r="J108" s="58" t="str">
        <f t="shared" si="16"/>
        <v/>
      </c>
      <c r="L108" s="31" t="str">
        <f t="shared" si="17"/>
        <v/>
      </c>
      <c r="M108" s="32" t="str">
        <f t="shared" si="22"/>
        <v/>
      </c>
      <c r="N108" s="32" t="str">
        <f t="shared" si="18"/>
        <v/>
      </c>
      <c r="O108" s="32" t="str">
        <f t="shared" si="19"/>
        <v/>
      </c>
      <c r="P108" s="32" t="str">
        <f t="shared" si="20"/>
        <v/>
      </c>
      <c r="Q108" s="33" t="str">
        <f t="shared" si="20"/>
        <v/>
      </c>
    </row>
    <row r="109" spans="2:17" x14ac:dyDescent="0.25">
      <c r="B109" s="9">
        <v>96</v>
      </c>
      <c r="C109" s="35">
        <v>29000</v>
      </c>
      <c r="D109" s="3"/>
      <c r="E109" s="9" t="str">
        <f t="shared" si="12"/>
        <v/>
      </c>
      <c r="F109" s="54" t="str">
        <f t="shared" si="21"/>
        <v/>
      </c>
      <c r="G109" s="73" t="str">
        <f t="shared" si="13"/>
        <v/>
      </c>
      <c r="H109" s="56" t="str">
        <f t="shared" si="14"/>
        <v/>
      </c>
      <c r="I109" s="57" t="str">
        <f t="shared" si="15"/>
        <v/>
      </c>
      <c r="J109" s="58" t="str">
        <f t="shared" si="16"/>
        <v/>
      </c>
      <c r="L109" s="31" t="str">
        <f t="shared" si="17"/>
        <v/>
      </c>
      <c r="M109" s="32" t="str">
        <f t="shared" si="22"/>
        <v/>
      </c>
      <c r="N109" s="32" t="str">
        <f t="shared" si="18"/>
        <v/>
      </c>
      <c r="O109" s="32" t="str">
        <f t="shared" si="19"/>
        <v/>
      </c>
      <c r="P109" s="32" t="str">
        <f t="shared" si="20"/>
        <v/>
      </c>
      <c r="Q109" s="33" t="str">
        <f t="shared" si="20"/>
        <v/>
      </c>
    </row>
    <row r="110" spans="2:17" x14ac:dyDescent="0.25">
      <c r="B110" s="9">
        <v>97</v>
      </c>
      <c r="C110" s="35">
        <v>29500</v>
      </c>
      <c r="D110" s="3"/>
      <c r="E110" s="9" t="str">
        <f t="shared" si="12"/>
        <v/>
      </c>
      <c r="F110" s="54" t="str">
        <f t="shared" si="21"/>
        <v/>
      </c>
      <c r="G110" s="73" t="str">
        <f t="shared" si="13"/>
        <v/>
      </c>
      <c r="H110" s="56" t="str">
        <f t="shared" si="14"/>
        <v/>
      </c>
      <c r="I110" s="57" t="str">
        <f t="shared" si="15"/>
        <v/>
      </c>
      <c r="J110" s="58" t="str">
        <f t="shared" si="16"/>
        <v/>
      </c>
      <c r="L110" s="31" t="str">
        <f t="shared" si="17"/>
        <v/>
      </c>
      <c r="M110" s="32" t="str">
        <f t="shared" si="22"/>
        <v/>
      </c>
      <c r="N110" s="32" t="str">
        <f t="shared" si="18"/>
        <v/>
      </c>
      <c r="O110" s="32" t="str">
        <f t="shared" si="19"/>
        <v/>
      </c>
      <c r="P110" s="32" t="str">
        <f t="shared" ref="P110:Q141" si="23">IF(AJ112="","",AJ112)</f>
        <v/>
      </c>
      <c r="Q110" s="33" t="str">
        <f t="shared" si="23"/>
        <v/>
      </c>
    </row>
    <row r="111" spans="2:17" x14ac:dyDescent="0.25">
      <c r="B111" s="9">
        <v>98</v>
      </c>
      <c r="C111" s="35">
        <v>30000</v>
      </c>
      <c r="D111" s="3"/>
      <c r="E111" s="9" t="str">
        <f t="shared" si="12"/>
        <v/>
      </c>
      <c r="F111" s="54" t="str">
        <f t="shared" si="21"/>
        <v/>
      </c>
      <c r="G111" s="73" t="str">
        <f t="shared" si="13"/>
        <v/>
      </c>
      <c r="H111" s="56" t="str">
        <f t="shared" si="14"/>
        <v/>
      </c>
      <c r="I111" s="57" t="str">
        <f t="shared" si="15"/>
        <v/>
      </c>
      <c r="J111" s="58" t="str">
        <f t="shared" si="16"/>
        <v/>
      </c>
      <c r="L111" s="31" t="str">
        <f t="shared" si="17"/>
        <v/>
      </c>
      <c r="M111" s="32" t="str">
        <f t="shared" si="22"/>
        <v/>
      </c>
      <c r="N111" s="32" t="str">
        <f t="shared" si="18"/>
        <v/>
      </c>
      <c r="O111" s="32" t="str">
        <f t="shared" si="19"/>
        <v/>
      </c>
      <c r="P111" s="32" t="str">
        <f t="shared" si="23"/>
        <v/>
      </c>
      <c r="Q111" s="33" t="str">
        <f t="shared" si="23"/>
        <v/>
      </c>
    </row>
    <row r="112" spans="2:17" x14ac:dyDescent="0.25">
      <c r="B112" s="9">
        <v>99</v>
      </c>
      <c r="C112" s="35">
        <v>30500</v>
      </c>
      <c r="D112" s="3"/>
      <c r="E112" s="9" t="str">
        <f t="shared" si="12"/>
        <v/>
      </c>
      <c r="F112" s="54" t="str">
        <f t="shared" si="21"/>
        <v/>
      </c>
      <c r="G112" s="73" t="str">
        <f t="shared" si="13"/>
        <v/>
      </c>
      <c r="H112" s="56" t="str">
        <f t="shared" si="14"/>
        <v/>
      </c>
      <c r="I112" s="57" t="str">
        <f t="shared" si="15"/>
        <v/>
      </c>
      <c r="J112" s="58" t="str">
        <f t="shared" si="16"/>
        <v/>
      </c>
      <c r="L112" s="31" t="str">
        <f t="shared" si="17"/>
        <v/>
      </c>
      <c r="M112" s="32" t="str">
        <f t="shared" si="22"/>
        <v/>
      </c>
      <c r="N112" s="32" t="str">
        <f t="shared" si="18"/>
        <v/>
      </c>
      <c r="O112" s="32" t="str">
        <f t="shared" si="19"/>
        <v/>
      </c>
      <c r="P112" s="32" t="str">
        <f t="shared" si="23"/>
        <v/>
      </c>
      <c r="Q112" s="33" t="str">
        <f t="shared" si="23"/>
        <v/>
      </c>
    </row>
    <row r="113" spans="2:17" x14ac:dyDescent="0.25">
      <c r="B113" s="9">
        <v>100</v>
      </c>
      <c r="C113" s="35">
        <v>31000</v>
      </c>
      <c r="D113" s="3"/>
      <c r="E113" s="9" t="str">
        <f t="shared" si="12"/>
        <v/>
      </c>
      <c r="F113" s="54" t="str">
        <f t="shared" si="21"/>
        <v/>
      </c>
      <c r="G113" s="73" t="str">
        <f t="shared" si="13"/>
        <v/>
      </c>
      <c r="H113" s="56" t="str">
        <f t="shared" si="14"/>
        <v/>
      </c>
      <c r="I113" s="57" t="str">
        <f t="shared" si="15"/>
        <v/>
      </c>
      <c r="J113" s="58" t="str">
        <f t="shared" si="16"/>
        <v/>
      </c>
      <c r="L113" s="31" t="str">
        <f t="shared" si="17"/>
        <v/>
      </c>
      <c r="M113" s="32" t="str">
        <f t="shared" si="22"/>
        <v/>
      </c>
      <c r="N113" s="32" t="str">
        <f t="shared" si="18"/>
        <v/>
      </c>
      <c r="O113" s="32" t="str">
        <f t="shared" si="19"/>
        <v/>
      </c>
      <c r="P113" s="32" t="str">
        <f t="shared" si="23"/>
        <v/>
      </c>
      <c r="Q113" s="33" t="str">
        <f t="shared" si="23"/>
        <v/>
      </c>
    </row>
    <row r="114" spans="2:17" x14ac:dyDescent="0.25">
      <c r="B114" s="9">
        <v>101</v>
      </c>
      <c r="C114" s="35">
        <v>31500</v>
      </c>
      <c r="D114" s="3"/>
      <c r="E114" s="9" t="str">
        <f t="shared" si="12"/>
        <v/>
      </c>
      <c r="F114" s="54" t="str">
        <f t="shared" si="21"/>
        <v/>
      </c>
      <c r="G114" s="73" t="str">
        <f t="shared" si="13"/>
        <v/>
      </c>
      <c r="H114" s="56" t="str">
        <f t="shared" si="14"/>
        <v/>
      </c>
      <c r="I114" s="57" t="str">
        <f t="shared" si="15"/>
        <v/>
      </c>
      <c r="J114" s="58" t="str">
        <f t="shared" si="16"/>
        <v/>
      </c>
      <c r="L114" s="31" t="str">
        <f t="shared" si="17"/>
        <v/>
      </c>
      <c r="M114" s="32" t="str">
        <f t="shared" si="22"/>
        <v/>
      </c>
      <c r="N114" s="32" t="str">
        <f t="shared" si="18"/>
        <v/>
      </c>
      <c r="O114" s="32" t="str">
        <f t="shared" si="19"/>
        <v/>
      </c>
      <c r="P114" s="32" t="str">
        <f t="shared" si="23"/>
        <v/>
      </c>
      <c r="Q114" s="33" t="str">
        <f t="shared" si="23"/>
        <v/>
      </c>
    </row>
    <row r="115" spans="2:17" x14ac:dyDescent="0.25">
      <c r="B115" s="9">
        <v>102</v>
      </c>
      <c r="C115" s="35">
        <v>32000</v>
      </c>
      <c r="D115" s="3"/>
      <c r="E115" s="9" t="str">
        <f t="shared" si="12"/>
        <v/>
      </c>
      <c r="F115" s="54" t="str">
        <f t="shared" si="21"/>
        <v/>
      </c>
      <c r="G115" s="73" t="str">
        <f t="shared" si="13"/>
        <v/>
      </c>
      <c r="H115" s="56" t="str">
        <f t="shared" si="14"/>
        <v/>
      </c>
      <c r="I115" s="57" t="str">
        <f t="shared" si="15"/>
        <v/>
      </c>
      <c r="J115" s="58" t="str">
        <f t="shared" si="16"/>
        <v/>
      </c>
      <c r="L115" s="31" t="str">
        <f t="shared" si="17"/>
        <v/>
      </c>
      <c r="M115" s="32" t="str">
        <f t="shared" si="22"/>
        <v/>
      </c>
      <c r="N115" s="32" t="str">
        <f t="shared" si="18"/>
        <v/>
      </c>
      <c r="O115" s="32" t="str">
        <f t="shared" si="19"/>
        <v/>
      </c>
      <c r="P115" s="32" t="str">
        <f t="shared" si="23"/>
        <v/>
      </c>
      <c r="Q115" s="33" t="str">
        <f t="shared" si="23"/>
        <v/>
      </c>
    </row>
    <row r="116" spans="2:17" x14ac:dyDescent="0.25">
      <c r="B116" s="9">
        <v>103</v>
      </c>
      <c r="C116" s="35">
        <v>32500</v>
      </c>
      <c r="D116" s="3"/>
      <c r="E116" s="9" t="str">
        <f t="shared" si="12"/>
        <v/>
      </c>
      <c r="F116" s="54" t="str">
        <f t="shared" si="21"/>
        <v/>
      </c>
      <c r="G116" s="73" t="str">
        <f t="shared" si="13"/>
        <v/>
      </c>
      <c r="H116" s="56" t="str">
        <f t="shared" si="14"/>
        <v/>
      </c>
      <c r="I116" s="57" t="str">
        <f t="shared" si="15"/>
        <v/>
      </c>
      <c r="J116" s="58" t="str">
        <f t="shared" si="16"/>
        <v/>
      </c>
      <c r="L116" s="31" t="str">
        <f t="shared" si="17"/>
        <v/>
      </c>
      <c r="M116" s="32" t="str">
        <f t="shared" si="22"/>
        <v/>
      </c>
      <c r="N116" s="32" t="str">
        <f t="shared" si="18"/>
        <v/>
      </c>
      <c r="O116" s="32" t="str">
        <f t="shared" si="19"/>
        <v/>
      </c>
      <c r="P116" s="32" t="str">
        <f t="shared" si="23"/>
        <v/>
      </c>
      <c r="Q116" s="33" t="str">
        <f t="shared" si="23"/>
        <v/>
      </c>
    </row>
    <row r="117" spans="2:17" x14ac:dyDescent="0.25">
      <c r="B117" s="9">
        <v>104</v>
      </c>
      <c r="C117" s="35">
        <v>33000</v>
      </c>
      <c r="D117" s="3"/>
      <c r="E117" s="9" t="str">
        <f t="shared" si="12"/>
        <v/>
      </c>
      <c r="F117" s="54" t="str">
        <f t="shared" si="21"/>
        <v/>
      </c>
      <c r="G117" s="73" t="str">
        <f t="shared" si="13"/>
        <v/>
      </c>
      <c r="H117" s="56" t="str">
        <f t="shared" si="14"/>
        <v/>
      </c>
      <c r="I117" s="57" t="str">
        <f t="shared" si="15"/>
        <v/>
      </c>
      <c r="J117" s="58" t="str">
        <f t="shared" si="16"/>
        <v/>
      </c>
      <c r="L117" s="31" t="str">
        <f t="shared" si="17"/>
        <v/>
      </c>
      <c r="M117" s="32" t="str">
        <f t="shared" si="22"/>
        <v/>
      </c>
      <c r="N117" s="32" t="str">
        <f t="shared" si="18"/>
        <v/>
      </c>
      <c r="O117" s="32" t="str">
        <f t="shared" si="19"/>
        <v/>
      </c>
      <c r="P117" s="32" t="str">
        <f t="shared" si="23"/>
        <v/>
      </c>
      <c r="Q117" s="33" t="str">
        <f t="shared" si="23"/>
        <v/>
      </c>
    </row>
    <row r="118" spans="2:17" x14ac:dyDescent="0.25">
      <c r="B118" s="9">
        <v>105</v>
      </c>
      <c r="C118" s="35">
        <v>33500</v>
      </c>
      <c r="D118" s="3"/>
      <c r="E118" s="9" t="str">
        <f t="shared" si="12"/>
        <v/>
      </c>
      <c r="F118" s="54" t="str">
        <f t="shared" si="21"/>
        <v/>
      </c>
      <c r="G118" s="73" t="str">
        <f t="shared" si="13"/>
        <v/>
      </c>
      <c r="H118" s="56" t="str">
        <f t="shared" si="14"/>
        <v/>
      </c>
      <c r="I118" s="57" t="str">
        <f t="shared" si="15"/>
        <v/>
      </c>
      <c r="J118" s="58" t="str">
        <f t="shared" si="16"/>
        <v/>
      </c>
      <c r="L118" s="31" t="str">
        <f t="shared" si="17"/>
        <v/>
      </c>
      <c r="M118" s="32" t="str">
        <f t="shared" si="22"/>
        <v/>
      </c>
      <c r="N118" s="32" t="str">
        <f t="shared" si="18"/>
        <v/>
      </c>
      <c r="O118" s="32" t="str">
        <f t="shared" si="19"/>
        <v/>
      </c>
      <c r="P118" s="32" t="str">
        <f t="shared" si="23"/>
        <v/>
      </c>
      <c r="Q118" s="33" t="str">
        <f t="shared" si="23"/>
        <v/>
      </c>
    </row>
    <row r="119" spans="2:17" x14ac:dyDescent="0.25">
      <c r="B119" s="9">
        <v>106</v>
      </c>
      <c r="C119" s="35">
        <v>34000</v>
      </c>
      <c r="D119" s="3"/>
      <c r="E119" s="9" t="str">
        <f t="shared" si="12"/>
        <v/>
      </c>
      <c r="F119" s="54" t="str">
        <f t="shared" si="21"/>
        <v/>
      </c>
      <c r="G119" s="73" t="str">
        <f t="shared" si="13"/>
        <v/>
      </c>
      <c r="H119" s="56" t="str">
        <f t="shared" si="14"/>
        <v/>
      </c>
      <c r="I119" s="57" t="str">
        <f t="shared" si="15"/>
        <v/>
      </c>
      <c r="J119" s="58" t="str">
        <f t="shared" si="16"/>
        <v/>
      </c>
      <c r="L119" s="31" t="str">
        <f t="shared" si="17"/>
        <v/>
      </c>
      <c r="M119" s="32" t="str">
        <f t="shared" si="22"/>
        <v/>
      </c>
      <c r="N119" s="32" t="str">
        <f t="shared" si="18"/>
        <v/>
      </c>
      <c r="O119" s="32" t="str">
        <f t="shared" si="19"/>
        <v/>
      </c>
      <c r="P119" s="32" t="str">
        <f t="shared" si="23"/>
        <v/>
      </c>
      <c r="Q119" s="33" t="str">
        <f t="shared" si="23"/>
        <v/>
      </c>
    </row>
    <row r="120" spans="2:17" x14ac:dyDescent="0.25">
      <c r="B120" s="9">
        <v>107</v>
      </c>
      <c r="C120" s="35">
        <v>34500</v>
      </c>
      <c r="D120" s="3"/>
      <c r="E120" s="9" t="str">
        <f t="shared" si="12"/>
        <v/>
      </c>
      <c r="F120" s="54" t="str">
        <f t="shared" si="21"/>
        <v/>
      </c>
      <c r="G120" s="73" t="str">
        <f t="shared" si="13"/>
        <v/>
      </c>
      <c r="H120" s="56" t="str">
        <f t="shared" si="14"/>
        <v/>
      </c>
      <c r="I120" s="57" t="str">
        <f t="shared" si="15"/>
        <v/>
      </c>
      <c r="J120" s="58" t="str">
        <f t="shared" si="16"/>
        <v/>
      </c>
      <c r="L120" s="31" t="str">
        <f t="shared" si="17"/>
        <v/>
      </c>
      <c r="M120" s="32" t="str">
        <f t="shared" si="22"/>
        <v/>
      </c>
      <c r="N120" s="32" t="str">
        <f t="shared" si="18"/>
        <v/>
      </c>
      <c r="O120" s="32" t="str">
        <f t="shared" si="19"/>
        <v/>
      </c>
      <c r="P120" s="32" t="str">
        <f t="shared" si="23"/>
        <v/>
      </c>
      <c r="Q120" s="33" t="str">
        <f t="shared" si="23"/>
        <v/>
      </c>
    </row>
    <row r="121" spans="2:17" x14ac:dyDescent="0.25">
      <c r="B121" s="9">
        <v>108</v>
      </c>
      <c r="C121" s="35">
        <v>35000</v>
      </c>
      <c r="D121" s="3"/>
      <c r="E121" s="9" t="str">
        <f t="shared" si="12"/>
        <v/>
      </c>
      <c r="F121" s="54" t="str">
        <f t="shared" si="21"/>
        <v/>
      </c>
      <c r="G121" s="73" t="str">
        <f t="shared" si="13"/>
        <v/>
      </c>
      <c r="H121" s="56" t="str">
        <f t="shared" si="14"/>
        <v/>
      </c>
      <c r="I121" s="57" t="str">
        <f t="shared" si="15"/>
        <v/>
      </c>
      <c r="J121" s="58" t="str">
        <f t="shared" si="16"/>
        <v/>
      </c>
      <c r="L121" s="31" t="str">
        <f t="shared" si="17"/>
        <v/>
      </c>
      <c r="M121" s="32" t="str">
        <f t="shared" si="22"/>
        <v/>
      </c>
      <c r="N121" s="32" t="str">
        <f t="shared" si="18"/>
        <v/>
      </c>
      <c r="O121" s="32" t="str">
        <f t="shared" si="19"/>
        <v/>
      </c>
      <c r="P121" s="32" t="str">
        <f t="shared" si="23"/>
        <v/>
      </c>
      <c r="Q121" s="33" t="str">
        <f t="shared" si="23"/>
        <v/>
      </c>
    </row>
    <row r="122" spans="2:17" x14ac:dyDescent="0.25">
      <c r="B122" s="9">
        <v>109</v>
      </c>
      <c r="C122" s="35">
        <v>35500</v>
      </c>
      <c r="D122" s="3"/>
      <c r="E122" s="9" t="str">
        <f t="shared" si="12"/>
        <v/>
      </c>
      <c r="F122" s="54" t="str">
        <f t="shared" si="21"/>
        <v/>
      </c>
      <c r="G122" s="73" t="str">
        <f t="shared" si="13"/>
        <v/>
      </c>
      <c r="H122" s="56" t="str">
        <f t="shared" si="14"/>
        <v/>
      </c>
      <c r="I122" s="57" t="str">
        <f t="shared" si="15"/>
        <v/>
      </c>
      <c r="J122" s="58" t="str">
        <f t="shared" si="16"/>
        <v/>
      </c>
      <c r="L122" s="31" t="str">
        <f t="shared" si="17"/>
        <v/>
      </c>
      <c r="M122" s="32" t="str">
        <f t="shared" si="22"/>
        <v/>
      </c>
      <c r="N122" s="32" t="str">
        <f t="shared" si="18"/>
        <v/>
      </c>
      <c r="O122" s="32" t="str">
        <f t="shared" si="19"/>
        <v/>
      </c>
      <c r="P122" s="32" t="str">
        <f t="shared" si="23"/>
        <v/>
      </c>
      <c r="Q122" s="33" t="str">
        <f t="shared" si="23"/>
        <v/>
      </c>
    </row>
    <row r="123" spans="2:17" x14ac:dyDescent="0.25">
      <c r="B123" s="9">
        <v>110</v>
      </c>
      <c r="C123" s="35">
        <v>36000</v>
      </c>
      <c r="D123" s="3"/>
      <c r="E123" s="9" t="str">
        <f t="shared" si="12"/>
        <v/>
      </c>
      <c r="F123" s="54" t="str">
        <f t="shared" si="21"/>
        <v/>
      </c>
      <c r="G123" s="73" t="str">
        <f t="shared" si="13"/>
        <v/>
      </c>
      <c r="H123" s="56" t="str">
        <f t="shared" si="14"/>
        <v/>
      </c>
      <c r="I123" s="57" t="str">
        <f t="shared" si="15"/>
        <v/>
      </c>
      <c r="J123" s="58" t="str">
        <f t="shared" si="16"/>
        <v/>
      </c>
      <c r="L123" s="31" t="str">
        <f t="shared" si="17"/>
        <v/>
      </c>
      <c r="M123" s="32" t="str">
        <f t="shared" si="22"/>
        <v/>
      </c>
      <c r="N123" s="32" t="str">
        <f t="shared" si="18"/>
        <v/>
      </c>
      <c r="O123" s="32" t="str">
        <f t="shared" si="19"/>
        <v/>
      </c>
      <c r="P123" s="32" t="str">
        <f t="shared" si="23"/>
        <v/>
      </c>
      <c r="Q123" s="33" t="str">
        <f t="shared" si="23"/>
        <v/>
      </c>
    </row>
    <row r="124" spans="2:17" x14ac:dyDescent="0.25">
      <c r="B124" s="9">
        <v>111</v>
      </c>
      <c r="C124" s="35">
        <v>36500</v>
      </c>
      <c r="D124" s="3"/>
      <c r="E124" s="9" t="str">
        <f t="shared" si="12"/>
        <v/>
      </c>
      <c r="F124" s="54" t="str">
        <f t="shared" si="21"/>
        <v/>
      </c>
      <c r="G124" s="73" t="str">
        <f t="shared" si="13"/>
        <v/>
      </c>
      <c r="H124" s="56" t="str">
        <f t="shared" si="14"/>
        <v/>
      </c>
      <c r="I124" s="57" t="str">
        <f t="shared" si="15"/>
        <v/>
      </c>
      <c r="J124" s="58" t="str">
        <f t="shared" si="16"/>
        <v/>
      </c>
      <c r="L124" s="31" t="str">
        <f t="shared" si="17"/>
        <v/>
      </c>
      <c r="M124" s="32" t="str">
        <f t="shared" si="22"/>
        <v/>
      </c>
      <c r="N124" s="32" t="str">
        <f t="shared" si="18"/>
        <v/>
      </c>
      <c r="O124" s="32" t="str">
        <f t="shared" si="19"/>
        <v/>
      </c>
      <c r="P124" s="32" t="str">
        <f t="shared" si="23"/>
        <v/>
      </c>
      <c r="Q124" s="33" t="str">
        <f t="shared" si="23"/>
        <v/>
      </c>
    </row>
    <row r="125" spans="2:17" x14ac:dyDescent="0.25">
      <c r="B125" s="9">
        <v>112</v>
      </c>
      <c r="C125" s="35">
        <v>37000</v>
      </c>
      <c r="D125" s="3"/>
      <c r="E125" s="9" t="str">
        <f t="shared" si="12"/>
        <v/>
      </c>
      <c r="F125" s="54" t="str">
        <f t="shared" si="21"/>
        <v/>
      </c>
      <c r="G125" s="73" t="str">
        <f t="shared" si="13"/>
        <v/>
      </c>
      <c r="H125" s="56" t="str">
        <f t="shared" si="14"/>
        <v/>
      </c>
      <c r="I125" s="57" t="str">
        <f t="shared" si="15"/>
        <v/>
      </c>
      <c r="J125" s="58" t="str">
        <f t="shared" si="16"/>
        <v/>
      </c>
      <c r="L125" s="31" t="str">
        <f t="shared" si="17"/>
        <v/>
      </c>
      <c r="M125" s="32" t="str">
        <f t="shared" si="22"/>
        <v/>
      </c>
      <c r="N125" s="32" t="str">
        <f t="shared" si="18"/>
        <v/>
      </c>
      <c r="O125" s="32" t="str">
        <f t="shared" si="19"/>
        <v/>
      </c>
      <c r="P125" s="32" t="str">
        <f t="shared" si="23"/>
        <v/>
      </c>
      <c r="Q125" s="33" t="str">
        <f t="shared" si="23"/>
        <v/>
      </c>
    </row>
    <row r="126" spans="2:17" x14ac:dyDescent="0.25">
      <c r="B126" s="9">
        <v>113</v>
      </c>
      <c r="C126" s="35">
        <v>37500</v>
      </c>
      <c r="D126" s="3"/>
      <c r="E126" s="9" t="str">
        <f t="shared" si="12"/>
        <v/>
      </c>
      <c r="F126" s="54" t="str">
        <f t="shared" si="21"/>
        <v/>
      </c>
      <c r="G126" s="73" t="str">
        <f t="shared" si="13"/>
        <v/>
      </c>
      <c r="H126" s="56" t="str">
        <f t="shared" si="14"/>
        <v/>
      </c>
      <c r="I126" s="57" t="str">
        <f t="shared" si="15"/>
        <v/>
      </c>
      <c r="J126" s="58" t="str">
        <f t="shared" si="16"/>
        <v/>
      </c>
      <c r="L126" s="31" t="str">
        <f t="shared" si="17"/>
        <v/>
      </c>
      <c r="M126" s="32" t="str">
        <f t="shared" si="22"/>
        <v/>
      </c>
      <c r="N126" s="32" t="str">
        <f t="shared" si="18"/>
        <v/>
      </c>
      <c r="O126" s="32" t="str">
        <f t="shared" si="19"/>
        <v/>
      </c>
      <c r="P126" s="32" t="str">
        <f t="shared" si="23"/>
        <v/>
      </c>
      <c r="Q126" s="33" t="str">
        <f t="shared" si="23"/>
        <v/>
      </c>
    </row>
    <row r="127" spans="2:17" x14ac:dyDescent="0.25">
      <c r="B127" s="9">
        <v>114</v>
      </c>
      <c r="C127" s="35">
        <v>38000</v>
      </c>
      <c r="D127" s="3"/>
      <c r="E127" s="9" t="str">
        <f t="shared" si="12"/>
        <v/>
      </c>
      <c r="F127" s="54" t="str">
        <f t="shared" si="21"/>
        <v/>
      </c>
      <c r="G127" s="73" t="str">
        <f t="shared" si="13"/>
        <v/>
      </c>
      <c r="H127" s="56" t="str">
        <f t="shared" si="14"/>
        <v/>
      </c>
      <c r="I127" s="57" t="str">
        <f t="shared" si="15"/>
        <v/>
      </c>
      <c r="J127" s="58" t="str">
        <f t="shared" si="16"/>
        <v/>
      </c>
      <c r="L127" s="31" t="str">
        <f t="shared" si="17"/>
        <v/>
      </c>
      <c r="M127" s="32" t="str">
        <f t="shared" si="22"/>
        <v/>
      </c>
      <c r="N127" s="32" t="str">
        <f t="shared" si="18"/>
        <v/>
      </c>
      <c r="O127" s="32" t="str">
        <f t="shared" si="19"/>
        <v/>
      </c>
      <c r="P127" s="32" t="str">
        <f t="shared" si="23"/>
        <v/>
      </c>
      <c r="Q127" s="33" t="str">
        <f t="shared" si="23"/>
        <v/>
      </c>
    </row>
    <row r="128" spans="2:17" x14ac:dyDescent="0.25">
      <c r="B128" s="9">
        <v>115</v>
      </c>
      <c r="C128" s="35">
        <v>38500</v>
      </c>
      <c r="D128" s="3"/>
      <c r="E128" s="9" t="str">
        <f t="shared" si="12"/>
        <v/>
      </c>
      <c r="F128" s="54" t="str">
        <f t="shared" si="21"/>
        <v/>
      </c>
      <c r="G128" s="73" t="str">
        <f t="shared" si="13"/>
        <v/>
      </c>
      <c r="H128" s="56" t="str">
        <f t="shared" si="14"/>
        <v/>
      </c>
      <c r="I128" s="57" t="str">
        <f t="shared" si="15"/>
        <v/>
      </c>
      <c r="J128" s="58" t="str">
        <f t="shared" si="16"/>
        <v/>
      </c>
      <c r="L128" s="31" t="str">
        <f t="shared" si="17"/>
        <v/>
      </c>
      <c r="M128" s="32" t="str">
        <f t="shared" si="22"/>
        <v/>
      </c>
      <c r="N128" s="32" t="str">
        <f t="shared" si="18"/>
        <v/>
      </c>
      <c r="O128" s="32" t="str">
        <f t="shared" si="19"/>
        <v/>
      </c>
      <c r="P128" s="32" t="str">
        <f t="shared" si="23"/>
        <v/>
      </c>
      <c r="Q128" s="33" t="str">
        <f t="shared" si="23"/>
        <v/>
      </c>
    </row>
    <row r="129" spans="2:17" x14ac:dyDescent="0.25">
      <c r="B129" s="9">
        <v>116</v>
      </c>
      <c r="C129" s="35">
        <v>39000</v>
      </c>
      <c r="D129" s="3"/>
      <c r="E129" s="9" t="str">
        <f t="shared" si="12"/>
        <v/>
      </c>
      <c r="F129" s="54" t="str">
        <f t="shared" si="21"/>
        <v/>
      </c>
      <c r="G129" s="73" t="str">
        <f t="shared" si="13"/>
        <v/>
      </c>
      <c r="H129" s="56" t="str">
        <f t="shared" si="14"/>
        <v/>
      </c>
      <c r="I129" s="57" t="str">
        <f t="shared" si="15"/>
        <v/>
      </c>
      <c r="J129" s="58" t="str">
        <f t="shared" si="16"/>
        <v/>
      </c>
      <c r="L129" s="31" t="str">
        <f t="shared" si="17"/>
        <v/>
      </c>
      <c r="M129" s="32" t="str">
        <f t="shared" si="22"/>
        <v/>
      </c>
      <c r="N129" s="32" t="str">
        <f t="shared" si="18"/>
        <v/>
      </c>
      <c r="O129" s="32" t="str">
        <f t="shared" si="19"/>
        <v/>
      </c>
      <c r="P129" s="32" t="str">
        <f t="shared" si="23"/>
        <v/>
      </c>
      <c r="Q129" s="33" t="str">
        <f t="shared" si="23"/>
        <v/>
      </c>
    </row>
    <row r="130" spans="2:17" x14ac:dyDescent="0.25">
      <c r="B130" s="9">
        <v>117</v>
      </c>
      <c r="C130" s="35">
        <v>39500</v>
      </c>
      <c r="D130" s="3"/>
      <c r="E130" s="9" t="str">
        <f t="shared" si="12"/>
        <v/>
      </c>
      <c r="F130" s="54" t="str">
        <f t="shared" si="21"/>
        <v/>
      </c>
      <c r="G130" s="73" t="str">
        <f t="shared" si="13"/>
        <v/>
      </c>
      <c r="H130" s="56" t="str">
        <f t="shared" si="14"/>
        <v/>
      </c>
      <c r="I130" s="57" t="str">
        <f t="shared" si="15"/>
        <v/>
      </c>
      <c r="J130" s="58" t="str">
        <f t="shared" si="16"/>
        <v/>
      </c>
      <c r="L130" s="31" t="str">
        <f t="shared" si="17"/>
        <v/>
      </c>
      <c r="M130" s="32" t="str">
        <f t="shared" si="22"/>
        <v/>
      </c>
      <c r="N130" s="32" t="str">
        <f t="shared" si="18"/>
        <v/>
      </c>
      <c r="O130" s="32" t="str">
        <f t="shared" si="19"/>
        <v/>
      </c>
      <c r="P130" s="32" t="str">
        <f t="shared" si="23"/>
        <v/>
      </c>
      <c r="Q130" s="33" t="str">
        <f t="shared" si="23"/>
        <v/>
      </c>
    </row>
    <row r="131" spans="2:17" x14ac:dyDescent="0.25">
      <c r="B131" s="9">
        <v>118</v>
      </c>
      <c r="C131" s="35">
        <v>40000</v>
      </c>
      <c r="D131" s="3"/>
      <c r="E131" s="9" t="str">
        <f t="shared" si="12"/>
        <v/>
      </c>
      <c r="F131" s="54" t="str">
        <f t="shared" si="21"/>
        <v/>
      </c>
      <c r="G131" s="73" t="str">
        <f t="shared" si="13"/>
        <v/>
      </c>
      <c r="H131" s="56" t="str">
        <f t="shared" si="14"/>
        <v/>
      </c>
      <c r="I131" s="57" t="str">
        <f t="shared" si="15"/>
        <v/>
      </c>
      <c r="J131" s="58" t="str">
        <f t="shared" si="16"/>
        <v/>
      </c>
      <c r="L131" s="31" t="str">
        <f t="shared" si="17"/>
        <v/>
      </c>
      <c r="M131" s="32" t="str">
        <f t="shared" si="22"/>
        <v/>
      </c>
      <c r="N131" s="32" t="str">
        <f t="shared" si="18"/>
        <v/>
      </c>
      <c r="O131" s="32" t="str">
        <f t="shared" si="19"/>
        <v/>
      </c>
      <c r="P131" s="32" t="str">
        <f t="shared" si="23"/>
        <v/>
      </c>
      <c r="Q131" s="33" t="str">
        <f t="shared" si="23"/>
        <v/>
      </c>
    </row>
    <row r="132" spans="2:17" x14ac:dyDescent="0.25">
      <c r="B132" s="9">
        <v>119</v>
      </c>
      <c r="C132" s="35">
        <v>40500</v>
      </c>
      <c r="D132" s="3"/>
      <c r="E132" s="9" t="str">
        <f t="shared" si="12"/>
        <v/>
      </c>
      <c r="F132" s="54" t="str">
        <f t="shared" si="21"/>
        <v/>
      </c>
      <c r="G132" s="73" t="str">
        <f t="shared" si="13"/>
        <v/>
      </c>
      <c r="H132" s="56" t="str">
        <f t="shared" si="14"/>
        <v/>
      </c>
      <c r="I132" s="57" t="str">
        <f t="shared" si="15"/>
        <v/>
      </c>
      <c r="J132" s="58" t="str">
        <f t="shared" si="16"/>
        <v/>
      </c>
      <c r="L132" s="31" t="str">
        <f t="shared" si="17"/>
        <v/>
      </c>
      <c r="M132" s="32" t="str">
        <f t="shared" si="22"/>
        <v/>
      </c>
      <c r="N132" s="32" t="str">
        <f t="shared" si="18"/>
        <v/>
      </c>
      <c r="O132" s="32" t="str">
        <f t="shared" si="19"/>
        <v/>
      </c>
      <c r="P132" s="32" t="str">
        <f t="shared" si="23"/>
        <v/>
      </c>
      <c r="Q132" s="33" t="str">
        <f t="shared" si="23"/>
        <v/>
      </c>
    </row>
    <row r="133" spans="2:17" x14ac:dyDescent="0.25">
      <c r="B133" s="9">
        <v>120</v>
      </c>
      <c r="C133" s="35">
        <v>41000</v>
      </c>
      <c r="D133" s="3"/>
      <c r="E133" s="9" t="str">
        <f t="shared" si="12"/>
        <v/>
      </c>
      <c r="F133" s="54" t="str">
        <f t="shared" si="21"/>
        <v/>
      </c>
      <c r="G133" s="73" t="str">
        <f t="shared" si="13"/>
        <v/>
      </c>
      <c r="H133" s="56" t="str">
        <f t="shared" si="14"/>
        <v/>
      </c>
      <c r="I133" s="57" t="str">
        <f t="shared" si="15"/>
        <v/>
      </c>
      <c r="J133" s="58" t="str">
        <f t="shared" si="16"/>
        <v/>
      </c>
      <c r="L133" s="31" t="str">
        <f t="shared" si="17"/>
        <v/>
      </c>
      <c r="M133" s="32" t="str">
        <f t="shared" si="22"/>
        <v/>
      </c>
      <c r="N133" s="32" t="str">
        <f t="shared" si="18"/>
        <v/>
      </c>
      <c r="O133" s="32" t="str">
        <f t="shared" si="19"/>
        <v/>
      </c>
      <c r="P133" s="32" t="str">
        <f t="shared" si="23"/>
        <v/>
      </c>
      <c r="Q133" s="33" t="str">
        <f t="shared" si="23"/>
        <v/>
      </c>
    </row>
    <row r="134" spans="2:17" x14ac:dyDescent="0.25">
      <c r="B134" s="9">
        <v>121</v>
      </c>
      <c r="C134" s="35">
        <v>41500</v>
      </c>
      <c r="D134" s="3"/>
      <c r="E134" s="9" t="str">
        <f t="shared" si="12"/>
        <v/>
      </c>
      <c r="F134" s="54" t="str">
        <f t="shared" si="21"/>
        <v/>
      </c>
      <c r="G134" s="73" t="str">
        <f t="shared" si="13"/>
        <v/>
      </c>
      <c r="H134" s="56" t="str">
        <f t="shared" si="14"/>
        <v/>
      </c>
      <c r="I134" s="57" t="str">
        <f t="shared" si="15"/>
        <v/>
      </c>
      <c r="J134" s="58" t="str">
        <f t="shared" si="16"/>
        <v/>
      </c>
      <c r="L134" s="31" t="str">
        <f t="shared" si="17"/>
        <v/>
      </c>
      <c r="M134" s="32" t="str">
        <f t="shared" si="22"/>
        <v/>
      </c>
      <c r="N134" s="32" t="str">
        <f t="shared" si="18"/>
        <v/>
      </c>
      <c r="O134" s="32" t="str">
        <f t="shared" si="19"/>
        <v/>
      </c>
      <c r="P134" s="32" t="str">
        <f t="shared" si="23"/>
        <v/>
      </c>
      <c r="Q134" s="33" t="str">
        <f t="shared" si="23"/>
        <v/>
      </c>
    </row>
    <row r="135" spans="2:17" x14ac:dyDescent="0.25">
      <c r="B135" s="9">
        <v>122</v>
      </c>
      <c r="C135" s="35">
        <v>42000</v>
      </c>
      <c r="D135" s="3"/>
      <c r="E135" s="9" t="str">
        <f t="shared" si="12"/>
        <v/>
      </c>
      <c r="F135" s="54" t="str">
        <f t="shared" si="21"/>
        <v/>
      </c>
      <c r="G135" s="73" t="str">
        <f t="shared" si="13"/>
        <v/>
      </c>
      <c r="H135" s="56" t="str">
        <f t="shared" si="14"/>
        <v/>
      </c>
      <c r="I135" s="57" t="str">
        <f t="shared" si="15"/>
        <v/>
      </c>
      <c r="J135" s="58" t="str">
        <f t="shared" si="16"/>
        <v/>
      </c>
      <c r="L135" s="31" t="str">
        <f t="shared" si="17"/>
        <v/>
      </c>
      <c r="M135" s="32" t="str">
        <f t="shared" si="22"/>
        <v/>
      </c>
      <c r="N135" s="32" t="str">
        <f t="shared" si="18"/>
        <v/>
      </c>
      <c r="O135" s="32" t="str">
        <f t="shared" si="19"/>
        <v/>
      </c>
      <c r="P135" s="32" t="str">
        <f t="shared" si="23"/>
        <v/>
      </c>
      <c r="Q135" s="33" t="str">
        <f t="shared" si="23"/>
        <v/>
      </c>
    </row>
    <row r="136" spans="2:17" x14ac:dyDescent="0.25">
      <c r="B136" s="9">
        <v>123</v>
      </c>
      <c r="C136" s="35">
        <v>42500</v>
      </c>
      <c r="D136" s="3"/>
      <c r="E136" s="9" t="str">
        <f t="shared" si="12"/>
        <v/>
      </c>
      <c r="F136" s="54" t="str">
        <f t="shared" si="21"/>
        <v/>
      </c>
      <c r="G136" s="73" t="str">
        <f t="shared" si="13"/>
        <v/>
      </c>
      <c r="H136" s="56" t="str">
        <f t="shared" si="14"/>
        <v/>
      </c>
      <c r="I136" s="57" t="str">
        <f t="shared" si="15"/>
        <v/>
      </c>
      <c r="J136" s="58" t="str">
        <f t="shared" si="16"/>
        <v/>
      </c>
      <c r="L136" s="31" t="str">
        <f t="shared" si="17"/>
        <v/>
      </c>
      <c r="M136" s="32" t="str">
        <f t="shared" si="22"/>
        <v/>
      </c>
      <c r="N136" s="32" t="str">
        <f t="shared" si="18"/>
        <v/>
      </c>
      <c r="O136" s="32" t="str">
        <f t="shared" si="19"/>
        <v/>
      </c>
      <c r="P136" s="32" t="str">
        <f t="shared" si="23"/>
        <v/>
      </c>
      <c r="Q136" s="33" t="str">
        <f t="shared" si="23"/>
        <v/>
      </c>
    </row>
    <row r="137" spans="2:17" x14ac:dyDescent="0.25">
      <c r="B137" s="9">
        <v>124</v>
      </c>
      <c r="C137" s="35">
        <v>43000</v>
      </c>
      <c r="D137" s="3"/>
      <c r="E137" s="9" t="str">
        <f t="shared" si="12"/>
        <v/>
      </c>
      <c r="F137" s="54" t="str">
        <f t="shared" si="21"/>
        <v/>
      </c>
      <c r="G137" s="73" t="str">
        <f t="shared" si="13"/>
        <v/>
      </c>
      <c r="H137" s="56" t="str">
        <f t="shared" si="14"/>
        <v/>
      </c>
      <c r="I137" s="57" t="str">
        <f t="shared" si="15"/>
        <v/>
      </c>
      <c r="J137" s="58" t="str">
        <f t="shared" si="16"/>
        <v/>
      </c>
      <c r="L137" s="31" t="str">
        <f t="shared" si="17"/>
        <v/>
      </c>
      <c r="M137" s="32" t="str">
        <f t="shared" si="22"/>
        <v/>
      </c>
      <c r="N137" s="32" t="str">
        <f t="shared" si="18"/>
        <v/>
      </c>
      <c r="O137" s="32" t="str">
        <f t="shared" si="19"/>
        <v/>
      </c>
      <c r="P137" s="32" t="str">
        <f t="shared" si="23"/>
        <v/>
      </c>
      <c r="Q137" s="33" t="str">
        <f t="shared" si="23"/>
        <v/>
      </c>
    </row>
    <row r="138" spans="2:17" x14ac:dyDescent="0.25">
      <c r="B138" s="9">
        <v>125</v>
      </c>
      <c r="C138" s="35">
        <v>43500</v>
      </c>
      <c r="D138" s="3"/>
      <c r="E138" s="9" t="str">
        <f t="shared" si="12"/>
        <v/>
      </c>
      <c r="F138" s="54" t="str">
        <f t="shared" si="21"/>
        <v/>
      </c>
      <c r="G138" s="73" t="str">
        <f t="shared" si="13"/>
        <v/>
      </c>
      <c r="H138" s="56" t="str">
        <f t="shared" si="14"/>
        <v/>
      </c>
      <c r="I138" s="57" t="str">
        <f t="shared" si="15"/>
        <v/>
      </c>
      <c r="J138" s="58" t="str">
        <f t="shared" si="16"/>
        <v/>
      </c>
      <c r="L138" s="31" t="str">
        <f t="shared" si="17"/>
        <v/>
      </c>
      <c r="M138" s="32" t="str">
        <f t="shared" si="22"/>
        <v/>
      </c>
      <c r="N138" s="32" t="str">
        <f t="shared" si="18"/>
        <v/>
      </c>
      <c r="O138" s="32" t="str">
        <f t="shared" si="19"/>
        <v/>
      </c>
      <c r="P138" s="32" t="str">
        <f t="shared" si="23"/>
        <v/>
      </c>
      <c r="Q138" s="33" t="str">
        <f t="shared" si="23"/>
        <v/>
      </c>
    </row>
    <row r="139" spans="2:17" x14ac:dyDescent="0.25">
      <c r="B139" s="9">
        <v>126</v>
      </c>
      <c r="C139" s="35">
        <v>44000</v>
      </c>
      <c r="D139" s="3"/>
      <c r="E139" s="9" t="str">
        <f t="shared" si="12"/>
        <v/>
      </c>
      <c r="F139" s="54" t="str">
        <f t="shared" si="21"/>
        <v/>
      </c>
      <c r="G139" s="73" t="str">
        <f t="shared" si="13"/>
        <v/>
      </c>
      <c r="H139" s="56" t="str">
        <f t="shared" si="14"/>
        <v/>
      </c>
      <c r="I139" s="57" t="str">
        <f t="shared" si="15"/>
        <v/>
      </c>
      <c r="J139" s="58" t="str">
        <f t="shared" si="16"/>
        <v/>
      </c>
      <c r="L139" s="31" t="str">
        <f t="shared" si="17"/>
        <v/>
      </c>
      <c r="M139" s="32" t="str">
        <f t="shared" si="22"/>
        <v/>
      </c>
      <c r="N139" s="32" t="str">
        <f t="shared" si="18"/>
        <v/>
      </c>
      <c r="O139" s="32" t="str">
        <f t="shared" si="19"/>
        <v/>
      </c>
      <c r="P139" s="32" t="str">
        <f t="shared" si="23"/>
        <v/>
      </c>
      <c r="Q139" s="33" t="str">
        <f t="shared" si="23"/>
        <v/>
      </c>
    </row>
    <row r="140" spans="2:17" x14ac:dyDescent="0.25">
      <c r="B140" s="9">
        <v>127</v>
      </c>
      <c r="C140" s="35">
        <v>44500</v>
      </c>
      <c r="D140" s="3"/>
      <c r="E140" s="9" t="str">
        <f t="shared" si="12"/>
        <v/>
      </c>
      <c r="F140" s="54" t="str">
        <f t="shared" si="21"/>
        <v/>
      </c>
      <c r="G140" s="73" t="str">
        <f t="shared" si="13"/>
        <v/>
      </c>
      <c r="H140" s="56" t="str">
        <f t="shared" si="14"/>
        <v/>
      </c>
      <c r="I140" s="57" t="str">
        <f t="shared" si="15"/>
        <v/>
      </c>
      <c r="J140" s="58" t="str">
        <f t="shared" si="16"/>
        <v/>
      </c>
      <c r="L140" s="31" t="str">
        <f t="shared" si="17"/>
        <v/>
      </c>
      <c r="M140" s="32" t="str">
        <f t="shared" si="22"/>
        <v/>
      </c>
      <c r="N140" s="32" t="str">
        <f t="shared" si="18"/>
        <v/>
      </c>
      <c r="O140" s="32" t="str">
        <f t="shared" si="19"/>
        <v/>
      </c>
      <c r="P140" s="32" t="str">
        <f t="shared" si="23"/>
        <v/>
      </c>
      <c r="Q140" s="33" t="str">
        <f t="shared" si="23"/>
        <v/>
      </c>
    </row>
    <row r="141" spans="2:17" x14ac:dyDescent="0.25">
      <c r="B141" s="9">
        <v>128</v>
      </c>
      <c r="C141" s="35">
        <v>45000</v>
      </c>
      <c r="D141" s="3"/>
      <c r="E141" s="9" t="str">
        <f t="shared" si="12"/>
        <v/>
      </c>
      <c r="F141" s="54" t="str">
        <f t="shared" si="21"/>
        <v/>
      </c>
      <c r="G141" s="73" t="str">
        <f t="shared" si="13"/>
        <v/>
      </c>
      <c r="H141" s="56" t="str">
        <f t="shared" si="14"/>
        <v/>
      </c>
      <c r="I141" s="57" t="str">
        <f t="shared" si="15"/>
        <v/>
      </c>
      <c r="J141" s="58" t="str">
        <f t="shared" si="16"/>
        <v/>
      </c>
      <c r="L141" s="31" t="str">
        <f t="shared" si="17"/>
        <v/>
      </c>
      <c r="M141" s="32" t="str">
        <f t="shared" si="22"/>
        <v/>
      </c>
      <c r="N141" s="32" t="str">
        <f t="shared" si="18"/>
        <v/>
      </c>
      <c r="O141" s="32" t="str">
        <f t="shared" si="19"/>
        <v/>
      </c>
      <c r="P141" s="32" t="str">
        <f t="shared" si="23"/>
        <v/>
      </c>
      <c r="Q141" s="33" t="str">
        <f t="shared" si="23"/>
        <v/>
      </c>
    </row>
    <row r="142" spans="2:17" x14ac:dyDescent="0.25">
      <c r="B142" s="9">
        <v>129</v>
      </c>
      <c r="C142" s="35">
        <v>45500</v>
      </c>
      <c r="D142" s="3"/>
      <c r="E142" s="9" t="str">
        <f t="shared" ref="E142:E203" si="24">IF(L142="","",ROUND(12*C$7/(2*H$7^2+2*H$6*H$7-H$6^2)*L142*1000000,0))</f>
        <v/>
      </c>
      <c r="F142" s="54" t="str">
        <f t="shared" si="21"/>
        <v/>
      </c>
      <c r="G142" s="73" t="str">
        <f t="shared" ref="G142:G203" si="25">IF(L142="","",ROUND(1.5*((N142-O142)*1000*H$7)/(C$6*C$7^2),3))</f>
        <v/>
      </c>
      <c r="H142" s="56" t="str">
        <f t="shared" ref="H142:H203" si="26">IF(L142="","",ROUND(1.5*((N142/2-O142)*1000*H$7)/(C$6*C$7^2),3))</f>
        <v/>
      </c>
      <c r="I142" s="57" t="str">
        <f t="shared" ref="I142:I203" si="27">IF(L142="","",IF(P142&lt;=0,"foute meting",ROUND(0.000001*V$4*SQRT((1000000*Q142)^2+(1000000*P142+V$5*(2*PI()*H$5)^2)^2),0)))</f>
        <v/>
      </c>
      <c r="J142" s="58" t="str">
        <f t="shared" ref="J142:J203" si="28">IF(L142="","",ROUND(ATAN(Q142/P142)/PI()*180,1))</f>
        <v/>
      </c>
      <c r="L142" s="31" t="str">
        <f t="shared" ref="L142:L203" si="29">IF(AG144&lt;=0,"",AG144)</f>
        <v/>
      </c>
      <c r="M142" s="32" t="str">
        <f t="shared" si="22"/>
        <v/>
      </c>
      <c r="N142" s="32" t="str">
        <f t="shared" ref="N142:N203" si="30">IF(AI144="","",AI144)</f>
        <v/>
      </c>
      <c r="O142" s="32" t="str">
        <f t="shared" ref="O142:O203" si="31">IF(AH144="","",AH144)</f>
        <v/>
      </c>
      <c r="P142" s="32" t="str">
        <f t="shared" ref="P142:Q173" si="32">IF(AJ144="","",AJ144)</f>
        <v/>
      </c>
      <c r="Q142" s="33" t="str">
        <f t="shared" si="32"/>
        <v/>
      </c>
    </row>
    <row r="143" spans="2:17" x14ac:dyDescent="0.25">
      <c r="B143" s="9">
        <v>130</v>
      </c>
      <c r="C143" s="35">
        <v>46000</v>
      </c>
      <c r="D143" s="3"/>
      <c r="E143" s="9" t="str">
        <f t="shared" si="24"/>
        <v/>
      </c>
      <c r="F143" s="54" t="str">
        <f t="shared" ref="F143:F203" si="33">IF(L143="","",ABS(ROUND(12*C$7/(2*(H$7/1000)^2+2*(H$6/1000)*(H$7/1000)-(H$6/1000)^2)*(M143-M$14)*1,0)))</f>
        <v/>
      </c>
      <c r="G143" s="73" t="str">
        <f t="shared" si="25"/>
        <v/>
      </c>
      <c r="H143" s="56" t="str">
        <f t="shared" si="26"/>
        <v/>
      </c>
      <c r="I143" s="57" t="str">
        <f t="shared" si="27"/>
        <v/>
      </c>
      <c r="J143" s="58" t="str">
        <f t="shared" si="28"/>
        <v/>
      </c>
      <c r="L143" s="31" t="str">
        <f t="shared" si="29"/>
        <v/>
      </c>
      <c r="M143" s="32" t="str">
        <f t="shared" ref="M143:M203" si="34">IF(AG145="","",AG145/2-AE145)</f>
        <v/>
      </c>
      <c r="N143" s="32" t="str">
        <f t="shared" si="30"/>
        <v/>
      </c>
      <c r="O143" s="32" t="str">
        <f t="shared" si="31"/>
        <v/>
      </c>
      <c r="P143" s="32" t="str">
        <f t="shared" si="32"/>
        <v/>
      </c>
      <c r="Q143" s="33" t="str">
        <f t="shared" si="32"/>
        <v/>
      </c>
    </row>
    <row r="144" spans="2:17" x14ac:dyDescent="0.25">
      <c r="B144" s="9">
        <v>131</v>
      </c>
      <c r="C144" s="35">
        <v>46500</v>
      </c>
      <c r="D144" s="3"/>
      <c r="E144" s="9" t="str">
        <f t="shared" si="24"/>
        <v/>
      </c>
      <c r="F144" s="54" t="str">
        <f t="shared" si="33"/>
        <v/>
      </c>
      <c r="G144" s="73" t="str">
        <f t="shared" si="25"/>
        <v/>
      </c>
      <c r="H144" s="56" t="str">
        <f t="shared" si="26"/>
        <v/>
      </c>
      <c r="I144" s="57" t="str">
        <f t="shared" si="27"/>
        <v/>
      </c>
      <c r="J144" s="58" t="str">
        <f t="shared" si="28"/>
        <v/>
      </c>
      <c r="L144" s="31" t="str">
        <f t="shared" si="29"/>
        <v/>
      </c>
      <c r="M144" s="32" t="str">
        <f t="shared" si="34"/>
        <v/>
      </c>
      <c r="N144" s="32" t="str">
        <f t="shared" si="30"/>
        <v/>
      </c>
      <c r="O144" s="32" t="str">
        <f t="shared" si="31"/>
        <v/>
      </c>
      <c r="P144" s="32" t="str">
        <f t="shared" si="32"/>
        <v/>
      </c>
      <c r="Q144" s="33" t="str">
        <f t="shared" si="32"/>
        <v/>
      </c>
    </row>
    <row r="145" spans="2:17" x14ac:dyDescent="0.25">
      <c r="B145" s="9">
        <v>132</v>
      </c>
      <c r="C145" s="35">
        <v>47000</v>
      </c>
      <c r="D145" s="3"/>
      <c r="E145" s="9" t="str">
        <f t="shared" si="24"/>
        <v/>
      </c>
      <c r="F145" s="54" t="str">
        <f t="shared" si="33"/>
        <v/>
      </c>
      <c r="G145" s="73" t="str">
        <f t="shared" si="25"/>
        <v/>
      </c>
      <c r="H145" s="56" t="str">
        <f t="shared" si="26"/>
        <v/>
      </c>
      <c r="I145" s="57" t="str">
        <f t="shared" si="27"/>
        <v/>
      </c>
      <c r="J145" s="58" t="str">
        <f t="shared" si="28"/>
        <v/>
      </c>
      <c r="L145" s="31" t="str">
        <f t="shared" si="29"/>
        <v/>
      </c>
      <c r="M145" s="32" t="str">
        <f t="shared" si="34"/>
        <v/>
      </c>
      <c r="N145" s="32" t="str">
        <f t="shared" si="30"/>
        <v/>
      </c>
      <c r="O145" s="32" t="str">
        <f t="shared" si="31"/>
        <v/>
      </c>
      <c r="P145" s="32" t="str">
        <f t="shared" si="32"/>
        <v/>
      </c>
      <c r="Q145" s="33" t="str">
        <f t="shared" si="32"/>
        <v/>
      </c>
    </row>
    <row r="146" spans="2:17" x14ac:dyDescent="0.25">
      <c r="B146" s="9">
        <v>133</v>
      </c>
      <c r="C146" s="35">
        <v>47500</v>
      </c>
      <c r="D146" s="3"/>
      <c r="E146" s="9" t="str">
        <f t="shared" si="24"/>
        <v/>
      </c>
      <c r="F146" s="54" t="str">
        <f t="shared" si="33"/>
        <v/>
      </c>
      <c r="G146" s="73" t="str">
        <f t="shared" si="25"/>
        <v/>
      </c>
      <c r="H146" s="56" t="str">
        <f t="shared" si="26"/>
        <v/>
      </c>
      <c r="I146" s="57" t="str">
        <f t="shared" si="27"/>
        <v/>
      </c>
      <c r="J146" s="58" t="str">
        <f t="shared" si="28"/>
        <v/>
      </c>
      <c r="L146" s="31" t="str">
        <f t="shared" si="29"/>
        <v/>
      </c>
      <c r="M146" s="32" t="str">
        <f t="shared" si="34"/>
        <v/>
      </c>
      <c r="N146" s="32" t="str">
        <f t="shared" si="30"/>
        <v/>
      </c>
      <c r="O146" s="32" t="str">
        <f t="shared" si="31"/>
        <v/>
      </c>
      <c r="P146" s="32" t="str">
        <f t="shared" si="32"/>
        <v/>
      </c>
      <c r="Q146" s="33" t="str">
        <f t="shared" si="32"/>
        <v/>
      </c>
    </row>
    <row r="147" spans="2:17" x14ac:dyDescent="0.25">
      <c r="B147" s="9">
        <v>134</v>
      </c>
      <c r="C147" s="35">
        <v>48000</v>
      </c>
      <c r="D147" s="3"/>
      <c r="E147" s="9" t="str">
        <f t="shared" si="24"/>
        <v/>
      </c>
      <c r="F147" s="54" t="str">
        <f t="shared" si="33"/>
        <v/>
      </c>
      <c r="G147" s="73" t="str">
        <f t="shared" si="25"/>
        <v/>
      </c>
      <c r="H147" s="56" t="str">
        <f t="shared" si="26"/>
        <v/>
      </c>
      <c r="I147" s="57" t="str">
        <f t="shared" si="27"/>
        <v/>
      </c>
      <c r="J147" s="58" t="str">
        <f t="shared" si="28"/>
        <v/>
      </c>
      <c r="L147" s="31" t="str">
        <f t="shared" si="29"/>
        <v/>
      </c>
      <c r="M147" s="32" t="str">
        <f t="shared" si="34"/>
        <v/>
      </c>
      <c r="N147" s="32" t="str">
        <f t="shared" si="30"/>
        <v/>
      </c>
      <c r="O147" s="32" t="str">
        <f t="shared" si="31"/>
        <v/>
      </c>
      <c r="P147" s="32" t="str">
        <f t="shared" si="32"/>
        <v/>
      </c>
      <c r="Q147" s="33" t="str">
        <f t="shared" si="32"/>
        <v/>
      </c>
    </row>
    <row r="148" spans="2:17" x14ac:dyDescent="0.25">
      <c r="B148" s="9">
        <v>135</v>
      </c>
      <c r="C148" s="35">
        <v>48500</v>
      </c>
      <c r="D148" s="3"/>
      <c r="E148" s="9" t="str">
        <f t="shared" si="24"/>
        <v/>
      </c>
      <c r="F148" s="54" t="str">
        <f t="shared" si="33"/>
        <v/>
      </c>
      <c r="G148" s="73" t="str">
        <f t="shared" si="25"/>
        <v/>
      </c>
      <c r="H148" s="56" t="str">
        <f t="shared" si="26"/>
        <v/>
      </c>
      <c r="I148" s="57" t="str">
        <f t="shared" si="27"/>
        <v/>
      </c>
      <c r="J148" s="58" t="str">
        <f t="shared" si="28"/>
        <v/>
      </c>
      <c r="L148" s="31" t="str">
        <f t="shared" si="29"/>
        <v/>
      </c>
      <c r="M148" s="32" t="str">
        <f t="shared" si="34"/>
        <v/>
      </c>
      <c r="N148" s="32" t="str">
        <f t="shared" si="30"/>
        <v/>
      </c>
      <c r="O148" s="32" t="str">
        <f t="shared" si="31"/>
        <v/>
      </c>
      <c r="P148" s="32" t="str">
        <f t="shared" si="32"/>
        <v/>
      </c>
      <c r="Q148" s="33" t="str">
        <f t="shared" si="32"/>
        <v/>
      </c>
    </row>
    <row r="149" spans="2:17" x14ac:dyDescent="0.25">
      <c r="B149" s="9">
        <v>136</v>
      </c>
      <c r="C149" s="35">
        <v>49000</v>
      </c>
      <c r="D149" s="3"/>
      <c r="E149" s="9" t="str">
        <f t="shared" si="24"/>
        <v/>
      </c>
      <c r="F149" s="54" t="str">
        <f t="shared" si="33"/>
        <v/>
      </c>
      <c r="G149" s="73" t="str">
        <f t="shared" si="25"/>
        <v/>
      </c>
      <c r="H149" s="56" t="str">
        <f t="shared" si="26"/>
        <v/>
      </c>
      <c r="I149" s="57" t="str">
        <f t="shared" si="27"/>
        <v/>
      </c>
      <c r="J149" s="58" t="str">
        <f t="shared" si="28"/>
        <v/>
      </c>
      <c r="L149" s="31" t="str">
        <f t="shared" si="29"/>
        <v/>
      </c>
      <c r="M149" s="32" t="str">
        <f t="shared" si="34"/>
        <v/>
      </c>
      <c r="N149" s="32" t="str">
        <f t="shared" si="30"/>
        <v/>
      </c>
      <c r="O149" s="32" t="str">
        <f t="shared" si="31"/>
        <v/>
      </c>
      <c r="P149" s="32" t="str">
        <f t="shared" si="32"/>
        <v/>
      </c>
      <c r="Q149" s="33" t="str">
        <f t="shared" si="32"/>
        <v/>
      </c>
    </row>
    <row r="150" spans="2:17" x14ac:dyDescent="0.25">
      <c r="B150" s="9">
        <v>137</v>
      </c>
      <c r="C150" s="35">
        <v>49500</v>
      </c>
      <c r="D150" s="3"/>
      <c r="E150" s="9" t="str">
        <f t="shared" si="24"/>
        <v/>
      </c>
      <c r="F150" s="54" t="str">
        <f t="shared" si="33"/>
        <v/>
      </c>
      <c r="G150" s="73" t="str">
        <f t="shared" si="25"/>
        <v/>
      </c>
      <c r="H150" s="56" t="str">
        <f t="shared" si="26"/>
        <v/>
      </c>
      <c r="I150" s="57" t="str">
        <f t="shared" si="27"/>
        <v/>
      </c>
      <c r="J150" s="58" t="str">
        <f t="shared" si="28"/>
        <v/>
      </c>
      <c r="L150" s="31" t="str">
        <f t="shared" si="29"/>
        <v/>
      </c>
      <c r="M150" s="32" t="str">
        <f t="shared" si="34"/>
        <v/>
      </c>
      <c r="N150" s="32" t="str">
        <f t="shared" si="30"/>
        <v/>
      </c>
      <c r="O150" s="32" t="str">
        <f t="shared" si="31"/>
        <v/>
      </c>
      <c r="P150" s="32" t="str">
        <f t="shared" si="32"/>
        <v/>
      </c>
      <c r="Q150" s="33" t="str">
        <f t="shared" si="32"/>
        <v/>
      </c>
    </row>
    <row r="151" spans="2:17" x14ac:dyDescent="0.25">
      <c r="B151" s="9">
        <v>138</v>
      </c>
      <c r="C151" s="35">
        <v>50000</v>
      </c>
      <c r="D151" s="3"/>
      <c r="E151" s="9" t="str">
        <f t="shared" si="24"/>
        <v/>
      </c>
      <c r="F151" s="54" t="str">
        <f t="shared" si="33"/>
        <v/>
      </c>
      <c r="G151" s="73" t="str">
        <f t="shared" si="25"/>
        <v/>
      </c>
      <c r="H151" s="56" t="str">
        <f t="shared" si="26"/>
        <v/>
      </c>
      <c r="I151" s="57" t="str">
        <f t="shared" si="27"/>
        <v/>
      </c>
      <c r="J151" s="58" t="str">
        <f t="shared" si="28"/>
        <v/>
      </c>
      <c r="L151" s="31" t="str">
        <f t="shared" si="29"/>
        <v/>
      </c>
      <c r="M151" s="32" t="str">
        <f t="shared" si="34"/>
        <v/>
      </c>
      <c r="N151" s="32" t="str">
        <f t="shared" si="30"/>
        <v/>
      </c>
      <c r="O151" s="32" t="str">
        <f t="shared" si="31"/>
        <v/>
      </c>
      <c r="P151" s="32" t="str">
        <f t="shared" si="32"/>
        <v/>
      </c>
      <c r="Q151" s="33" t="str">
        <f t="shared" si="32"/>
        <v/>
      </c>
    </row>
    <row r="152" spans="2:17" x14ac:dyDescent="0.25">
      <c r="B152" s="9">
        <v>139</v>
      </c>
      <c r="C152" s="35">
        <v>51000</v>
      </c>
      <c r="D152" s="3"/>
      <c r="E152" s="9" t="str">
        <f t="shared" si="24"/>
        <v/>
      </c>
      <c r="F152" s="54" t="str">
        <f t="shared" si="33"/>
        <v/>
      </c>
      <c r="G152" s="73" t="str">
        <f t="shared" si="25"/>
        <v/>
      </c>
      <c r="H152" s="56" t="str">
        <f t="shared" si="26"/>
        <v/>
      </c>
      <c r="I152" s="57" t="str">
        <f t="shared" si="27"/>
        <v/>
      </c>
      <c r="J152" s="58" t="str">
        <f t="shared" si="28"/>
        <v/>
      </c>
      <c r="L152" s="31" t="str">
        <f t="shared" si="29"/>
        <v/>
      </c>
      <c r="M152" s="32" t="str">
        <f t="shared" si="34"/>
        <v/>
      </c>
      <c r="N152" s="32" t="str">
        <f t="shared" si="30"/>
        <v/>
      </c>
      <c r="O152" s="32" t="str">
        <f t="shared" si="31"/>
        <v/>
      </c>
      <c r="P152" s="32" t="str">
        <f t="shared" si="32"/>
        <v/>
      </c>
      <c r="Q152" s="33" t="str">
        <f t="shared" si="32"/>
        <v/>
      </c>
    </row>
    <row r="153" spans="2:17" x14ac:dyDescent="0.25">
      <c r="B153" s="9">
        <v>140</v>
      </c>
      <c r="C153" s="35">
        <v>52000</v>
      </c>
      <c r="D153" s="3"/>
      <c r="E153" s="9" t="str">
        <f t="shared" si="24"/>
        <v/>
      </c>
      <c r="F153" s="54" t="str">
        <f t="shared" si="33"/>
        <v/>
      </c>
      <c r="G153" s="73" t="str">
        <f t="shared" si="25"/>
        <v/>
      </c>
      <c r="H153" s="56" t="str">
        <f t="shared" si="26"/>
        <v/>
      </c>
      <c r="I153" s="57" t="str">
        <f t="shared" si="27"/>
        <v/>
      </c>
      <c r="J153" s="58" t="str">
        <f t="shared" si="28"/>
        <v/>
      </c>
      <c r="L153" s="31" t="str">
        <f t="shared" si="29"/>
        <v/>
      </c>
      <c r="M153" s="32" t="str">
        <f t="shared" si="34"/>
        <v/>
      </c>
      <c r="N153" s="32" t="str">
        <f t="shared" si="30"/>
        <v/>
      </c>
      <c r="O153" s="32" t="str">
        <f t="shared" si="31"/>
        <v/>
      </c>
      <c r="P153" s="32" t="str">
        <f t="shared" si="32"/>
        <v/>
      </c>
      <c r="Q153" s="33" t="str">
        <f t="shared" si="32"/>
        <v/>
      </c>
    </row>
    <row r="154" spans="2:17" x14ac:dyDescent="0.25">
      <c r="B154" s="9">
        <v>141</v>
      </c>
      <c r="C154" s="35">
        <v>53000</v>
      </c>
      <c r="D154" s="3"/>
      <c r="E154" s="9" t="str">
        <f t="shared" si="24"/>
        <v/>
      </c>
      <c r="F154" s="54" t="str">
        <f t="shared" si="33"/>
        <v/>
      </c>
      <c r="G154" s="73" t="str">
        <f t="shared" si="25"/>
        <v/>
      </c>
      <c r="H154" s="56" t="str">
        <f t="shared" si="26"/>
        <v/>
      </c>
      <c r="I154" s="57" t="str">
        <f t="shared" si="27"/>
        <v/>
      </c>
      <c r="J154" s="58" t="str">
        <f t="shared" si="28"/>
        <v/>
      </c>
      <c r="L154" s="31" t="str">
        <f t="shared" si="29"/>
        <v/>
      </c>
      <c r="M154" s="32" t="str">
        <f t="shared" si="34"/>
        <v/>
      </c>
      <c r="N154" s="32" t="str">
        <f t="shared" si="30"/>
        <v/>
      </c>
      <c r="O154" s="32" t="str">
        <f t="shared" si="31"/>
        <v/>
      </c>
      <c r="P154" s="32" t="str">
        <f t="shared" si="32"/>
        <v/>
      </c>
      <c r="Q154" s="33" t="str">
        <f t="shared" si="32"/>
        <v/>
      </c>
    </row>
    <row r="155" spans="2:17" x14ac:dyDescent="0.25">
      <c r="B155" s="9">
        <v>142</v>
      </c>
      <c r="C155" s="35">
        <v>54000</v>
      </c>
      <c r="D155" s="3"/>
      <c r="E155" s="9" t="str">
        <f t="shared" si="24"/>
        <v/>
      </c>
      <c r="F155" s="54" t="str">
        <f t="shared" si="33"/>
        <v/>
      </c>
      <c r="G155" s="73" t="str">
        <f t="shared" si="25"/>
        <v/>
      </c>
      <c r="H155" s="56" t="str">
        <f t="shared" si="26"/>
        <v/>
      </c>
      <c r="I155" s="57" t="str">
        <f t="shared" si="27"/>
        <v/>
      </c>
      <c r="J155" s="58" t="str">
        <f t="shared" si="28"/>
        <v/>
      </c>
      <c r="L155" s="31" t="str">
        <f t="shared" si="29"/>
        <v/>
      </c>
      <c r="M155" s="32" t="str">
        <f t="shared" si="34"/>
        <v/>
      </c>
      <c r="N155" s="32" t="str">
        <f t="shared" si="30"/>
        <v/>
      </c>
      <c r="O155" s="32" t="str">
        <f t="shared" si="31"/>
        <v/>
      </c>
      <c r="P155" s="32" t="str">
        <f t="shared" si="32"/>
        <v/>
      </c>
      <c r="Q155" s="33" t="str">
        <f t="shared" si="32"/>
        <v/>
      </c>
    </row>
    <row r="156" spans="2:17" x14ac:dyDescent="0.25">
      <c r="B156" s="9">
        <v>143</v>
      </c>
      <c r="C156" s="35">
        <v>55000</v>
      </c>
      <c r="D156" s="3"/>
      <c r="E156" s="9" t="str">
        <f t="shared" si="24"/>
        <v/>
      </c>
      <c r="F156" s="54" t="str">
        <f t="shared" si="33"/>
        <v/>
      </c>
      <c r="G156" s="73" t="str">
        <f t="shared" si="25"/>
        <v/>
      </c>
      <c r="H156" s="56" t="str">
        <f t="shared" si="26"/>
        <v/>
      </c>
      <c r="I156" s="57" t="str">
        <f t="shared" si="27"/>
        <v/>
      </c>
      <c r="J156" s="58" t="str">
        <f t="shared" si="28"/>
        <v/>
      </c>
      <c r="L156" s="31" t="str">
        <f t="shared" si="29"/>
        <v/>
      </c>
      <c r="M156" s="32" t="str">
        <f t="shared" si="34"/>
        <v/>
      </c>
      <c r="N156" s="32" t="str">
        <f t="shared" si="30"/>
        <v/>
      </c>
      <c r="O156" s="32" t="str">
        <f t="shared" si="31"/>
        <v/>
      </c>
      <c r="P156" s="32" t="str">
        <f t="shared" si="32"/>
        <v/>
      </c>
      <c r="Q156" s="33" t="str">
        <f t="shared" si="32"/>
        <v/>
      </c>
    </row>
    <row r="157" spans="2:17" x14ac:dyDescent="0.25">
      <c r="B157" s="9">
        <v>144</v>
      </c>
      <c r="C157" s="35">
        <v>56000</v>
      </c>
      <c r="D157" s="3"/>
      <c r="E157" s="9" t="str">
        <f t="shared" si="24"/>
        <v/>
      </c>
      <c r="F157" s="54" t="str">
        <f t="shared" si="33"/>
        <v/>
      </c>
      <c r="G157" s="73" t="str">
        <f t="shared" si="25"/>
        <v/>
      </c>
      <c r="H157" s="56" t="str">
        <f t="shared" si="26"/>
        <v/>
      </c>
      <c r="I157" s="57" t="str">
        <f t="shared" si="27"/>
        <v/>
      </c>
      <c r="J157" s="58" t="str">
        <f t="shared" si="28"/>
        <v/>
      </c>
      <c r="L157" s="31" t="str">
        <f t="shared" si="29"/>
        <v/>
      </c>
      <c r="M157" s="32" t="str">
        <f t="shared" si="34"/>
        <v/>
      </c>
      <c r="N157" s="32" t="str">
        <f t="shared" si="30"/>
        <v/>
      </c>
      <c r="O157" s="32" t="str">
        <f t="shared" si="31"/>
        <v/>
      </c>
      <c r="P157" s="32" t="str">
        <f t="shared" si="32"/>
        <v/>
      </c>
      <c r="Q157" s="33" t="str">
        <f t="shared" si="32"/>
        <v/>
      </c>
    </row>
    <row r="158" spans="2:17" x14ac:dyDescent="0.25">
      <c r="B158" s="9">
        <v>145</v>
      </c>
      <c r="C158" s="35">
        <v>57000</v>
      </c>
      <c r="D158" s="3"/>
      <c r="E158" s="9" t="str">
        <f t="shared" si="24"/>
        <v/>
      </c>
      <c r="F158" s="54" t="str">
        <f t="shared" si="33"/>
        <v/>
      </c>
      <c r="G158" s="73" t="str">
        <f t="shared" si="25"/>
        <v/>
      </c>
      <c r="H158" s="56" t="str">
        <f t="shared" si="26"/>
        <v/>
      </c>
      <c r="I158" s="57" t="str">
        <f t="shared" si="27"/>
        <v/>
      </c>
      <c r="J158" s="58" t="str">
        <f t="shared" si="28"/>
        <v/>
      </c>
      <c r="L158" s="31" t="str">
        <f t="shared" si="29"/>
        <v/>
      </c>
      <c r="M158" s="32" t="str">
        <f t="shared" si="34"/>
        <v/>
      </c>
      <c r="N158" s="32" t="str">
        <f t="shared" si="30"/>
        <v/>
      </c>
      <c r="O158" s="32" t="str">
        <f t="shared" si="31"/>
        <v/>
      </c>
      <c r="P158" s="32" t="str">
        <f t="shared" si="32"/>
        <v/>
      </c>
      <c r="Q158" s="33" t="str">
        <f t="shared" si="32"/>
        <v/>
      </c>
    </row>
    <row r="159" spans="2:17" x14ac:dyDescent="0.25">
      <c r="B159" s="9">
        <v>146</v>
      </c>
      <c r="C159" s="35">
        <v>58000</v>
      </c>
      <c r="D159" s="3"/>
      <c r="E159" s="9" t="str">
        <f t="shared" si="24"/>
        <v/>
      </c>
      <c r="F159" s="54" t="str">
        <f t="shared" si="33"/>
        <v/>
      </c>
      <c r="G159" s="73" t="str">
        <f t="shared" si="25"/>
        <v/>
      </c>
      <c r="H159" s="56" t="str">
        <f t="shared" si="26"/>
        <v/>
      </c>
      <c r="I159" s="57" t="str">
        <f t="shared" si="27"/>
        <v/>
      </c>
      <c r="J159" s="58" t="str">
        <f t="shared" si="28"/>
        <v/>
      </c>
      <c r="L159" s="31" t="str">
        <f t="shared" si="29"/>
        <v/>
      </c>
      <c r="M159" s="32" t="str">
        <f t="shared" si="34"/>
        <v/>
      </c>
      <c r="N159" s="32" t="str">
        <f t="shared" si="30"/>
        <v/>
      </c>
      <c r="O159" s="32" t="str">
        <f t="shared" si="31"/>
        <v/>
      </c>
      <c r="P159" s="32" t="str">
        <f t="shared" si="32"/>
        <v/>
      </c>
      <c r="Q159" s="33" t="str">
        <f t="shared" si="32"/>
        <v/>
      </c>
    </row>
    <row r="160" spans="2:17" x14ac:dyDescent="0.25">
      <c r="B160" s="9">
        <v>147</v>
      </c>
      <c r="C160" s="35">
        <v>59000</v>
      </c>
      <c r="D160" s="3"/>
      <c r="E160" s="9" t="str">
        <f t="shared" si="24"/>
        <v/>
      </c>
      <c r="F160" s="54" t="str">
        <f t="shared" si="33"/>
        <v/>
      </c>
      <c r="G160" s="73" t="str">
        <f t="shared" si="25"/>
        <v/>
      </c>
      <c r="H160" s="56" t="str">
        <f t="shared" si="26"/>
        <v/>
      </c>
      <c r="I160" s="57" t="str">
        <f t="shared" si="27"/>
        <v/>
      </c>
      <c r="J160" s="58" t="str">
        <f t="shared" si="28"/>
        <v/>
      </c>
      <c r="L160" s="31" t="str">
        <f t="shared" si="29"/>
        <v/>
      </c>
      <c r="M160" s="32" t="str">
        <f t="shared" si="34"/>
        <v/>
      </c>
      <c r="N160" s="32" t="str">
        <f t="shared" si="30"/>
        <v/>
      </c>
      <c r="O160" s="32" t="str">
        <f t="shared" si="31"/>
        <v/>
      </c>
      <c r="P160" s="32" t="str">
        <f t="shared" si="32"/>
        <v/>
      </c>
      <c r="Q160" s="33" t="str">
        <f t="shared" si="32"/>
        <v/>
      </c>
    </row>
    <row r="161" spans="2:17" x14ac:dyDescent="0.25">
      <c r="B161" s="9">
        <v>148</v>
      </c>
      <c r="C161" s="35">
        <v>60000</v>
      </c>
      <c r="D161" s="3"/>
      <c r="E161" s="9" t="str">
        <f t="shared" si="24"/>
        <v/>
      </c>
      <c r="F161" s="54" t="str">
        <f t="shared" si="33"/>
        <v/>
      </c>
      <c r="G161" s="73" t="str">
        <f t="shared" si="25"/>
        <v/>
      </c>
      <c r="H161" s="56" t="str">
        <f t="shared" si="26"/>
        <v/>
      </c>
      <c r="I161" s="57" t="str">
        <f t="shared" si="27"/>
        <v/>
      </c>
      <c r="J161" s="58" t="str">
        <f t="shared" si="28"/>
        <v/>
      </c>
      <c r="L161" s="31" t="str">
        <f t="shared" si="29"/>
        <v/>
      </c>
      <c r="M161" s="32" t="str">
        <f t="shared" si="34"/>
        <v/>
      </c>
      <c r="N161" s="32" t="str">
        <f t="shared" si="30"/>
        <v/>
      </c>
      <c r="O161" s="32" t="str">
        <f t="shared" si="31"/>
        <v/>
      </c>
      <c r="P161" s="32" t="str">
        <f t="shared" si="32"/>
        <v/>
      </c>
      <c r="Q161" s="33" t="str">
        <f t="shared" si="32"/>
        <v/>
      </c>
    </row>
    <row r="162" spans="2:17" x14ac:dyDescent="0.25">
      <c r="B162" s="9">
        <v>149</v>
      </c>
      <c r="C162" s="35">
        <v>62000</v>
      </c>
      <c r="D162" s="3"/>
      <c r="E162" s="9" t="str">
        <f t="shared" si="24"/>
        <v/>
      </c>
      <c r="F162" s="54" t="str">
        <f t="shared" si="33"/>
        <v/>
      </c>
      <c r="G162" s="73" t="str">
        <f t="shared" si="25"/>
        <v/>
      </c>
      <c r="H162" s="56" t="str">
        <f t="shared" si="26"/>
        <v/>
      </c>
      <c r="I162" s="57" t="str">
        <f t="shared" si="27"/>
        <v/>
      </c>
      <c r="J162" s="58" t="str">
        <f t="shared" si="28"/>
        <v/>
      </c>
      <c r="L162" s="31" t="str">
        <f t="shared" si="29"/>
        <v/>
      </c>
      <c r="M162" s="32" t="str">
        <f t="shared" si="34"/>
        <v/>
      </c>
      <c r="N162" s="32" t="str">
        <f t="shared" si="30"/>
        <v/>
      </c>
      <c r="O162" s="32" t="str">
        <f t="shared" si="31"/>
        <v/>
      </c>
      <c r="P162" s="32" t="str">
        <f t="shared" si="32"/>
        <v/>
      </c>
      <c r="Q162" s="33" t="str">
        <f t="shared" si="32"/>
        <v/>
      </c>
    </row>
    <row r="163" spans="2:17" x14ac:dyDescent="0.25">
      <c r="B163" s="9">
        <v>150</v>
      </c>
      <c r="C163" s="35">
        <v>64000</v>
      </c>
      <c r="D163" s="2"/>
      <c r="E163" s="9" t="str">
        <f t="shared" si="24"/>
        <v/>
      </c>
      <c r="F163" s="54" t="str">
        <f t="shared" si="33"/>
        <v/>
      </c>
      <c r="G163" s="73" t="str">
        <f t="shared" si="25"/>
        <v/>
      </c>
      <c r="H163" s="56" t="str">
        <f t="shared" si="26"/>
        <v/>
      </c>
      <c r="I163" s="57" t="str">
        <f t="shared" si="27"/>
        <v/>
      </c>
      <c r="J163" s="58" t="str">
        <f t="shared" si="28"/>
        <v/>
      </c>
      <c r="L163" s="31" t="str">
        <f t="shared" si="29"/>
        <v/>
      </c>
      <c r="M163" s="32" t="str">
        <f t="shared" si="34"/>
        <v/>
      </c>
      <c r="N163" s="32" t="str">
        <f t="shared" si="30"/>
        <v/>
      </c>
      <c r="O163" s="32" t="str">
        <f t="shared" si="31"/>
        <v/>
      </c>
      <c r="P163" s="32" t="str">
        <f t="shared" si="32"/>
        <v/>
      </c>
      <c r="Q163" s="33" t="str">
        <f t="shared" si="32"/>
        <v/>
      </c>
    </row>
    <row r="164" spans="2:17" x14ac:dyDescent="0.25">
      <c r="B164" s="9">
        <v>151</v>
      </c>
      <c r="C164" s="35">
        <v>68000</v>
      </c>
      <c r="D164" s="2"/>
      <c r="E164" s="9" t="str">
        <f t="shared" si="24"/>
        <v/>
      </c>
      <c r="F164" s="54" t="str">
        <f t="shared" si="33"/>
        <v/>
      </c>
      <c r="G164" s="73" t="str">
        <f t="shared" si="25"/>
        <v/>
      </c>
      <c r="H164" s="56" t="str">
        <f t="shared" si="26"/>
        <v/>
      </c>
      <c r="I164" s="57" t="str">
        <f t="shared" si="27"/>
        <v/>
      </c>
      <c r="J164" s="58" t="str">
        <f t="shared" si="28"/>
        <v/>
      </c>
      <c r="L164" s="31" t="str">
        <f t="shared" si="29"/>
        <v/>
      </c>
      <c r="M164" s="32" t="str">
        <f t="shared" si="34"/>
        <v/>
      </c>
      <c r="N164" s="32" t="str">
        <f t="shared" si="30"/>
        <v/>
      </c>
      <c r="O164" s="32" t="str">
        <f t="shared" si="31"/>
        <v/>
      </c>
      <c r="P164" s="32" t="str">
        <f t="shared" si="32"/>
        <v/>
      </c>
      <c r="Q164" s="33" t="str">
        <f t="shared" si="32"/>
        <v/>
      </c>
    </row>
    <row r="165" spans="2:17" x14ac:dyDescent="0.25">
      <c r="B165" s="9">
        <v>152</v>
      </c>
      <c r="C165" s="35">
        <v>68000</v>
      </c>
      <c r="D165" s="2"/>
      <c r="E165" s="9" t="str">
        <f t="shared" si="24"/>
        <v/>
      </c>
      <c r="F165" s="54" t="str">
        <f t="shared" si="33"/>
        <v/>
      </c>
      <c r="G165" s="73" t="str">
        <f t="shared" si="25"/>
        <v/>
      </c>
      <c r="H165" s="56" t="str">
        <f t="shared" si="26"/>
        <v/>
      </c>
      <c r="I165" s="57" t="str">
        <f t="shared" si="27"/>
        <v/>
      </c>
      <c r="J165" s="58" t="str">
        <f t="shared" si="28"/>
        <v/>
      </c>
      <c r="L165" s="31" t="str">
        <f t="shared" si="29"/>
        <v/>
      </c>
      <c r="M165" s="32" t="str">
        <f t="shared" si="34"/>
        <v/>
      </c>
      <c r="N165" s="32" t="str">
        <f t="shared" si="30"/>
        <v/>
      </c>
      <c r="O165" s="32" t="str">
        <f t="shared" si="31"/>
        <v/>
      </c>
      <c r="P165" s="32" t="str">
        <f t="shared" si="32"/>
        <v/>
      </c>
      <c r="Q165" s="33" t="str">
        <f t="shared" si="32"/>
        <v/>
      </c>
    </row>
    <row r="166" spans="2:17" x14ac:dyDescent="0.25">
      <c r="B166" s="9">
        <v>153</v>
      </c>
      <c r="C166" s="35">
        <v>70000</v>
      </c>
      <c r="D166" s="2"/>
      <c r="E166" s="9" t="str">
        <f t="shared" si="24"/>
        <v/>
      </c>
      <c r="F166" s="54" t="str">
        <f t="shared" si="33"/>
        <v/>
      </c>
      <c r="G166" s="73" t="str">
        <f t="shared" si="25"/>
        <v/>
      </c>
      <c r="H166" s="56" t="str">
        <f t="shared" si="26"/>
        <v/>
      </c>
      <c r="I166" s="57" t="str">
        <f t="shared" si="27"/>
        <v/>
      </c>
      <c r="J166" s="58" t="str">
        <f t="shared" si="28"/>
        <v/>
      </c>
      <c r="L166" s="31" t="str">
        <f t="shared" si="29"/>
        <v/>
      </c>
      <c r="M166" s="32" t="str">
        <f t="shared" si="34"/>
        <v/>
      </c>
      <c r="N166" s="32" t="str">
        <f t="shared" si="30"/>
        <v/>
      </c>
      <c r="O166" s="32" t="str">
        <f t="shared" si="31"/>
        <v/>
      </c>
      <c r="P166" s="32" t="str">
        <f t="shared" si="32"/>
        <v/>
      </c>
      <c r="Q166" s="33" t="str">
        <f t="shared" si="32"/>
        <v/>
      </c>
    </row>
    <row r="167" spans="2:17" x14ac:dyDescent="0.25">
      <c r="B167" s="9">
        <v>154</v>
      </c>
      <c r="C167" s="35">
        <v>72000</v>
      </c>
      <c r="D167" s="2"/>
      <c r="E167" s="9" t="str">
        <f t="shared" si="24"/>
        <v/>
      </c>
      <c r="F167" s="54" t="str">
        <f t="shared" si="33"/>
        <v/>
      </c>
      <c r="G167" s="73" t="str">
        <f t="shared" si="25"/>
        <v/>
      </c>
      <c r="H167" s="56" t="str">
        <f t="shared" si="26"/>
        <v/>
      </c>
      <c r="I167" s="57" t="str">
        <f t="shared" si="27"/>
        <v/>
      </c>
      <c r="J167" s="58" t="str">
        <f t="shared" si="28"/>
        <v/>
      </c>
      <c r="L167" s="31" t="str">
        <f t="shared" si="29"/>
        <v/>
      </c>
      <c r="M167" s="32" t="str">
        <f t="shared" si="34"/>
        <v/>
      </c>
      <c r="N167" s="32" t="str">
        <f t="shared" si="30"/>
        <v/>
      </c>
      <c r="O167" s="32" t="str">
        <f t="shared" si="31"/>
        <v/>
      </c>
      <c r="P167" s="32" t="str">
        <f t="shared" si="32"/>
        <v/>
      </c>
      <c r="Q167" s="33" t="str">
        <f t="shared" si="32"/>
        <v/>
      </c>
    </row>
    <row r="168" spans="2:17" x14ac:dyDescent="0.25">
      <c r="B168" s="9">
        <v>155</v>
      </c>
      <c r="C168" s="35">
        <v>74000</v>
      </c>
      <c r="D168" s="2"/>
      <c r="E168" s="9" t="str">
        <f t="shared" si="24"/>
        <v/>
      </c>
      <c r="F168" s="54" t="str">
        <f t="shared" si="33"/>
        <v/>
      </c>
      <c r="G168" s="73" t="str">
        <f t="shared" si="25"/>
        <v/>
      </c>
      <c r="H168" s="56" t="str">
        <f t="shared" si="26"/>
        <v/>
      </c>
      <c r="I168" s="57" t="str">
        <f t="shared" si="27"/>
        <v/>
      </c>
      <c r="J168" s="58" t="str">
        <f t="shared" si="28"/>
        <v/>
      </c>
      <c r="L168" s="31" t="str">
        <f t="shared" si="29"/>
        <v/>
      </c>
      <c r="M168" s="32" t="str">
        <f t="shared" si="34"/>
        <v/>
      </c>
      <c r="N168" s="32" t="str">
        <f t="shared" si="30"/>
        <v/>
      </c>
      <c r="O168" s="32" t="str">
        <f t="shared" si="31"/>
        <v/>
      </c>
      <c r="P168" s="32" t="str">
        <f t="shared" si="32"/>
        <v/>
      </c>
      <c r="Q168" s="33" t="str">
        <f t="shared" si="32"/>
        <v/>
      </c>
    </row>
    <row r="169" spans="2:17" x14ac:dyDescent="0.25">
      <c r="B169" s="9">
        <v>156</v>
      </c>
      <c r="C169" s="35">
        <v>76000</v>
      </c>
      <c r="D169" s="2"/>
      <c r="E169" s="9" t="str">
        <f t="shared" si="24"/>
        <v/>
      </c>
      <c r="F169" s="54" t="str">
        <f t="shared" si="33"/>
        <v/>
      </c>
      <c r="G169" s="73" t="str">
        <f t="shared" si="25"/>
        <v/>
      </c>
      <c r="H169" s="56" t="str">
        <f t="shared" si="26"/>
        <v/>
      </c>
      <c r="I169" s="57" t="str">
        <f t="shared" si="27"/>
        <v/>
      </c>
      <c r="J169" s="58" t="str">
        <f t="shared" si="28"/>
        <v/>
      </c>
      <c r="L169" s="31" t="str">
        <f t="shared" si="29"/>
        <v/>
      </c>
      <c r="M169" s="32" t="str">
        <f t="shared" si="34"/>
        <v/>
      </c>
      <c r="N169" s="32" t="str">
        <f t="shared" si="30"/>
        <v/>
      </c>
      <c r="O169" s="32" t="str">
        <f t="shared" si="31"/>
        <v/>
      </c>
      <c r="P169" s="32" t="str">
        <f t="shared" si="32"/>
        <v/>
      </c>
      <c r="Q169" s="33" t="str">
        <f t="shared" si="32"/>
        <v/>
      </c>
    </row>
    <row r="170" spans="2:17" x14ac:dyDescent="0.25">
      <c r="B170" s="9">
        <v>157</v>
      </c>
      <c r="C170" s="35">
        <v>78000</v>
      </c>
      <c r="D170" s="2"/>
      <c r="E170" s="9" t="str">
        <f t="shared" si="24"/>
        <v/>
      </c>
      <c r="F170" s="54" t="str">
        <f t="shared" si="33"/>
        <v/>
      </c>
      <c r="G170" s="73" t="str">
        <f t="shared" si="25"/>
        <v/>
      </c>
      <c r="H170" s="56" t="str">
        <f t="shared" si="26"/>
        <v/>
      </c>
      <c r="I170" s="57" t="str">
        <f t="shared" si="27"/>
        <v/>
      </c>
      <c r="J170" s="58" t="str">
        <f t="shared" si="28"/>
        <v/>
      </c>
      <c r="L170" s="31" t="str">
        <f t="shared" si="29"/>
        <v/>
      </c>
      <c r="M170" s="32" t="str">
        <f t="shared" si="34"/>
        <v/>
      </c>
      <c r="N170" s="32" t="str">
        <f t="shared" si="30"/>
        <v/>
      </c>
      <c r="O170" s="32" t="str">
        <f t="shared" si="31"/>
        <v/>
      </c>
      <c r="P170" s="32" t="str">
        <f t="shared" si="32"/>
        <v/>
      </c>
      <c r="Q170" s="33" t="str">
        <f t="shared" si="32"/>
        <v/>
      </c>
    </row>
    <row r="171" spans="2:17" x14ac:dyDescent="0.25">
      <c r="B171" s="9">
        <v>158</v>
      </c>
      <c r="C171" s="35">
        <v>80000</v>
      </c>
      <c r="D171" s="2"/>
      <c r="E171" s="9" t="str">
        <f t="shared" si="24"/>
        <v/>
      </c>
      <c r="F171" s="54" t="str">
        <f t="shared" si="33"/>
        <v/>
      </c>
      <c r="G171" s="73" t="str">
        <f t="shared" si="25"/>
        <v/>
      </c>
      <c r="H171" s="56" t="str">
        <f t="shared" si="26"/>
        <v/>
      </c>
      <c r="I171" s="57" t="str">
        <f t="shared" si="27"/>
        <v/>
      </c>
      <c r="J171" s="58" t="str">
        <f t="shared" si="28"/>
        <v/>
      </c>
      <c r="L171" s="31" t="str">
        <f t="shared" si="29"/>
        <v/>
      </c>
      <c r="M171" s="32" t="str">
        <f t="shared" si="34"/>
        <v/>
      </c>
      <c r="N171" s="32" t="str">
        <f t="shared" si="30"/>
        <v/>
      </c>
      <c r="O171" s="32" t="str">
        <f t="shared" si="31"/>
        <v/>
      </c>
      <c r="P171" s="32" t="str">
        <f t="shared" si="32"/>
        <v/>
      </c>
      <c r="Q171" s="33" t="str">
        <f t="shared" si="32"/>
        <v/>
      </c>
    </row>
    <row r="172" spans="2:17" x14ac:dyDescent="0.25">
      <c r="B172" s="9">
        <v>159</v>
      </c>
      <c r="C172" s="35">
        <v>82000</v>
      </c>
      <c r="D172" s="2"/>
      <c r="E172" s="9" t="str">
        <f t="shared" si="24"/>
        <v/>
      </c>
      <c r="F172" s="54" t="str">
        <f t="shared" si="33"/>
        <v/>
      </c>
      <c r="G172" s="73" t="str">
        <f t="shared" si="25"/>
        <v/>
      </c>
      <c r="H172" s="56" t="str">
        <f t="shared" si="26"/>
        <v/>
      </c>
      <c r="I172" s="57" t="str">
        <f t="shared" si="27"/>
        <v/>
      </c>
      <c r="J172" s="58" t="str">
        <f t="shared" si="28"/>
        <v/>
      </c>
      <c r="L172" s="31" t="str">
        <f t="shared" si="29"/>
        <v/>
      </c>
      <c r="M172" s="32" t="str">
        <f t="shared" si="34"/>
        <v/>
      </c>
      <c r="N172" s="32" t="str">
        <f t="shared" si="30"/>
        <v/>
      </c>
      <c r="O172" s="32" t="str">
        <f t="shared" si="31"/>
        <v/>
      </c>
      <c r="P172" s="32" t="str">
        <f t="shared" si="32"/>
        <v/>
      </c>
      <c r="Q172" s="33" t="str">
        <f t="shared" si="32"/>
        <v/>
      </c>
    </row>
    <row r="173" spans="2:17" x14ac:dyDescent="0.25">
      <c r="B173" s="9">
        <v>160</v>
      </c>
      <c r="C173" s="35">
        <v>84000</v>
      </c>
      <c r="D173" s="2"/>
      <c r="E173" s="9" t="str">
        <f t="shared" si="24"/>
        <v/>
      </c>
      <c r="F173" s="54" t="str">
        <f t="shared" si="33"/>
        <v/>
      </c>
      <c r="G173" s="73" t="str">
        <f t="shared" si="25"/>
        <v/>
      </c>
      <c r="H173" s="56" t="str">
        <f t="shared" si="26"/>
        <v/>
      </c>
      <c r="I173" s="57" t="str">
        <f t="shared" si="27"/>
        <v/>
      </c>
      <c r="J173" s="58" t="str">
        <f t="shared" si="28"/>
        <v/>
      </c>
      <c r="L173" s="31" t="str">
        <f t="shared" si="29"/>
        <v/>
      </c>
      <c r="M173" s="32" t="str">
        <f t="shared" si="34"/>
        <v/>
      </c>
      <c r="N173" s="32" t="str">
        <f t="shared" si="30"/>
        <v/>
      </c>
      <c r="O173" s="32" t="str">
        <f t="shared" si="31"/>
        <v/>
      </c>
      <c r="P173" s="32" t="str">
        <f t="shared" si="32"/>
        <v/>
      </c>
      <c r="Q173" s="33" t="str">
        <f t="shared" si="32"/>
        <v/>
      </c>
    </row>
    <row r="174" spans="2:17" x14ac:dyDescent="0.25">
      <c r="B174" s="9">
        <v>161</v>
      </c>
      <c r="C174" s="35">
        <v>86000</v>
      </c>
      <c r="D174" s="2"/>
      <c r="E174" s="9" t="str">
        <f t="shared" si="24"/>
        <v/>
      </c>
      <c r="F174" s="54" t="str">
        <f t="shared" si="33"/>
        <v/>
      </c>
      <c r="G174" s="73" t="str">
        <f t="shared" si="25"/>
        <v/>
      </c>
      <c r="H174" s="56" t="str">
        <f t="shared" si="26"/>
        <v/>
      </c>
      <c r="I174" s="57" t="str">
        <f t="shared" si="27"/>
        <v/>
      </c>
      <c r="J174" s="58" t="str">
        <f t="shared" si="28"/>
        <v/>
      </c>
      <c r="L174" s="31" t="str">
        <f t="shared" si="29"/>
        <v/>
      </c>
      <c r="M174" s="32" t="str">
        <f t="shared" si="34"/>
        <v/>
      </c>
      <c r="N174" s="32" t="str">
        <f t="shared" si="30"/>
        <v/>
      </c>
      <c r="O174" s="32" t="str">
        <f t="shared" si="31"/>
        <v/>
      </c>
      <c r="P174" s="32" t="str">
        <f t="shared" ref="P174:Q203" si="35">IF(AJ176="","",AJ176)</f>
        <v/>
      </c>
      <c r="Q174" s="33" t="str">
        <f t="shared" si="35"/>
        <v/>
      </c>
    </row>
    <row r="175" spans="2:17" x14ac:dyDescent="0.25">
      <c r="B175" s="9">
        <v>162</v>
      </c>
      <c r="C175" s="35">
        <v>88000</v>
      </c>
      <c r="D175" s="2"/>
      <c r="E175" s="9" t="str">
        <f t="shared" si="24"/>
        <v/>
      </c>
      <c r="F175" s="54" t="str">
        <f t="shared" si="33"/>
        <v/>
      </c>
      <c r="G175" s="73" t="str">
        <f t="shared" si="25"/>
        <v/>
      </c>
      <c r="H175" s="56" t="str">
        <f t="shared" si="26"/>
        <v/>
      </c>
      <c r="I175" s="57" t="str">
        <f t="shared" si="27"/>
        <v/>
      </c>
      <c r="J175" s="58" t="str">
        <f t="shared" si="28"/>
        <v/>
      </c>
      <c r="L175" s="31" t="str">
        <f t="shared" si="29"/>
        <v/>
      </c>
      <c r="M175" s="32" t="str">
        <f t="shared" si="34"/>
        <v/>
      </c>
      <c r="N175" s="32" t="str">
        <f t="shared" si="30"/>
        <v/>
      </c>
      <c r="O175" s="32" t="str">
        <f t="shared" si="31"/>
        <v/>
      </c>
      <c r="P175" s="32" t="str">
        <f t="shared" si="35"/>
        <v/>
      </c>
      <c r="Q175" s="33" t="str">
        <f t="shared" si="35"/>
        <v/>
      </c>
    </row>
    <row r="176" spans="2:17" x14ac:dyDescent="0.25">
      <c r="B176" s="9">
        <v>163</v>
      </c>
      <c r="C176" s="35">
        <v>90000</v>
      </c>
      <c r="D176" s="2"/>
      <c r="E176" s="9" t="str">
        <f t="shared" si="24"/>
        <v/>
      </c>
      <c r="F176" s="54" t="str">
        <f t="shared" si="33"/>
        <v/>
      </c>
      <c r="G176" s="73" t="str">
        <f t="shared" si="25"/>
        <v/>
      </c>
      <c r="H176" s="56" t="str">
        <f t="shared" si="26"/>
        <v/>
      </c>
      <c r="I176" s="57" t="str">
        <f t="shared" si="27"/>
        <v/>
      </c>
      <c r="J176" s="58" t="str">
        <f t="shared" si="28"/>
        <v/>
      </c>
      <c r="L176" s="31" t="str">
        <f t="shared" si="29"/>
        <v/>
      </c>
      <c r="M176" s="32" t="str">
        <f t="shared" si="34"/>
        <v/>
      </c>
      <c r="N176" s="32" t="str">
        <f t="shared" si="30"/>
        <v/>
      </c>
      <c r="O176" s="32" t="str">
        <f t="shared" si="31"/>
        <v/>
      </c>
      <c r="P176" s="32" t="str">
        <f t="shared" si="35"/>
        <v/>
      </c>
      <c r="Q176" s="33" t="str">
        <f t="shared" si="35"/>
        <v/>
      </c>
    </row>
    <row r="177" spans="2:17" x14ac:dyDescent="0.25">
      <c r="B177" s="9">
        <v>164</v>
      </c>
      <c r="C177" s="35">
        <v>92000</v>
      </c>
      <c r="D177" s="2"/>
      <c r="E177" s="9" t="str">
        <f t="shared" si="24"/>
        <v/>
      </c>
      <c r="F177" s="54" t="str">
        <f t="shared" si="33"/>
        <v/>
      </c>
      <c r="G177" s="73" t="str">
        <f t="shared" si="25"/>
        <v/>
      </c>
      <c r="H177" s="56" t="str">
        <f t="shared" si="26"/>
        <v/>
      </c>
      <c r="I177" s="57" t="str">
        <f t="shared" si="27"/>
        <v/>
      </c>
      <c r="J177" s="58" t="str">
        <f t="shared" si="28"/>
        <v/>
      </c>
      <c r="L177" s="31" t="str">
        <f t="shared" si="29"/>
        <v/>
      </c>
      <c r="M177" s="32" t="str">
        <f t="shared" si="34"/>
        <v/>
      </c>
      <c r="N177" s="32" t="str">
        <f t="shared" si="30"/>
        <v/>
      </c>
      <c r="O177" s="32" t="str">
        <f t="shared" si="31"/>
        <v/>
      </c>
      <c r="P177" s="32" t="str">
        <f t="shared" si="35"/>
        <v/>
      </c>
      <c r="Q177" s="33" t="str">
        <f t="shared" si="35"/>
        <v/>
      </c>
    </row>
    <row r="178" spans="2:17" x14ac:dyDescent="0.25">
      <c r="B178" s="9">
        <v>165</v>
      </c>
      <c r="C178" s="35">
        <v>94000</v>
      </c>
      <c r="D178" s="2"/>
      <c r="E178" s="9" t="str">
        <f t="shared" si="24"/>
        <v/>
      </c>
      <c r="F178" s="54" t="str">
        <f t="shared" si="33"/>
        <v/>
      </c>
      <c r="G178" s="73" t="str">
        <f t="shared" si="25"/>
        <v/>
      </c>
      <c r="H178" s="56" t="str">
        <f t="shared" si="26"/>
        <v/>
      </c>
      <c r="I178" s="57" t="str">
        <f t="shared" si="27"/>
        <v/>
      </c>
      <c r="J178" s="58" t="str">
        <f t="shared" si="28"/>
        <v/>
      </c>
      <c r="L178" s="31" t="str">
        <f t="shared" si="29"/>
        <v/>
      </c>
      <c r="M178" s="32" t="str">
        <f t="shared" si="34"/>
        <v/>
      </c>
      <c r="N178" s="32" t="str">
        <f t="shared" si="30"/>
        <v/>
      </c>
      <c r="O178" s="32" t="str">
        <f t="shared" si="31"/>
        <v/>
      </c>
      <c r="P178" s="32" t="str">
        <f t="shared" si="35"/>
        <v/>
      </c>
      <c r="Q178" s="33" t="str">
        <f t="shared" si="35"/>
        <v/>
      </c>
    </row>
    <row r="179" spans="2:17" x14ac:dyDescent="0.25">
      <c r="B179" s="9">
        <v>166</v>
      </c>
      <c r="C179" s="35">
        <v>96000</v>
      </c>
      <c r="D179" s="2"/>
      <c r="E179" s="9" t="str">
        <f t="shared" si="24"/>
        <v/>
      </c>
      <c r="F179" s="54" t="str">
        <f t="shared" si="33"/>
        <v/>
      </c>
      <c r="G179" s="73" t="str">
        <f t="shared" si="25"/>
        <v/>
      </c>
      <c r="H179" s="56" t="str">
        <f t="shared" si="26"/>
        <v/>
      </c>
      <c r="I179" s="57" t="str">
        <f t="shared" si="27"/>
        <v/>
      </c>
      <c r="J179" s="58" t="str">
        <f t="shared" si="28"/>
        <v/>
      </c>
      <c r="L179" s="31" t="str">
        <f t="shared" si="29"/>
        <v/>
      </c>
      <c r="M179" s="32" t="str">
        <f t="shared" si="34"/>
        <v/>
      </c>
      <c r="N179" s="32" t="str">
        <f t="shared" si="30"/>
        <v/>
      </c>
      <c r="O179" s="32" t="str">
        <f t="shared" si="31"/>
        <v/>
      </c>
      <c r="P179" s="32" t="str">
        <f t="shared" si="35"/>
        <v/>
      </c>
      <c r="Q179" s="33" t="str">
        <f t="shared" si="35"/>
        <v/>
      </c>
    </row>
    <row r="180" spans="2:17" x14ac:dyDescent="0.25">
      <c r="B180" s="9">
        <v>167</v>
      </c>
      <c r="C180" s="35">
        <v>98000</v>
      </c>
      <c r="D180" s="2"/>
      <c r="E180" s="9" t="str">
        <f t="shared" si="24"/>
        <v/>
      </c>
      <c r="F180" s="54" t="str">
        <f t="shared" si="33"/>
        <v/>
      </c>
      <c r="G180" s="73" t="str">
        <f t="shared" si="25"/>
        <v/>
      </c>
      <c r="H180" s="56" t="str">
        <f t="shared" si="26"/>
        <v/>
      </c>
      <c r="I180" s="57" t="str">
        <f t="shared" si="27"/>
        <v/>
      </c>
      <c r="J180" s="58" t="str">
        <f t="shared" si="28"/>
        <v/>
      </c>
      <c r="L180" s="31" t="str">
        <f t="shared" si="29"/>
        <v/>
      </c>
      <c r="M180" s="32" t="str">
        <f t="shared" si="34"/>
        <v/>
      </c>
      <c r="N180" s="32" t="str">
        <f t="shared" si="30"/>
        <v/>
      </c>
      <c r="O180" s="32" t="str">
        <f t="shared" si="31"/>
        <v/>
      </c>
      <c r="P180" s="32" t="str">
        <f t="shared" si="35"/>
        <v/>
      </c>
      <c r="Q180" s="33" t="str">
        <f t="shared" si="35"/>
        <v/>
      </c>
    </row>
    <row r="181" spans="2:17" x14ac:dyDescent="0.25">
      <c r="B181" s="9">
        <v>168</v>
      </c>
      <c r="C181" s="35">
        <v>100000</v>
      </c>
      <c r="D181" s="2"/>
      <c r="E181" s="9" t="str">
        <f t="shared" si="24"/>
        <v/>
      </c>
      <c r="F181" s="54" t="str">
        <f t="shared" si="33"/>
        <v/>
      </c>
      <c r="G181" s="73" t="str">
        <f t="shared" si="25"/>
        <v/>
      </c>
      <c r="H181" s="56" t="str">
        <f t="shared" si="26"/>
        <v/>
      </c>
      <c r="I181" s="57" t="str">
        <f t="shared" si="27"/>
        <v/>
      </c>
      <c r="J181" s="58" t="str">
        <f t="shared" si="28"/>
        <v/>
      </c>
      <c r="L181" s="31" t="str">
        <f t="shared" si="29"/>
        <v/>
      </c>
      <c r="M181" s="32" t="str">
        <f t="shared" si="34"/>
        <v/>
      </c>
      <c r="N181" s="32" t="str">
        <f t="shared" si="30"/>
        <v/>
      </c>
      <c r="O181" s="32" t="str">
        <f t="shared" si="31"/>
        <v/>
      </c>
      <c r="P181" s="32" t="str">
        <f t="shared" si="35"/>
        <v/>
      </c>
      <c r="Q181" s="33" t="str">
        <f t="shared" si="35"/>
        <v/>
      </c>
    </row>
    <row r="182" spans="2:17" x14ac:dyDescent="0.25">
      <c r="B182" s="9">
        <v>169</v>
      </c>
      <c r="C182" s="35"/>
      <c r="D182" s="2"/>
      <c r="E182" s="9" t="str">
        <f t="shared" si="24"/>
        <v/>
      </c>
      <c r="F182" s="54" t="str">
        <f t="shared" si="33"/>
        <v/>
      </c>
      <c r="G182" s="73" t="str">
        <f t="shared" si="25"/>
        <v/>
      </c>
      <c r="H182" s="56" t="str">
        <f t="shared" si="26"/>
        <v/>
      </c>
      <c r="I182" s="57" t="str">
        <f t="shared" si="27"/>
        <v/>
      </c>
      <c r="J182" s="58" t="str">
        <f t="shared" si="28"/>
        <v/>
      </c>
      <c r="L182" s="31" t="str">
        <f t="shared" si="29"/>
        <v/>
      </c>
      <c r="M182" s="32" t="str">
        <f t="shared" si="34"/>
        <v/>
      </c>
      <c r="N182" s="32" t="str">
        <f t="shared" si="30"/>
        <v/>
      </c>
      <c r="O182" s="32" t="str">
        <f t="shared" si="31"/>
        <v/>
      </c>
      <c r="P182" s="32" t="str">
        <f t="shared" si="35"/>
        <v/>
      </c>
      <c r="Q182" s="33" t="str">
        <f t="shared" si="35"/>
        <v/>
      </c>
    </row>
    <row r="183" spans="2:17" x14ac:dyDescent="0.25">
      <c r="B183" s="9">
        <v>170</v>
      </c>
      <c r="C183" s="35"/>
      <c r="D183" s="2"/>
      <c r="E183" s="9" t="str">
        <f t="shared" si="24"/>
        <v/>
      </c>
      <c r="F183" s="54" t="str">
        <f t="shared" si="33"/>
        <v/>
      </c>
      <c r="G183" s="73" t="str">
        <f t="shared" si="25"/>
        <v/>
      </c>
      <c r="H183" s="56" t="str">
        <f t="shared" si="26"/>
        <v/>
      </c>
      <c r="I183" s="57" t="str">
        <f t="shared" si="27"/>
        <v/>
      </c>
      <c r="J183" s="58" t="str">
        <f t="shared" si="28"/>
        <v/>
      </c>
      <c r="L183" s="31" t="str">
        <f t="shared" si="29"/>
        <v/>
      </c>
      <c r="M183" s="32" t="str">
        <f t="shared" si="34"/>
        <v/>
      </c>
      <c r="N183" s="32" t="str">
        <f t="shared" si="30"/>
        <v/>
      </c>
      <c r="O183" s="32" t="str">
        <f t="shared" si="31"/>
        <v/>
      </c>
      <c r="P183" s="32" t="str">
        <f t="shared" si="35"/>
        <v/>
      </c>
      <c r="Q183" s="33" t="str">
        <f t="shared" si="35"/>
        <v/>
      </c>
    </row>
    <row r="184" spans="2:17" x14ac:dyDescent="0.25">
      <c r="B184" s="9">
        <v>171</v>
      </c>
      <c r="C184" s="35"/>
      <c r="D184" s="2"/>
      <c r="E184" s="9" t="str">
        <f t="shared" si="24"/>
        <v/>
      </c>
      <c r="F184" s="54" t="str">
        <f t="shared" si="33"/>
        <v/>
      </c>
      <c r="G184" s="73" t="str">
        <f t="shared" si="25"/>
        <v/>
      </c>
      <c r="H184" s="56" t="str">
        <f t="shared" si="26"/>
        <v/>
      </c>
      <c r="I184" s="57" t="str">
        <f t="shared" si="27"/>
        <v/>
      </c>
      <c r="J184" s="58" t="str">
        <f t="shared" si="28"/>
        <v/>
      </c>
      <c r="L184" s="31" t="str">
        <f t="shared" si="29"/>
        <v/>
      </c>
      <c r="M184" s="32" t="str">
        <f t="shared" si="34"/>
        <v/>
      </c>
      <c r="N184" s="32" t="str">
        <f t="shared" si="30"/>
        <v/>
      </c>
      <c r="O184" s="32" t="str">
        <f t="shared" si="31"/>
        <v/>
      </c>
      <c r="P184" s="32" t="str">
        <f t="shared" si="35"/>
        <v/>
      </c>
      <c r="Q184" s="33" t="str">
        <f t="shared" si="35"/>
        <v/>
      </c>
    </row>
    <row r="185" spans="2:17" x14ac:dyDescent="0.25">
      <c r="B185" s="9">
        <v>172</v>
      </c>
      <c r="C185" s="35"/>
      <c r="D185" s="2"/>
      <c r="E185" s="9" t="str">
        <f t="shared" si="24"/>
        <v/>
      </c>
      <c r="F185" s="54" t="str">
        <f t="shared" si="33"/>
        <v/>
      </c>
      <c r="G185" s="73" t="str">
        <f t="shared" si="25"/>
        <v/>
      </c>
      <c r="H185" s="56" t="str">
        <f t="shared" si="26"/>
        <v/>
      </c>
      <c r="I185" s="57" t="str">
        <f t="shared" si="27"/>
        <v/>
      </c>
      <c r="J185" s="58" t="str">
        <f t="shared" si="28"/>
        <v/>
      </c>
      <c r="L185" s="31" t="str">
        <f t="shared" si="29"/>
        <v/>
      </c>
      <c r="M185" s="32" t="str">
        <f t="shared" si="34"/>
        <v/>
      </c>
      <c r="N185" s="32" t="str">
        <f t="shared" si="30"/>
        <v/>
      </c>
      <c r="O185" s="32" t="str">
        <f t="shared" si="31"/>
        <v/>
      </c>
      <c r="P185" s="32" t="str">
        <f t="shared" si="35"/>
        <v/>
      </c>
      <c r="Q185" s="33" t="str">
        <f t="shared" si="35"/>
        <v/>
      </c>
    </row>
    <row r="186" spans="2:17" x14ac:dyDescent="0.25">
      <c r="B186" s="9">
        <v>173</v>
      </c>
      <c r="C186" s="35"/>
      <c r="D186" s="2"/>
      <c r="E186" s="9" t="str">
        <f t="shared" si="24"/>
        <v/>
      </c>
      <c r="F186" s="54" t="str">
        <f t="shared" si="33"/>
        <v/>
      </c>
      <c r="G186" s="73" t="str">
        <f t="shared" si="25"/>
        <v/>
      </c>
      <c r="H186" s="56" t="str">
        <f t="shared" si="26"/>
        <v/>
      </c>
      <c r="I186" s="57" t="str">
        <f t="shared" si="27"/>
        <v/>
      </c>
      <c r="J186" s="58" t="str">
        <f t="shared" si="28"/>
        <v/>
      </c>
      <c r="L186" s="31" t="str">
        <f t="shared" si="29"/>
        <v/>
      </c>
      <c r="M186" s="32" t="str">
        <f t="shared" si="34"/>
        <v/>
      </c>
      <c r="N186" s="32" t="str">
        <f t="shared" si="30"/>
        <v/>
      </c>
      <c r="O186" s="32" t="str">
        <f t="shared" si="31"/>
        <v/>
      </c>
      <c r="P186" s="32" t="str">
        <f t="shared" si="35"/>
        <v/>
      </c>
      <c r="Q186" s="33" t="str">
        <f t="shared" si="35"/>
        <v/>
      </c>
    </row>
    <row r="187" spans="2:17" x14ac:dyDescent="0.25">
      <c r="B187" s="9">
        <v>174</v>
      </c>
      <c r="C187" s="35"/>
      <c r="D187" s="2"/>
      <c r="E187" s="9" t="str">
        <f t="shared" si="24"/>
        <v/>
      </c>
      <c r="F187" s="54" t="str">
        <f t="shared" si="33"/>
        <v/>
      </c>
      <c r="G187" s="73" t="str">
        <f t="shared" si="25"/>
        <v/>
      </c>
      <c r="H187" s="56" t="str">
        <f t="shared" si="26"/>
        <v/>
      </c>
      <c r="I187" s="57" t="str">
        <f t="shared" si="27"/>
        <v/>
      </c>
      <c r="J187" s="58" t="str">
        <f t="shared" si="28"/>
        <v/>
      </c>
      <c r="L187" s="31" t="str">
        <f t="shared" si="29"/>
        <v/>
      </c>
      <c r="M187" s="32" t="str">
        <f t="shared" si="34"/>
        <v/>
      </c>
      <c r="N187" s="32" t="str">
        <f t="shared" si="30"/>
        <v/>
      </c>
      <c r="O187" s="32" t="str">
        <f t="shared" si="31"/>
        <v/>
      </c>
      <c r="P187" s="32" t="str">
        <f t="shared" si="35"/>
        <v/>
      </c>
      <c r="Q187" s="33" t="str">
        <f t="shared" si="35"/>
        <v/>
      </c>
    </row>
    <row r="188" spans="2:17" x14ac:dyDescent="0.25">
      <c r="B188" s="9">
        <v>175</v>
      </c>
      <c r="C188" s="35"/>
      <c r="D188" s="2"/>
      <c r="E188" s="9" t="str">
        <f t="shared" si="24"/>
        <v/>
      </c>
      <c r="F188" s="54" t="str">
        <f t="shared" si="33"/>
        <v/>
      </c>
      <c r="G188" s="73" t="str">
        <f t="shared" si="25"/>
        <v/>
      </c>
      <c r="H188" s="56" t="str">
        <f t="shared" si="26"/>
        <v/>
      </c>
      <c r="I188" s="57" t="str">
        <f t="shared" si="27"/>
        <v/>
      </c>
      <c r="J188" s="58" t="str">
        <f t="shared" si="28"/>
        <v/>
      </c>
      <c r="L188" s="31" t="str">
        <f t="shared" si="29"/>
        <v/>
      </c>
      <c r="M188" s="32" t="str">
        <f t="shared" si="34"/>
        <v/>
      </c>
      <c r="N188" s="32" t="str">
        <f t="shared" si="30"/>
        <v/>
      </c>
      <c r="O188" s="32" t="str">
        <f t="shared" si="31"/>
        <v/>
      </c>
      <c r="P188" s="32" t="str">
        <f t="shared" si="35"/>
        <v/>
      </c>
      <c r="Q188" s="33" t="str">
        <f t="shared" si="35"/>
        <v/>
      </c>
    </row>
    <row r="189" spans="2:17" x14ac:dyDescent="0.25">
      <c r="B189" s="9">
        <v>176</v>
      </c>
      <c r="C189" s="35"/>
      <c r="D189" s="2"/>
      <c r="E189" s="9" t="str">
        <f t="shared" si="24"/>
        <v/>
      </c>
      <c r="F189" s="54" t="str">
        <f t="shared" si="33"/>
        <v/>
      </c>
      <c r="G189" s="73" t="str">
        <f t="shared" si="25"/>
        <v/>
      </c>
      <c r="H189" s="56" t="str">
        <f t="shared" si="26"/>
        <v/>
      </c>
      <c r="I189" s="57" t="str">
        <f t="shared" si="27"/>
        <v/>
      </c>
      <c r="J189" s="58" t="str">
        <f t="shared" si="28"/>
        <v/>
      </c>
      <c r="L189" s="31" t="str">
        <f t="shared" si="29"/>
        <v/>
      </c>
      <c r="M189" s="32" t="str">
        <f t="shared" si="34"/>
        <v/>
      </c>
      <c r="N189" s="32" t="str">
        <f t="shared" si="30"/>
        <v/>
      </c>
      <c r="O189" s="32" t="str">
        <f t="shared" si="31"/>
        <v/>
      </c>
      <c r="P189" s="32" t="str">
        <f t="shared" si="35"/>
        <v/>
      </c>
      <c r="Q189" s="33" t="str">
        <f t="shared" si="35"/>
        <v/>
      </c>
    </row>
    <row r="190" spans="2:17" x14ac:dyDescent="0.25">
      <c r="B190" s="9">
        <v>177</v>
      </c>
      <c r="C190" s="35"/>
      <c r="D190" s="2"/>
      <c r="E190" s="9" t="str">
        <f t="shared" si="24"/>
        <v/>
      </c>
      <c r="F190" s="54" t="str">
        <f t="shared" si="33"/>
        <v/>
      </c>
      <c r="G190" s="73" t="str">
        <f t="shared" si="25"/>
        <v/>
      </c>
      <c r="H190" s="56" t="str">
        <f t="shared" si="26"/>
        <v/>
      </c>
      <c r="I190" s="57" t="str">
        <f t="shared" si="27"/>
        <v/>
      </c>
      <c r="J190" s="58" t="str">
        <f t="shared" si="28"/>
        <v/>
      </c>
      <c r="L190" s="31" t="str">
        <f t="shared" si="29"/>
        <v/>
      </c>
      <c r="M190" s="32" t="str">
        <f t="shared" si="34"/>
        <v/>
      </c>
      <c r="N190" s="32" t="str">
        <f t="shared" si="30"/>
        <v/>
      </c>
      <c r="O190" s="32" t="str">
        <f t="shared" si="31"/>
        <v/>
      </c>
      <c r="P190" s="32" t="str">
        <f t="shared" si="35"/>
        <v/>
      </c>
      <c r="Q190" s="33" t="str">
        <f t="shared" si="35"/>
        <v/>
      </c>
    </row>
    <row r="191" spans="2:17" x14ac:dyDescent="0.25">
      <c r="B191" s="9">
        <v>178</v>
      </c>
      <c r="C191" s="35"/>
      <c r="D191" s="2"/>
      <c r="E191" s="9" t="str">
        <f t="shared" si="24"/>
        <v/>
      </c>
      <c r="F191" s="54" t="str">
        <f t="shared" si="33"/>
        <v/>
      </c>
      <c r="G191" s="73" t="str">
        <f t="shared" si="25"/>
        <v/>
      </c>
      <c r="H191" s="56" t="str">
        <f t="shared" si="26"/>
        <v/>
      </c>
      <c r="I191" s="57" t="str">
        <f t="shared" si="27"/>
        <v/>
      </c>
      <c r="J191" s="58" t="str">
        <f t="shared" si="28"/>
        <v/>
      </c>
      <c r="L191" s="31" t="str">
        <f t="shared" si="29"/>
        <v/>
      </c>
      <c r="M191" s="32" t="str">
        <f t="shared" si="34"/>
        <v/>
      </c>
      <c r="N191" s="32" t="str">
        <f t="shared" si="30"/>
        <v/>
      </c>
      <c r="O191" s="32" t="str">
        <f t="shared" si="31"/>
        <v/>
      </c>
      <c r="P191" s="32" t="str">
        <f t="shared" si="35"/>
        <v/>
      </c>
      <c r="Q191" s="33" t="str">
        <f t="shared" si="35"/>
        <v/>
      </c>
    </row>
    <row r="192" spans="2:17" x14ac:dyDescent="0.25">
      <c r="B192" s="9">
        <v>179</v>
      </c>
      <c r="C192" s="35"/>
      <c r="D192" s="2"/>
      <c r="E192" s="9" t="str">
        <f t="shared" si="24"/>
        <v/>
      </c>
      <c r="F192" s="54" t="str">
        <f t="shared" si="33"/>
        <v/>
      </c>
      <c r="G192" s="73" t="str">
        <f t="shared" si="25"/>
        <v/>
      </c>
      <c r="H192" s="56" t="str">
        <f t="shared" si="26"/>
        <v/>
      </c>
      <c r="I192" s="57" t="str">
        <f t="shared" si="27"/>
        <v/>
      </c>
      <c r="J192" s="58" t="str">
        <f t="shared" si="28"/>
        <v/>
      </c>
      <c r="L192" s="31" t="str">
        <f t="shared" si="29"/>
        <v/>
      </c>
      <c r="M192" s="32" t="str">
        <f t="shared" si="34"/>
        <v/>
      </c>
      <c r="N192" s="32" t="str">
        <f t="shared" si="30"/>
        <v/>
      </c>
      <c r="O192" s="32" t="str">
        <f t="shared" si="31"/>
        <v/>
      </c>
      <c r="P192" s="32" t="str">
        <f t="shared" si="35"/>
        <v/>
      </c>
      <c r="Q192" s="33" t="str">
        <f t="shared" si="35"/>
        <v/>
      </c>
    </row>
    <row r="193" spans="2:17" x14ac:dyDescent="0.25">
      <c r="B193" s="9">
        <v>180</v>
      </c>
      <c r="C193" s="35"/>
      <c r="D193" s="2"/>
      <c r="E193" s="9" t="str">
        <f t="shared" si="24"/>
        <v/>
      </c>
      <c r="F193" s="54" t="str">
        <f t="shared" si="33"/>
        <v/>
      </c>
      <c r="G193" s="73" t="str">
        <f t="shared" si="25"/>
        <v/>
      </c>
      <c r="H193" s="56" t="str">
        <f t="shared" si="26"/>
        <v/>
      </c>
      <c r="I193" s="57" t="str">
        <f t="shared" si="27"/>
        <v/>
      </c>
      <c r="J193" s="58" t="str">
        <f t="shared" si="28"/>
        <v/>
      </c>
      <c r="L193" s="31" t="str">
        <f t="shared" si="29"/>
        <v/>
      </c>
      <c r="M193" s="32" t="str">
        <f t="shared" si="34"/>
        <v/>
      </c>
      <c r="N193" s="32" t="str">
        <f t="shared" si="30"/>
        <v/>
      </c>
      <c r="O193" s="32" t="str">
        <f t="shared" si="31"/>
        <v/>
      </c>
      <c r="P193" s="32" t="str">
        <f t="shared" si="35"/>
        <v/>
      </c>
      <c r="Q193" s="33" t="str">
        <f t="shared" si="35"/>
        <v/>
      </c>
    </row>
    <row r="194" spans="2:17" x14ac:dyDescent="0.25">
      <c r="B194" s="9">
        <v>181</v>
      </c>
      <c r="C194" s="35"/>
      <c r="D194" s="2"/>
      <c r="E194" s="9" t="str">
        <f t="shared" si="24"/>
        <v/>
      </c>
      <c r="F194" s="54" t="str">
        <f t="shared" si="33"/>
        <v/>
      </c>
      <c r="G194" s="73" t="str">
        <f t="shared" si="25"/>
        <v/>
      </c>
      <c r="H194" s="56" t="str">
        <f t="shared" si="26"/>
        <v/>
      </c>
      <c r="I194" s="57" t="str">
        <f t="shared" si="27"/>
        <v/>
      </c>
      <c r="J194" s="58" t="str">
        <f t="shared" si="28"/>
        <v/>
      </c>
      <c r="L194" s="31" t="str">
        <f t="shared" si="29"/>
        <v/>
      </c>
      <c r="M194" s="32" t="str">
        <f t="shared" si="34"/>
        <v/>
      </c>
      <c r="N194" s="32" t="str">
        <f t="shared" si="30"/>
        <v/>
      </c>
      <c r="O194" s="32" t="str">
        <f t="shared" si="31"/>
        <v/>
      </c>
      <c r="P194" s="32" t="str">
        <f t="shared" si="35"/>
        <v/>
      </c>
      <c r="Q194" s="33" t="str">
        <f t="shared" si="35"/>
        <v/>
      </c>
    </row>
    <row r="195" spans="2:17" x14ac:dyDescent="0.25">
      <c r="B195" s="9">
        <v>182</v>
      </c>
      <c r="C195" s="35"/>
      <c r="D195" s="2"/>
      <c r="E195" s="9" t="str">
        <f t="shared" si="24"/>
        <v/>
      </c>
      <c r="F195" s="54" t="str">
        <f t="shared" si="33"/>
        <v/>
      </c>
      <c r="G195" s="73" t="str">
        <f t="shared" si="25"/>
        <v/>
      </c>
      <c r="H195" s="56" t="str">
        <f t="shared" si="26"/>
        <v/>
      </c>
      <c r="I195" s="57" t="str">
        <f t="shared" si="27"/>
        <v/>
      </c>
      <c r="J195" s="58" t="str">
        <f t="shared" si="28"/>
        <v/>
      </c>
      <c r="L195" s="31" t="str">
        <f t="shared" si="29"/>
        <v/>
      </c>
      <c r="M195" s="32" t="str">
        <f t="shared" si="34"/>
        <v/>
      </c>
      <c r="N195" s="32" t="str">
        <f t="shared" si="30"/>
        <v/>
      </c>
      <c r="O195" s="32" t="str">
        <f t="shared" si="31"/>
        <v/>
      </c>
      <c r="P195" s="32" t="str">
        <f t="shared" si="35"/>
        <v/>
      </c>
      <c r="Q195" s="33" t="str">
        <f t="shared" si="35"/>
        <v/>
      </c>
    </row>
    <row r="196" spans="2:17" x14ac:dyDescent="0.25">
      <c r="B196" s="9">
        <v>183</v>
      </c>
      <c r="C196" s="35"/>
      <c r="D196" s="2"/>
      <c r="E196" s="9" t="str">
        <f t="shared" si="24"/>
        <v/>
      </c>
      <c r="F196" s="54" t="str">
        <f t="shared" si="33"/>
        <v/>
      </c>
      <c r="G196" s="73" t="str">
        <f t="shared" si="25"/>
        <v/>
      </c>
      <c r="H196" s="56" t="str">
        <f t="shared" si="26"/>
        <v/>
      </c>
      <c r="I196" s="57" t="str">
        <f t="shared" si="27"/>
        <v/>
      </c>
      <c r="J196" s="58" t="str">
        <f t="shared" si="28"/>
        <v/>
      </c>
      <c r="L196" s="31" t="str">
        <f t="shared" si="29"/>
        <v/>
      </c>
      <c r="M196" s="32" t="str">
        <f t="shared" si="34"/>
        <v/>
      </c>
      <c r="N196" s="32" t="str">
        <f t="shared" si="30"/>
        <v/>
      </c>
      <c r="O196" s="32" t="str">
        <f t="shared" si="31"/>
        <v/>
      </c>
      <c r="P196" s="32" t="str">
        <f t="shared" si="35"/>
        <v/>
      </c>
      <c r="Q196" s="33" t="str">
        <f t="shared" si="35"/>
        <v/>
      </c>
    </row>
    <row r="197" spans="2:17" x14ac:dyDescent="0.25">
      <c r="B197" s="9">
        <v>184</v>
      </c>
      <c r="C197" s="35"/>
      <c r="D197" s="2"/>
      <c r="E197" s="9" t="str">
        <f t="shared" si="24"/>
        <v/>
      </c>
      <c r="F197" s="54" t="str">
        <f t="shared" si="33"/>
        <v/>
      </c>
      <c r="G197" s="73" t="str">
        <f t="shared" si="25"/>
        <v/>
      </c>
      <c r="H197" s="56" t="str">
        <f t="shared" si="26"/>
        <v/>
      </c>
      <c r="I197" s="57" t="str">
        <f t="shared" si="27"/>
        <v/>
      </c>
      <c r="J197" s="58" t="str">
        <f t="shared" si="28"/>
        <v/>
      </c>
      <c r="L197" s="31" t="str">
        <f t="shared" si="29"/>
        <v/>
      </c>
      <c r="M197" s="32" t="str">
        <f t="shared" si="34"/>
        <v/>
      </c>
      <c r="N197" s="32" t="str">
        <f t="shared" si="30"/>
        <v/>
      </c>
      <c r="O197" s="32" t="str">
        <f t="shared" si="31"/>
        <v/>
      </c>
      <c r="P197" s="32" t="str">
        <f t="shared" si="35"/>
        <v/>
      </c>
      <c r="Q197" s="33" t="str">
        <f t="shared" si="35"/>
        <v/>
      </c>
    </row>
    <row r="198" spans="2:17" x14ac:dyDescent="0.25">
      <c r="B198" s="9">
        <v>185</v>
      </c>
      <c r="C198" s="35"/>
      <c r="D198" s="2"/>
      <c r="E198" s="9" t="str">
        <f t="shared" si="24"/>
        <v/>
      </c>
      <c r="F198" s="54" t="str">
        <f t="shared" si="33"/>
        <v/>
      </c>
      <c r="G198" s="73" t="str">
        <f t="shared" si="25"/>
        <v/>
      </c>
      <c r="H198" s="56" t="str">
        <f t="shared" si="26"/>
        <v/>
      </c>
      <c r="I198" s="57" t="str">
        <f t="shared" si="27"/>
        <v/>
      </c>
      <c r="J198" s="58" t="str">
        <f t="shared" si="28"/>
        <v/>
      </c>
      <c r="L198" s="31" t="str">
        <f t="shared" si="29"/>
        <v/>
      </c>
      <c r="M198" s="32" t="str">
        <f t="shared" si="34"/>
        <v/>
      </c>
      <c r="N198" s="32" t="str">
        <f t="shared" si="30"/>
        <v/>
      </c>
      <c r="O198" s="32" t="str">
        <f t="shared" si="31"/>
        <v/>
      </c>
      <c r="P198" s="32" t="str">
        <f t="shared" si="35"/>
        <v/>
      </c>
      <c r="Q198" s="33" t="str">
        <f t="shared" si="35"/>
        <v/>
      </c>
    </row>
    <row r="199" spans="2:17" x14ac:dyDescent="0.25">
      <c r="B199" s="9">
        <v>186</v>
      </c>
      <c r="C199" s="35"/>
      <c r="D199" s="2"/>
      <c r="E199" s="9" t="str">
        <f t="shared" si="24"/>
        <v/>
      </c>
      <c r="F199" s="54" t="str">
        <f t="shared" si="33"/>
        <v/>
      </c>
      <c r="G199" s="73" t="str">
        <f t="shared" si="25"/>
        <v/>
      </c>
      <c r="H199" s="56" t="str">
        <f t="shared" si="26"/>
        <v/>
      </c>
      <c r="I199" s="57" t="str">
        <f t="shared" si="27"/>
        <v/>
      </c>
      <c r="J199" s="58" t="str">
        <f t="shared" si="28"/>
        <v/>
      </c>
      <c r="L199" s="31" t="str">
        <f t="shared" si="29"/>
        <v/>
      </c>
      <c r="M199" s="32" t="str">
        <f t="shared" si="34"/>
        <v/>
      </c>
      <c r="N199" s="32" t="str">
        <f t="shared" si="30"/>
        <v/>
      </c>
      <c r="O199" s="32" t="str">
        <f t="shared" si="31"/>
        <v/>
      </c>
      <c r="P199" s="32" t="str">
        <f t="shared" si="35"/>
        <v/>
      </c>
      <c r="Q199" s="33" t="str">
        <f t="shared" si="35"/>
        <v/>
      </c>
    </row>
    <row r="200" spans="2:17" x14ac:dyDescent="0.25">
      <c r="B200" s="9">
        <v>187</v>
      </c>
      <c r="C200" s="35"/>
      <c r="D200" s="2"/>
      <c r="E200" s="9" t="str">
        <f t="shared" si="24"/>
        <v/>
      </c>
      <c r="F200" s="54" t="str">
        <f t="shared" si="33"/>
        <v/>
      </c>
      <c r="G200" s="73" t="str">
        <f t="shared" si="25"/>
        <v/>
      </c>
      <c r="H200" s="56" t="str">
        <f t="shared" si="26"/>
        <v/>
      </c>
      <c r="I200" s="57" t="str">
        <f t="shared" si="27"/>
        <v/>
      </c>
      <c r="J200" s="58" t="str">
        <f t="shared" si="28"/>
        <v/>
      </c>
      <c r="L200" s="31" t="str">
        <f t="shared" si="29"/>
        <v/>
      </c>
      <c r="M200" s="32" t="str">
        <f t="shared" si="34"/>
        <v/>
      </c>
      <c r="N200" s="32" t="str">
        <f t="shared" si="30"/>
        <v/>
      </c>
      <c r="O200" s="32" t="str">
        <f t="shared" si="31"/>
        <v/>
      </c>
      <c r="P200" s="32" t="str">
        <f t="shared" si="35"/>
        <v/>
      </c>
      <c r="Q200" s="33" t="str">
        <f t="shared" si="35"/>
        <v/>
      </c>
    </row>
    <row r="201" spans="2:17" x14ac:dyDescent="0.25">
      <c r="B201" s="9">
        <v>188</v>
      </c>
      <c r="C201" s="35"/>
      <c r="D201" s="2"/>
      <c r="E201" s="9" t="str">
        <f t="shared" si="24"/>
        <v/>
      </c>
      <c r="F201" s="54" t="str">
        <f t="shared" si="33"/>
        <v/>
      </c>
      <c r="G201" s="73" t="str">
        <f t="shared" si="25"/>
        <v/>
      </c>
      <c r="H201" s="56" t="str">
        <f t="shared" si="26"/>
        <v/>
      </c>
      <c r="I201" s="57" t="str">
        <f t="shared" si="27"/>
        <v/>
      </c>
      <c r="J201" s="58" t="str">
        <f t="shared" si="28"/>
        <v/>
      </c>
      <c r="L201" s="31" t="str">
        <f t="shared" si="29"/>
        <v/>
      </c>
      <c r="M201" s="32" t="str">
        <f t="shared" si="34"/>
        <v/>
      </c>
      <c r="N201" s="32" t="str">
        <f t="shared" si="30"/>
        <v/>
      </c>
      <c r="O201" s="32" t="str">
        <f t="shared" si="31"/>
        <v/>
      </c>
      <c r="P201" s="32" t="str">
        <f t="shared" si="35"/>
        <v/>
      </c>
      <c r="Q201" s="33" t="str">
        <f t="shared" si="35"/>
        <v/>
      </c>
    </row>
    <row r="202" spans="2:17" x14ac:dyDescent="0.25">
      <c r="B202" s="9">
        <v>189</v>
      </c>
      <c r="C202" s="35"/>
      <c r="D202" s="2"/>
      <c r="E202" s="9" t="str">
        <f t="shared" si="24"/>
        <v/>
      </c>
      <c r="F202" s="54" t="str">
        <f t="shared" si="33"/>
        <v/>
      </c>
      <c r="G202" s="73" t="str">
        <f t="shared" si="25"/>
        <v/>
      </c>
      <c r="H202" s="56" t="str">
        <f t="shared" si="26"/>
        <v/>
      </c>
      <c r="I202" s="57" t="str">
        <f t="shared" si="27"/>
        <v/>
      </c>
      <c r="J202" s="58" t="str">
        <f t="shared" si="28"/>
        <v/>
      </c>
      <c r="L202" s="31" t="str">
        <f t="shared" si="29"/>
        <v/>
      </c>
      <c r="M202" s="32" t="str">
        <f t="shared" si="34"/>
        <v/>
      </c>
      <c r="N202" s="32" t="str">
        <f t="shared" si="30"/>
        <v/>
      </c>
      <c r="O202" s="32" t="str">
        <f t="shared" si="31"/>
        <v/>
      </c>
      <c r="P202" s="32" t="str">
        <f t="shared" si="35"/>
        <v/>
      </c>
      <c r="Q202" s="33" t="str">
        <f t="shared" si="35"/>
        <v/>
      </c>
    </row>
    <row r="203" spans="2:17" ht="13.8" thickBot="1" x14ac:dyDescent="0.3">
      <c r="B203" s="10">
        <v>190</v>
      </c>
      <c r="C203" s="36"/>
      <c r="D203" s="2"/>
      <c r="E203" s="10" t="str">
        <f t="shared" si="24"/>
        <v/>
      </c>
      <c r="F203" s="26" t="str">
        <f t="shared" si="33"/>
        <v/>
      </c>
      <c r="G203" s="74" t="str">
        <f t="shared" si="25"/>
        <v/>
      </c>
      <c r="H203" s="60" t="str">
        <f t="shared" si="26"/>
        <v/>
      </c>
      <c r="I203" s="61" t="str">
        <f t="shared" si="27"/>
        <v/>
      </c>
      <c r="J203" s="62" t="str">
        <f t="shared" si="28"/>
        <v/>
      </c>
      <c r="L203" s="65" t="str">
        <f t="shared" si="29"/>
        <v/>
      </c>
      <c r="M203" s="66" t="str">
        <f t="shared" si="34"/>
        <v/>
      </c>
      <c r="N203" s="66" t="str">
        <f t="shared" si="30"/>
        <v/>
      </c>
      <c r="O203" s="66" t="str">
        <f t="shared" si="31"/>
        <v/>
      </c>
      <c r="P203" s="66" t="str">
        <f t="shared" si="35"/>
        <v/>
      </c>
      <c r="Q203" s="67" t="str">
        <f t="shared" si="35"/>
        <v/>
      </c>
    </row>
    <row r="204" spans="2:17" ht="13.8" thickTop="1" x14ac:dyDescent="0.25">
      <c r="B204" s="2"/>
      <c r="C204" s="2"/>
      <c r="D204" s="2"/>
      <c r="E204" s="2"/>
      <c r="F204" s="2"/>
      <c r="G204" s="43"/>
      <c r="H204" s="2"/>
    </row>
    <row r="205" spans="2:17" x14ac:dyDescent="0.25">
      <c r="B205" s="2"/>
      <c r="C205" s="2"/>
      <c r="D205" s="2"/>
      <c r="E205" s="2"/>
      <c r="F205" s="2"/>
      <c r="G205" s="43"/>
      <c r="H205" s="2"/>
    </row>
    <row r="206" spans="2:17" x14ac:dyDescent="0.25">
      <c r="B206" s="2"/>
      <c r="C206" s="2"/>
      <c r="D206" s="2"/>
      <c r="E206" s="2"/>
      <c r="F206" s="2"/>
      <c r="G206" s="43"/>
      <c r="H206" s="2"/>
    </row>
    <row r="207" spans="2:17" x14ac:dyDescent="0.25">
      <c r="B207" s="2"/>
      <c r="C207" s="2"/>
      <c r="D207" s="2"/>
      <c r="E207" s="2"/>
      <c r="F207" s="2"/>
      <c r="G207" s="43"/>
      <c r="H207" s="2"/>
    </row>
  </sheetData>
  <mergeCells count="14">
    <mergeCell ref="E8:G8"/>
    <mergeCell ref="E9:G9"/>
    <mergeCell ref="U3:V3"/>
    <mergeCell ref="E4:G4"/>
    <mergeCell ref="B11:C11"/>
    <mergeCell ref="E11:J11"/>
    <mergeCell ref="B3:C3"/>
    <mergeCell ref="E3:H3"/>
    <mergeCell ref="J3:K3"/>
    <mergeCell ref="M3:R3"/>
    <mergeCell ref="L11:Q11"/>
    <mergeCell ref="E5:G5"/>
    <mergeCell ref="E6:G6"/>
    <mergeCell ref="E7:G7"/>
  </mergeCells>
  <pageMargins left="0.75" right="0.75" top="1" bottom="1" header="0.5" footer="0.5"/>
  <pageSetup paperSize="9" orientation="portrait" verticalDpi="0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B8580-21B4-451D-B5B5-146A1D2E62F8}">
  <sheetPr codeName="Blad23"/>
  <dimension ref="B1:AU207"/>
  <sheetViews>
    <sheetView topLeftCell="A16" workbookViewId="0">
      <selection activeCell="B1" sqref="B1"/>
    </sheetView>
  </sheetViews>
  <sheetFormatPr defaultRowHeight="13.2" x14ac:dyDescent="0.25"/>
  <cols>
    <col min="1" max="1" width="2" customWidth="1"/>
    <col min="4" max="4" width="4.5546875" customWidth="1"/>
    <col min="6" max="6" width="10.6640625" bestFit="1" customWidth="1"/>
    <col min="11" max="11" width="8.33203125" customWidth="1"/>
  </cols>
  <sheetData>
    <row r="1" spans="2:47" ht="12" customHeight="1" x14ac:dyDescent="0.25">
      <c r="B1" s="4"/>
      <c r="E1" s="2"/>
      <c r="F1" s="1"/>
      <c r="G1" s="2"/>
      <c r="H1" s="2"/>
      <c r="S1" t="str">
        <f>Invoer!L1</f>
        <v>versie 1.2 juli 2009</v>
      </c>
    </row>
    <row r="2" spans="2:47" ht="5.25" customHeight="1" thickBot="1" x14ac:dyDescent="0.3">
      <c r="B2" s="51"/>
      <c r="H2" s="2"/>
    </row>
    <row r="3" spans="2:47" ht="14.4" thickTop="1" thickBot="1" x14ac:dyDescent="0.3">
      <c r="B3" s="152" t="s">
        <v>22</v>
      </c>
      <c r="C3" s="154"/>
      <c r="E3" s="152" t="s">
        <v>15</v>
      </c>
      <c r="F3" s="153"/>
      <c r="G3" s="153"/>
      <c r="H3" s="154"/>
      <c r="J3" s="152" t="s">
        <v>20</v>
      </c>
      <c r="K3" s="160"/>
      <c r="M3" s="152" t="s">
        <v>31</v>
      </c>
      <c r="N3" s="153"/>
      <c r="O3" s="153"/>
      <c r="P3" s="153"/>
      <c r="Q3" s="161"/>
      <c r="R3" s="162"/>
      <c r="U3" s="152" t="s">
        <v>23</v>
      </c>
      <c r="V3" s="160"/>
    </row>
    <row r="4" spans="2:47" ht="16.2" thickTop="1" x14ac:dyDescent="0.35">
      <c r="B4" s="18" t="s">
        <v>12</v>
      </c>
      <c r="C4" s="83" t="s">
        <v>147</v>
      </c>
      <c r="E4" s="155" t="s">
        <v>35</v>
      </c>
      <c r="F4" s="146"/>
      <c r="G4" s="147"/>
      <c r="H4" s="38">
        <v>5</v>
      </c>
      <c r="J4" s="16" t="s">
        <v>11</v>
      </c>
      <c r="K4" s="20">
        <f>COUNT(G14:G203)</f>
        <v>29</v>
      </c>
      <c r="M4" s="6" t="s">
        <v>12</v>
      </c>
      <c r="N4" s="88" t="s">
        <v>54</v>
      </c>
      <c r="O4" s="15" t="s">
        <v>53</v>
      </c>
      <c r="P4" s="15" t="s">
        <v>29</v>
      </c>
      <c r="Q4" s="68" t="s">
        <v>45</v>
      </c>
      <c r="R4" s="20" t="s">
        <v>30</v>
      </c>
      <c r="U4" s="69" t="s">
        <v>7</v>
      </c>
      <c r="V4" s="21">
        <f>IF(C6="","",((H7/1000)^3-1.5*(H6/1000)^2*(H7/1000)+0.5*(H6/1000)^3)/(4*(C6/1000)*(C7/1000)^3))</f>
        <v>313.05621012844648</v>
      </c>
    </row>
    <row r="5" spans="2:47" ht="16.2" thickBot="1" x14ac:dyDescent="0.4">
      <c r="B5" s="19" t="s">
        <v>27</v>
      </c>
      <c r="C5" s="27">
        <v>1344</v>
      </c>
      <c r="D5" s="2"/>
      <c r="E5" s="145" t="s">
        <v>14</v>
      </c>
      <c r="F5" s="148"/>
      <c r="G5" s="147"/>
      <c r="H5" s="28">
        <v>1</v>
      </c>
      <c r="J5" s="17" t="s">
        <v>18</v>
      </c>
      <c r="K5" s="21">
        <f>IF(I15="","",ROUND(AVERAGE(I15:I16),0))</f>
        <v>4510</v>
      </c>
      <c r="M5" s="13"/>
      <c r="N5" s="12" t="s">
        <v>48</v>
      </c>
      <c r="O5" s="14" t="s">
        <v>1</v>
      </c>
      <c r="P5" s="14" t="s">
        <v>1</v>
      </c>
      <c r="Q5" s="68" t="s">
        <v>46</v>
      </c>
      <c r="R5" s="22" t="s">
        <v>10</v>
      </c>
      <c r="U5" s="69" t="s">
        <v>8</v>
      </c>
      <c r="V5" s="87">
        <f>0.573*C5/1000+0.872*H8/1000</f>
        <v>2.2525120000000003</v>
      </c>
    </row>
    <row r="6" spans="2:47" ht="14.4" thickTop="1" thickBot="1" x14ac:dyDescent="0.3">
      <c r="B6" s="19" t="s">
        <v>5</v>
      </c>
      <c r="C6" s="27">
        <v>50.2</v>
      </c>
      <c r="D6" s="2"/>
      <c r="E6" s="145" t="s">
        <v>26</v>
      </c>
      <c r="F6" s="146"/>
      <c r="G6" s="147"/>
      <c r="H6" s="28">
        <v>0</v>
      </c>
      <c r="J6" s="17" t="s">
        <v>44</v>
      </c>
      <c r="K6" s="21">
        <f>IF(J15="","",ROUND(AVERAGE(J15:J16),0))</f>
        <v>12</v>
      </c>
      <c r="M6" s="16"/>
      <c r="N6" s="45"/>
      <c r="O6" s="45"/>
      <c r="P6" s="45"/>
      <c r="Q6" s="15"/>
      <c r="R6" s="39"/>
      <c r="U6" s="13" t="s">
        <v>57</v>
      </c>
      <c r="V6" s="98">
        <f ca="1">IF(K5="","",(OFFSET(H14,K4-1,1)+OFFSET(H14,K4-1,1))/2)</f>
        <v>1258</v>
      </c>
      <c r="AB6" t="s">
        <v>84</v>
      </c>
    </row>
    <row r="7" spans="2:47" ht="16.8" thickTop="1" thickBot="1" x14ac:dyDescent="0.4">
      <c r="B7" s="19" t="s">
        <v>6</v>
      </c>
      <c r="C7" s="27">
        <v>50.3</v>
      </c>
      <c r="D7" s="2"/>
      <c r="E7" s="145" t="s">
        <v>25</v>
      </c>
      <c r="F7" s="146"/>
      <c r="G7" s="147"/>
      <c r="H7" s="28">
        <v>200</v>
      </c>
      <c r="J7" s="17" t="s">
        <v>19</v>
      </c>
      <c r="K7" s="21">
        <f ca="1">IF(K5="n/b","",OFFSET(B14,K4-1,1))</f>
        <v>700</v>
      </c>
      <c r="M7" s="13" t="str">
        <f>IF(C4="","",C4)</f>
        <v>2V</v>
      </c>
      <c r="N7" s="42">
        <f ca="1">IF(K8="","",K$8)</f>
        <v>3.9155925925925916</v>
      </c>
      <c r="O7" s="42">
        <f ca="1">K9</f>
        <v>2.0215714285714292</v>
      </c>
      <c r="P7" s="46">
        <f>K5</f>
        <v>4510</v>
      </c>
      <c r="Q7" s="46">
        <f>K6</f>
        <v>12</v>
      </c>
      <c r="R7" s="50">
        <f ca="1">K7</f>
        <v>700</v>
      </c>
      <c r="AB7" t="s">
        <v>85</v>
      </c>
    </row>
    <row r="8" spans="2:47" ht="16.8" thickTop="1" thickBot="1" x14ac:dyDescent="0.4">
      <c r="B8" s="37" t="s">
        <v>51</v>
      </c>
      <c r="C8" s="82"/>
      <c r="D8" s="2"/>
      <c r="E8" s="145" t="s">
        <v>28</v>
      </c>
      <c r="F8" s="148"/>
      <c r="G8" s="146"/>
      <c r="H8" s="28">
        <v>1700</v>
      </c>
      <c r="J8" s="17" t="s">
        <v>49</v>
      </c>
      <c r="K8" s="87">
        <f ca="1">IF(G14="","",AVERAGE(G15:OFFSET(F14,MATCH(K7,C14:C200)-2,1)))</f>
        <v>3.9155925925925916</v>
      </c>
      <c r="L8" s="135"/>
      <c r="AB8" t="s">
        <v>148</v>
      </c>
    </row>
    <row r="9" spans="2:47" ht="16.8" thickTop="1" thickBot="1" x14ac:dyDescent="0.4">
      <c r="B9" s="23" t="s">
        <v>50</v>
      </c>
      <c r="C9" s="24">
        <f>IF(C7="","",1.5*H7*(C8-H9)/(C6*C7^2))</f>
        <v>-0.11810045527095638</v>
      </c>
      <c r="D9" s="2"/>
      <c r="E9" s="149" t="s">
        <v>55</v>
      </c>
      <c r="F9" s="150"/>
      <c r="G9" s="151"/>
      <c r="H9" s="29">
        <v>50</v>
      </c>
      <c r="J9" s="23" t="s">
        <v>52</v>
      </c>
      <c r="K9" s="24">
        <f ca="1">IF(H14="","",AVERAGE(H15:OFFSET(H14,MATCH(K7,C14:C200)-1,0)))</f>
        <v>2.0215714285714292</v>
      </c>
      <c r="L9" s="135"/>
      <c r="AB9" t="s">
        <v>149</v>
      </c>
    </row>
    <row r="10" spans="2:47" ht="6.75" customHeight="1" thickTop="1" thickBot="1" x14ac:dyDescent="0.3">
      <c r="B10" s="5"/>
      <c r="C10" s="5"/>
      <c r="D10" s="2"/>
      <c r="E10" s="2"/>
      <c r="F10" s="2"/>
      <c r="G10" s="2"/>
      <c r="H10" s="2"/>
      <c r="AB10" t="s">
        <v>134</v>
      </c>
    </row>
    <row r="11" spans="2:47" ht="14.4" thickTop="1" thickBot="1" x14ac:dyDescent="0.3">
      <c r="B11" s="163" t="s">
        <v>13</v>
      </c>
      <c r="C11" s="164"/>
      <c r="D11" s="2"/>
      <c r="E11" s="152" t="s">
        <v>16</v>
      </c>
      <c r="F11" s="165"/>
      <c r="G11" s="165"/>
      <c r="H11" s="161"/>
      <c r="I11" s="161"/>
      <c r="J11" s="162"/>
      <c r="L11" s="152" t="s">
        <v>17</v>
      </c>
      <c r="M11" s="153"/>
      <c r="N11" s="153"/>
      <c r="O11" s="153"/>
      <c r="P11" s="153"/>
      <c r="Q11" s="154"/>
      <c r="AB11" t="s">
        <v>150</v>
      </c>
    </row>
    <row r="12" spans="2:47" ht="16.2" thickTop="1" x14ac:dyDescent="0.35">
      <c r="B12" s="6"/>
      <c r="C12" s="8" t="s">
        <v>9</v>
      </c>
      <c r="D12" s="3"/>
      <c r="E12" s="52" t="s">
        <v>80</v>
      </c>
      <c r="F12" s="53" t="s">
        <v>36</v>
      </c>
      <c r="G12" s="53" t="s">
        <v>81</v>
      </c>
      <c r="H12" s="55" t="s">
        <v>37</v>
      </c>
      <c r="I12" s="7" t="s">
        <v>0</v>
      </c>
      <c r="J12" s="8" t="s">
        <v>2</v>
      </c>
      <c r="K12" s="138"/>
      <c r="L12" s="7" t="s">
        <v>38</v>
      </c>
      <c r="M12" s="25" t="s">
        <v>82</v>
      </c>
      <c r="N12" s="25" t="s">
        <v>39</v>
      </c>
      <c r="O12" s="25" t="s">
        <v>43</v>
      </c>
      <c r="P12" s="25" t="s">
        <v>24</v>
      </c>
      <c r="Q12" s="8" t="s">
        <v>21</v>
      </c>
    </row>
    <row r="13" spans="2:47" ht="13.8" thickBot="1" x14ac:dyDescent="0.3">
      <c r="B13" s="13"/>
      <c r="C13" s="11" t="s">
        <v>10</v>
      </c>
      <c r="D13" s="3"/>
      <c r="E13" s="10" t="s">
        <v>4</v>
      </c>
      <c r="F13" s="26" t="s">
        <v>4</v>
      </c>
      <c r="G13" s="26" t="s">
        <v>1</v>
      </c>
      <c r="H13" s="63" t="s">
        <v>1</v>
      </c>
      <c r="I13" s="10" t="s">
        <v>1</v>
      </c>
      <c r="J13" s="11" t="s">
        <v>3</v>
      </c>
      <c r="K13" s="136"/>
      <c r="L13" s="10" t="s">
        <v>40</v>
      </c>
      <c r="M13" s="26" t="s">
        <v>40</v>
      </c>
      <c r="N13" s="26" t="s">
        <v>41</v>
      </c>
      <c r="O13" s="26" t="s">
        <v>41</v>
      </c>
      <c r="P13" s="26" t="s">
        <v>42</v>
      </c>
      <c r="Q13" s="11" t="s">
        <v>42</v>
      </c>
    </row>
    <row r="14" spans="2:47" ht="13.8" thickTop="1" x14ac:dyDescent="0.25">
      <c r="B14" s="7">
        <v>1</v>
      </c>
      <c r="C14" s="34">
        <v>0</v>
      </c>
      <c r="D14" s="3"/>
      <c r="E14" s="9">
        <f t="shared" ref="E14:E77" si="0">IF(L14="","",ROUND(12*C$7/(2*H$7^2+2*H$6*H$7-H$6^2)*L14*1000000,0))</f>
        <v>1177</v>
      </c>
      <c r="F14" s="54">
        <f>IF(L14="","",ABS(ROUND(12*C$7/(2*(H$7/1000)^2+2*(H$6/1000)*(H$7/1000)-(H$6/1000)^2)*(M14-M$14)*1,0)))</f>
        <v>0</v>
      </c>
      <c r="G14" s="73">
        <f t="shared" ref="G14:G77" si="1">IF(L14="","",ROUND(1.5*((N14-O14)*1000*H$7)/(C$6*C$7^2),3))</f>
        <v>3.782</v>
      </c>
      <c r="H14" s="56">
        <f t="shared" ref="H14:H77" si="2">IF(L14="","",ROUND(1.5*((N14/2-O14)*1000*H$7)/(C$6*C$7^2),3))</f>
        <v>1.9470000000000001</v>
      </c>
      <c r="I14" s="57">
        <f t="shared" ref="I14:I77" si="3">IF(L14="","",IF(P14&lt;=0,"foute meting",ROUND(0.000001*V$4*SQRT((1000000*Q14)^2+(1000000*P14+V$5*(2*PI()*H$5)^2)^2),0)))</f>
        <v>4539</v>
      </c>
      <c r="J14" s="58">
        <f t="shared" ref="J14:J77" si="4">IF(L14="","",ROUND(ATAN(Q14/P14)/PI()*180,1))</f>
        <v>5.5</v>
      </c>
      <c r="L14" s="31">
        <f t="shared" ref="L14:L77" si="5">IF(AG16&lt;=0,"",AG16)</f>
        <v>0.156</v>
      </c>
      <c r="M14" s="30">
        <f>IF(AG16="","",AG16/2-AE16)</f>
        <v>7.4999999999999997E-2</v>
      </c>
      <c r="N14" s="30">
        <f t="shared" ref="N14:N77" si="6">IF(AI16="","",AI16)</f>
        <v>1.5529999999999999</v>
      </c>
      <c r="O14" s="30">
        <f t="shared" ref="O14:O77" si="7">IF(AH16="","",AH16)</f>
        <v>-4.8000000000000001E-2</v>
      </c>
      <c r="P14" s="30">
        <f t="shared" ref="P14:Q45" si="8">IF(AJ16="","",AJ16)</f>
        <v>14.43</v>
      </c>
      <c r="Q14" s="59">
        <f t="shared" si="8"/>
        <v>1.401</v>
      </c>
      <c r="AB14" t="s">
        <v>86</v>
      </c>
      <c r="AC14" t="s">
        <v>87</v>
      </c>
      <c r="AD14" t="s">
        <v>88</v>
      </c>
      <c r="AE14" t="s">
        <v>89</v>
      </c>
      <c r="AF14" t="s">
        <v>90</v>
      </c>
      <c r="AG14" t="s">
        <v>91</v>
      </c>
      <c r="AH14" t="s">
        <v>113</v>
      </c>
      <c r="AI14" t="s">
        <v>114</v>
      </c>
      <c r="AJ14" t="s">
        <v>92</v>
      </c>
      <c r="AK14" t="s">
        <v>93</v>
      </c>
      <c r="AL14" t="s">
        <v>94</v>
      </c>
      <c r="AM14" t="s">
        <v>95</v>
      </c>
      <c r="AN14" t="s">
        <v>96</v>
      </c>
      <c r="AO14" t="s">
        <v>97</v>
      </c>
      <c r="AP14" t="s">
        <v>98</v>
      </c>
      <c r="AQ14" t="s">
        <v>99</v>
      </c>
      <c r="AR14" t="s">
        <v>100</v>
      </c>
      <c r="AS14" t="s">
        <v>101</v>
      </c>
      <c r="AT14" t="s">
        <v>102</v>
      </c>
      <c r="AU14" t="s">
        <v>103</v>
      </c>
    </row>
    <row r="15" spans="2:47" x14ac:dyDescent="0.25">
      <c r="B15" s="9">
        <v>2</v>
      </c>
      <c r="C15" s="35">
        <v>10</v>
      </c>
      <c r="D15" s="3"/>
      <c r="E15" s="9">
        <f t="shared" si="0"/>
        <v>958</v>
      </c>
      <c r="F15" s="54">
        <f t="shared" ref="F15:F78" si="9">IF(L15="","",ABS(ROUND(12*C$7/(2*(H$7/1000)^2+2*(H$6/1000)*(H$7/1000)-(H$6/1000)^2)*(M15-M$14)*1,0)))</f>
        <v>502</v>
      </c>
      <c r="G15" s="73">
        <f t="shared" si="1"/>
        <v>3.8780000000000001</v>
      </c>
      <c r="H15" s="56">
        <f t="shared" si="2"/>
        <v>2.0310000000000001</v>
      </c>
      <c r="I15" s="57">
        <f t="shared" si="3"/>
        <v>4528</v>
      </c>
      <c r="J15" s="58">
        <f t="shared" si="4"/>
        <v>11.6</v>
      </c>
      <c r="L15" s="31">
        <f t="shared" si="5"/>
        <v>0.127</v>
      </c>
      <c r="M15" s="32">
        <f t="shared" ref="M15:M78" si="10">IF(AG17="","",AG17/2-AE17)</f>
        <v>0.14150000000000001</v>
      </c>
      <c r="N15" s="32">
        <f t="shared" si="6"/>
        <v>1.5640000000000001</v>
      </c>
      <c r="O15" s="32">
        <f t="shared" si="7"/>
        <v>-7.8E-2</v>
      </c>
      <c r="P15" s="32">
        <f t="shared" si="8"/>
        <v>14.169</v>
      </c>
      <c r="Q15" s="33">
        <f t="shared" si="8"/>
        <v>2.907</v>
      </c>
      <c r="AE15" t="s">
        <v>104</v>
      </c>
      <c r="AF15" t="s">
        <v>104</v>
      </c>
      <c r="AG15" t="s">
        <v>104</v>
      </c>
      <c r="AH15" t="s">
        <v>105</v>
      </c>
      <c r="AI15" t="s">
        <v>105</v>
      </c>
      <c r="AJ15" t="s">
        <v>106</v>
      </c>
      <c r="AK15" t="s">
        <v>106</v>
      </c>
      <c r="AL15" t="s">
        <v>107</v>
      </c>
      <c r="AN15" t="s">
        <v>106</v>
      </c>
      <c r="AO15" t="s">
        <v>106</v>
      </c>
      <c r="AP15" t="s">
        <v>108</v>
      </c>
      <c r="AQ15" t="s">
        <v>107</v>
      </c>
      <c r="AS15" t="s">
        <v>109</v>
      </c>
      <c r="AT15" t="s">
        <v>107</v>
      </c>
    </row>
    <row r="16" spans="2:47" x14ac:dyDescent="0.25">
      <c r="B16" s="9">
        <v>3</v>
      </c>
      <c r="C16" s="35">
        <v>20</v>
      </c>
      <c r="D16" s="3"/>
      <c r="E16" s="9">
        <f t="shared" si="0"/>
        <v>981</v>
      </c>
      <c r="F16" s="54">
        <f t="shared" si="9"/>
        <v>762</v>
      </c>
      <c r="G16" s="73">
        <f t="shared" si="1"/>
        <v>3.9</v>
      </c>
      <c r="H16" s="56">
        <f t="shared" si="2"/>
        <v>2.0310000000000001</v>
      </c>
      <c r="I16" s="57">
        <f t="shared" si="3"/>
        <v>4491</v>
      </c>
      <c r="J16" s="58">
        <f t="shared" si="4"/>
        <v>11.4</v>
      </c>
      <c r="L16" s="31">
        <f t="shared" si="5"/>
        <v>0.13</v>
      </c>
      <c r="M16" s="32">
        <f t="shared" si="10"/>
        <v>0.17599999999999999</v>
      </c>
      <c r="N16" s="32">
        <f t="shared" si="6"/>
        <v>1.5820000000000001</v>
      </c>
      <c r="O16" s="32">
        <f t="shared" si="7"/>
        <v>-6.9000000000000006E-2</v>
      </c>
      <c r="P16" s="32">
        <f t="shared" si="8"/>
        <v>14.066000000000001</v>
      </c>
      <c r="Q16" s="33">
        <f t="shared" si="8"/>
        <v>2.8239999999999998</v>
      </c>
      <c r="AB16">
        <v>2</v>
      </c>
      <c r="AC16">
        <v>4</v>
      </c>
      <c r="AD16">
        <v>1</v>
      </c>
      <c r="AE16">
        <v>3.0000000000000001E-3</v>
      </c>
      <c r="AF16">
        <v>-0.153</v>
      </c>
      <c r="AG16">
        <v>0.156</v>
      </c>
      <c r="AH16">
        <v>-4.8000000000000001E-2</v>
      </c>
      <c r="AI16">
        <v>1.5529999999999999</v>
      </c>
      <c r="AJ16">
        <v>14.43</v>
      </c>
      <c r="AK16">
        <v>1.401</v>
      </c>
      <c r="AL16">
        <v>5.4279999999999999</v>
      </c>
      <c r="AM16">
        <v>9.5000000000000001E-2</v>
      </c>
      <c r="AN16">
        <v>14.518000000000001</v>
      </c>
      <c r="AO16">
        <v>13.387</v>
      </c>
      <c r="AP16">
        <v>1.2E-2</v>
      </c>
      <c r="AQ16">
        <v>5.2880000000000003</v>
      </c>
      <c r="AR16">
        <v>9.2999999999999999E-2</v>
      </c>
      <c r="AS16">
        <v>1</v>
      </c>
      <c r="AT16">
        <v>0</v>
      </c>
      <c r="AU16">
        <v>64</v>
      </c>
    </row>
    <row r="17" spans="2:47" x14ac:dyDescent="0.25">
      <c r="B17" s="9">
        <v>4</v>
      </c>
      <c r="C17" s="35">
        <v>30</v>
      </c>
      <c r="D17" s="3"/>
      <c r="E17" s="9">
        <f t="shared" si="0"/>
        <v>966</v>
      </c>
      <c r="F17" s="54">
        <f t="shared" si="9"/>
        <v>966</v>
      </c>
      <c r="G17" s="73">
        <f t="shared" si="1"/>
        <v>3.911</v>
      </c>
      <c r="H17" s="56">
        <f t="shared" si="2"/>
        <v>2.028</v>
      </c>
      <c r="I17" s="57">
        <f t="shared" si="3"/>
        <v>4481</v>
      </c>
      <c r="J17" s="58">
        <f t="shared" si="4"/>
        <v>11.2</v>
      </c>
      <c r="L17" s="31">
        <f t="shared" si="5"/>
        <v>0.128</v>
      </c>
      <c r="M17" s="32">
        <f t="shared" si="10"/>
        <v>0.20300000000000001</v>
      </c>
      <c r="N17" s="32">
        <f t="shared" si="6"/>
        <v>1.595</v>
      </c>
      <c r="O17" s="32">
        <f t="shared" si="7"/>
        <v>-6.0999999999999999E-2</v>
      </c>
      <c r="P17" s="32">
        <f t="shared" si="8"/>
        <v>14.04</v>
      </c>
      <c r="Q17" s="33">
        <f t="shared" si="8"/>
        <v>2.78</v>
      </c>
      <c r="AB17">
        <v>2</v>
      </c>
      <c r="AC17">
        <v>4</v>
      </c>
      <c r="AD17">
        <v>2</v>
      </c>
      <c r="AE17">
        <v>-7.8E-2</v>
      </c>
      <c r="AF17">
        <v>-0.20499999999999999</v>
      </c>
      <c r="AG17">
        <v>0.127</v>
      </c>
      <c r="AH17">
        <v>-7.8E-2</v>
      </c>
      <c r="AI17">
        <v>1.5640000000000001</v>
      </c>
      <c r="AJ17">
        <v>14.169</v>
      </c>
      <c r="AK17">
        <v>2.907</v>
      </c>
      <c r="AL17">
        <v>11.596</v>
      </c>
      <c r="AM17">
        <v>0.20499999999999999</v>
      </c>
      <c r="AN17">
        <v>14.465</v>
      </c>
      <c r="AO17">
        <v>13.516</v>
      </c>
      <c r="AP17">
        <v>2.5999999999999999E-2</v>
      </c>
      <c r="AQ17">
        <v>10.791</v>
      </c>
      <c r="AR17">
        <v>0.191</v>
      </c>
      <c r="AS17">
        <v>1</v>
      </c>
      <c r="AT17">
        <v>0</v>
      </c>
      <c r="AU17">
        <v>64</v>
      </c>
    </row>
    <row r="18" spans="2:47" x14ac:dyDescent="0.25">
      <c r="B18" s="9">
        <v>5</v>
      </c>
      <c r="C18" s="35">
        <v>40</v>
      </c>
      <c r="D18" s="3"/>
      <c r="E18" s="9">
        <f t="shared" si="0"/>
        <v>981</v>
      </c>
      <c r="F18" s="54">
        <f t="shared" si="9"/>
        <v>1154</v>
      </c>
      <c r="G18" s="73">
        <f t="shared" si="1"/>
        <v>3.9140000000000001</v>
      </c>
      <c r="H18" s="56">
        <f t="shared" si="2"/>
        <v>2.0249999999999999</v>
      </c>
      <c r="I18" s="57">
        <f t="shared" si="3"/>
        <v>4446</v>
      </c>
      <c r="J18" s="58">
        <f t="shared" si="4"/>
        <v>10.9</v>
      </c>
      <c r="L18" s="31">
        <f t="shared" si="5"/>
        <v>0.13</v>
      </c>
      <c r="M18" s="32">
        <f t="shared" si="10"/>
        <v>0.22800000000000001</v>
      </c>
      <c r="N18" s="32">
        <f t="shared" si="6"/>
        <v>1.599</v>
      </c>
      <c r="O18" s="32">
        <f t="shared" si="7"/>
        <v>-5.8000000000000003E-2</v>
      </c>
      <c r="P18" s="32">
        <f t="shared" si="8"/>
        <v>13.946</v>
      </c>
      <c r="Q18" s="33">
        <f t="shared" si="8"/>
        <v>2.6840000000000002</v>
      </c>
      <c r="AB18">
        <v>2</v>
      </c>
      <c r="AC18">
        <v>4</v>
      </c>
      <c r="AD18">
        <v>3</v>
      </c>
      <c r="AE18">
        <v>-0.111</v>
      </c>
      <c r="AF18">
        <v>-0.24099999999999999</v>
      </c>
      <c r="AG18">
        <v>0.13</v>
      </c>
      <c r="AH18">
        <v>-6.9000000000000006E-2</v>
      </c>
      <c r="AI18">
        <v>1.5820000000000001</v>
      </c>
      <c r="AJ18">
        <v>14.066000000000001</v>
      </c>
      <c r="AK18">
        <v>2.8239999999999998</v>
      </c>
      <c r="AL18">
        <v>11.352</v>
      </c>
      <c r="AM18">
        <v>0.20100000000000001</v>
      </c>
      <c r="AN18">
        <v>14.347</v>
      </c>
      <c r="AO18">
        <v>13.135999999999999</v>
      </c>
      <c r="AP18">
        <v>2.7E-2</v>
      </c>
      <c r="AQ18">
        <v>10.351000000000001</v>
      </c>
      <c r="AR18">
        <v>0.183</v>
      </c>
      <c r="AS18">
        <v>1</v>
      </c>
      <c r="AT18">
        <v>0</v>
      </c>
      <c r="AU18">
        <v>64</v>
      </c>
    </row>
    <row r="19" spans="2:47" x14ac:dyDescent="0.25">
      <c r="B19" s="9">
        <v>6</v>
      </c>
      <c r="C19" s="35">
        <v>50</v>
      </c>
      <c r="D19" s="3"/>
      <c r="E19" s="9">
        <f t="shared" si="0"/>
        <v>973</v>
      </c>
      <c r="F19" s="54">
        <f t="shared" si="9"/>
        <v>1309</v>
      </c>
      <c r="G19" s="73">
        <f t="shared" si="1"/>
        <v>3.9159999999999999</v>
      </c>
      <c r="H19" s="56">
        <f t="shared" si="2"/>
        <v>2.0209999999999999</v>
      </c>
      <c r="I19" s="57">
        <f t="shared" si="3"/>
        <v>4432</v>
      </c>
      <c r="J19" s="58">
        <f t="shared" si="4"/>
        <v>11.1</v>
      </c>
      <c r="L19" s="31">
        <f t="shared" si="5"/>
        <v>0.129</v>
      </c>
      <c r="M19" s="32">
        <f t="shared" si="10"/>
        <v>0.2485</v>
      </c>
      <c r="N19" s="32">
        <f t="shared" si="6"/>
        <v>1.605</v>
      </c>
      <c r="O19" s="32">
        <f t="shared" si="7"/>
        <v>-5.2999999999999999E-2</v>
      </c>
      <c r="P19" s="32">
        <f t="shared" si="8"/>
        <v>13.894</v>
      </c>
      <c r="Q19" s="33">
        <f t="shared" si="8"/>
        <v>2.7149999999999999</v>
      </c>
      <c r="AB19">
        <v>2</v>
      </c>
      <c r="AC19">
        <v>4</v>
      </c>
      <c r="AD19">
        <v>4</v>
      </c>
      <c r="AE19">
        <v>-0.13900000000000001</v>
      </c>
      <c r="AF19">
        <v>-0.26700000000000002</v>
      </c>
      <c r="AG19">
        <v>0.128</v>
      </c>
      <c r="AH19">
        <v>-6.0999999999999999E-2</v>
      </c>
      <c r="AI19">
        <v>1.595</v>
      </c>
      <c r="AJ19">
        <v>14.04</v>
      </c>
      <c r="AK19">
        <v>2.78</v>
      </c>
      <c r="AL19">
        <v>11.2</v>
      </c>
      <c r="AM19">
        <v>0.19800000000000001</v>
      </c>
      <c r="AN19">
        <v>14.313000000000001</v>
      </c>
      <c r="AO19">
        <v>13.458</v>
      </c>
      <c r="AP19">
        <v>2.7E-2</v>
      </c>
      <c r="AQ19">
        <v>10.51</v>
      </c>
      <c r="AR19">
        <v>0.186</v>
      </c>
      <c r="AS19">
        <v>1</v>
      </c>
      <c r="AT19">
        <v>0</v>
      </c>
      <c r="AU19">
        <v>64</v>
      </c>
    </row>
    <row r="20" spans="2:47" x14ac:dyDescent="0.25">
      <c r="B20" s="9">
        <v>7</v>
      </c>
      <c r="C20" s="35">
        <v>60</v>
      </c>
      <c r="D20" s="3"/>
      <c r="E20" s="9">
        <f t="shared" si="0"/>
        <v>973</v>
      </c>
      <c r="F20" s="54">
        <f t="shared" si="9"/>
        <v>1452</v>
      </c>
      <c r="G20" s="73">
        <f t="shared" si="1"/>
        <v>3.911</v>
      </c>
      <c r="H20" s="56">
        <f t="shared" si="2"/>
        <v>2.0169999999999999</v>
      </c>
      <c r="I20" s="57">
        <f t="shared" si="3"/>
        <v>4426</v>
      </c>
      <c r="J20" s="58">
        <f t="shared" si="4"/>
        <v>10.9</v>
      </c>
      <c r="L20" s="31">
        <f t="shared" si="5"/>
        <v>0.129</v>
      </c>
      <c r="M20" s="32">
        <f t="shared" si="10"/>
        <v>0.26750000000000002</v>
      </c>
      <c r="N20" s="32">
        <f t="shared" si="6"/>
        <v>1.6040000000000001</v>
      </c>
      <c r="O20" s="32">
        <f t="shared" si="7"/>
        <v>-5.1999999999999998E-2</v>
      </c>
      <c r="P20" s="32">
        <f t="shared" si="8"/>
        <v>13.882999999999999</v>
      </c>
      <c r="Q20" s="33">
        <f t="shared" si="8"/>
        <v>2.665</v>
      </c>
      <c r="AB20">
        <v>2</v>
      </c>
      <c r="AC20">
        <v>4</v>
      </c>
      <c r="AD20">
        <v>5</v>
      </c>
      <c r="AE20">
        <v>-0.16300000000000001</v>
      </c>
      <c r="AF20">
        <v>-0.29299999999999998</v>
      </c>
      <c r="AG20">
        <v>0.13</v>
      </c>
      <c r="AH20">
        <v>-5.8000000000000003E-2</v>
      </c>
      <c r="AI20">
        <v>1.599</v>
      </c>
      <c r="AJ20">
        <v>13.946</v>
      </c>
      <c r="AK20">
        <v>2.6840000000000002</v>
      </c>
      <c r="AL20">
        <v>10.891999999999999</v>
      </c>
      <c r="AM20">
        <v>0.192</v>
      </c>
      <c r="AN20">
        <v>14.202</v>
      </c>
      <c r="AO20">
        <v>13.122999999999999</v>
      </c>
      <c r="AP20">
        <v>2.7E-2</v>
      </c>
      <c r="AQ20">
        <v>10.029</v>
      </c>
      <c r="AR20">
        <v>0.17699999999999999</v>
      </c>
      <c r="AS20">
        <v>1</v>
      </c>
      <c r="AT20">
        <v>0</v>
      </c>
      <c r="AU20">
        <v>64</v>
      </c>
    </row>
    <row r="21" spans="2:47" x14ac:dyDescent="0.25">
      <c r="B21" s="9">
        <v>8</v>
      </c>
      <c r="C21" s="35">
        <v>70</v>
      </c>
      <c r="D21" s="3"/>
      <c r="E21" s="9">
        <f t="shared" si="0"/>
        <v>951</v>
      </c>
      <c r="F21" s="54">
        <f t="shared" si="9"/>
        <v>1622</v>
      </c>
      <c r="G21" s="73">
        <f t="shared" si="1"/>
        <v>3.9159999999999999</v>
      </c>
      <c r="H21" s="56">
        <f t="shared" si="2"/>
        <v>2.02</v>
      </c>
      <c r="I21" s="57">
        <f t="shared" si="3"/>
        <v>4424</v>
      </c>
      <c r="J21" s="58">
        <f t="shared" si="4"/>
        <v>10.9</v>
      </c>
      <c r="L21" s="31">
        <f t="shared" si="5"/>
        <v>0.126</v>
      </c>
      <c r="M21" s="32">
        <f t="shared" si="10"/>
        <v>0.29000000000000004</v>
      </c>
      <c r="N21" s="32">
        <f t="shared" si="6"/>
        <v>1.6060000000000001</v>
      </c>
      <c r="O21" s="32">
        <f t="shared" si="7"/>
        <v>-5.1999999999999998E-2</v>
      </c>
      <c r="P21" s="32">
        <f t="shared" si="8"/>
        <v>13.877000000000001</v>
      </c>
      <c r="Q21" s="33">
        <f t="shared" si="8"/>
        <v>2.673</v>
      </c>
      <c r="AB21">
        <v>2</v>
      </c>
      <c r="AC21">
        <v>4</v>
      </c>
      <c r="AD21">
        <v>6</v>
      </c>
      <c r="AE21">
        <v>-0.184</v>
      </c>
      <c r="AF21">
        <v>-0.313</v>
      </c>
      <c r="AG21">
        <v>0.129</v>
      </c>
      <c r="AH21">
        <v>-5.2999999999999999E-2</v>
      </c>
      <c r="AI21">
        <v>1.605</v>
      </c>
      <c r="AJ21">
        <v>13.894</v>
      </c>
      <c r="AK21">
        <v>2.7149999999999999</v>
      </c>
      <c r="AL21">
        <v>11.058</v>
      </c>
      <c r="AM21">
        <v>0.19500000000000001</v>
      </c>
      <c r="AN21">
        <v>14.157</v>
      </c>
      <c r="AO21">
        <v>13.257999999999999</v>
      </c>
      <c r="AP21">
        <v>2.7E-2</v>
      </c>
      <c r="AQ21">
        <v>10.308999999999999</v>
      </c>
      <c r="AR21">
        <v>0.182</v>
      </c>
      <c r="AS21">
        <v>1</v>
      </c>
      <c r="AT21">
        <v>0</v>
      </c>
      <c r="AU21">
        <v>64</v>
      </c>
    </row>
    <row r="22" spans="2:47" x14ac:dyDescent="0.25">
      <c r="B22" s="9">
        <v>9</v>
      </c>
      <c r="C22" s="35">
        <v>80</v>
      </c>
      <c r="D22" s="3"/>
      <c r="E22" s="9">
        <f t="shared" si="0"/>
        <v>958</v>
      </c>
      <c r="F22" s="54">
        <f t="shared" si="9"/>
        <v>1762</v>
      </c>
      <c r="G22" s="73">
        <f t="shared" si="1"/>
        <v>3.919</v>
      </c>
      <c r="H22" s="56">
        <f t="shared" si="2"/>
        <v>2.02</v>
      </c>
      <c r="I22" s="57">
        <f t="shared" si="3"/>
        <v>4405</v>
      </c>
      <c r="J22" s="58">
        <f t="shared" si="4"/>
        <v>11.1</v>
      </c>
      <c r="L22" s="31">
        <f t="shared" si="5"/>
        <v>0.127</v>
      </c>
      <c r="M22" s="32">
        <f t="shared" si="10"/>
        <v>0.3085</v>
      </c>
      <c r="N22" s="32">
        <f t="shared" si="6"/>
        <v>1.6080000000000001</v>
      </c>
      <c r="O22" s="32">
        <f t="shared" si="7"/>
        <v>-5.0999999999999997E-2</v>
      </c>
      <c r="P22" s="32">
        <f t="shared" si="8"/>
        <v>13.808</v>
      </c>
      <c r="Q22" s="33">
        <f t="shared" si="8"/>
        <v>2.7090000000000001</v>
      </c>
      <c r="AB22">
        <v>2</v>
      </c>
      <c r="AC22">
        <v>4</v>
      </c>
      <c r="AD22">
        <v>7</v>
      </c>
      <c r="AE22">
        <v>-0.20300000000000001</v>
      </c>
      <c r="AF22">
        <v>-0.33300000000000002</v>
      </c>
      <c r="AG22">
        <v>0.129</v>
      </c>
      <c r="AH22">
        <v>-5.1999999999999998E-2</v>
      </c>
      <c r="AI22">
        <v>1.6040000000000001</v>
      </c>
      <c r="AJ22">
        <v>13.882999999999999</v>
      </c>
      <c r="AK22">
        <v>2.665</v>
      </c>
      <c r="AL22">
        <v>10.868</v>
      </c>
      <c r="AM22">
        <v>0.192</v>
      </c>
      <c r="AN22">
        <v>14.137</v>
      </c>
      <c r="AO22">
        <v>13.148999999999999</v>
      </c>
      <c r="AP22">
        <v>2.7E-2</v>
      </c>
      <c r="AQ22">
        <v>10.061999999999999</v>
      </c>
      <c r="AR22">
        <v>0.17699999999999999</v>
      </c>
      <c r="AS22">
        <v>1</v>
      </c>
      <c r="AT22">
        <v>0</v>
      </c>
      <c r="AU22">
        <v>64</v>
      </c>
    </row>
    <row r="23" spans="2:47" x14ac:dyDescent="0.25">
      <c r="B23" s="9">
        <v>10</v>
      </c>
      <c r="C23" s="35">
        <v>90</v>
      </c>
      <c r="D23" s="3"/>
      <c r="E23" s="9">
        <f t="shared" si="0"/>
        <v>958</v>
      </c>
      <c r="F23" s="54">
        <f t="shared" si="9"/>
        <v>1890</v>
      </c>
      <c r="G23" s="73">
        <f t="shared" si="1"/>
        <v>3.9159999999999999</v>
      </c>
      <c r="H23" s="56">
        <f t="shared" si="2"/>
        <v>2.02</v>
      </c>
      <c r="I23" s="57">
        <f t="shared" si="3"/>
        <v>4383</v>
      </c>
      <c r="J23" s="58">
        <f t="shared" si="4"/>
        <v>10.7</v>
      </c>
      <c r="L23" s="31">
        <f t="shared" si="5"/>
        <v>0.127</v>
      </c>
      <c r="M23" s="32">
        <f t="shared" si="10"/>
        <v>0.32550000000000001</v>
      </c>
      <c r="N23" s="32">
        <f t="shared" si="6"/>
        <v>1.6060000000000001</v>
      </c>
      <c r="O23" s="32">
        <f t="shared" si="7"/>
        <v>-5.1999999999999998E-2</v>
      </c>
      <c r="P23" s="32">
        <f t="shared" si="8"/>
        <v>13.757</v>
      </c>
      <c r="Q23" s="33">
        <f t="shared" si="8"/>
        <v>2.6059999999999999</v>
      </c>
      <c r="AB23">
        <v>2</v>
      </c>
      <c r="AC23">
        <v>4</v>
      </c>
      <c r="AD23">
        <v>8</v>
      </c>
      <c r="AE23">
        <v>-0.22700000000000001</v>
      </c>
      <c r="AF23">
        <v>-0.35299999999999998</v>
      </c>
      <c r="AG23">
        <v>0.126</v>
      </c>
      <c r="AH23">
        <v>-5.1999999999999998E-2</v>
      </c>
      <c r="AI23">
        <v>1.6060000000000001</v>
      </c>
      <c r="AJ23">
        <v>13.877000000000001</v>
      </c>
      <c r="AK23">
        <v>2.673</v>
      </c>
      <c r="AL23">
        <v>10.904</v>
      </c>
      <c r="AM23">
        <v>0.193</v>
      </c>
      <c r="AN23">
        <v>14.132</v>
      </c>
      <c r="AO23">
        <v>13.163</v>
      </c>
      <c r="AP23">
        <v>2.7E-2</v>
      </c>
      <c r="AQ23">
        <v>10.098000000000001</v>
      </c>
      <c r="AR23">
        <v>0.17799999999999999</v>
      </c>
      <c r="AS23">
        <v>1</v>
      </c>
      <c r="AT23">
        <v>0</v>
      </c>
      <c r="AU23">
        <v>64</v>
      </c>
    </row>
    <row r="24" spans="2:47" x14ac:dyDescent="0.25">
      <c r="B24" s="9">
        <v>11</v>
      </c>
      <c r="C24" s="35">
        <v>100</v>
      </c>
      <c r="D24" s="3"/>
      <c r="E24" s="9">
        <f t="shared" si="0"/>
        <v>951</v>
      </c>
      <c r="F24" s="54">
        <f t="shared" si="9"/>
        <v>2022</v>
      </c>
      <c r="G24" s="73">
        <f t="shared" si="1"/>
        <v>3.9159999999999999</v>
      </c>
      <c r="H24" s="56">
        <f t="shared" si="2"/>
        <v>2.0179999999999998</v>
      </c>
      <c r="I24" s="57">
        <f t="shared" si="3"/>
        <v>4380</v>
      </c>
      <c r="J24" s="58">
        <f t="shared" si="4"/>
        <v>10.7</v>
      </c>
      <c r="L24" s="31">
        <f t="shared" si="5"/>
        <v>0.126</v>
      </c>
      <c r="M24" s="32">
        <f t="shared" si="10"/>
        <v>0.34300000000000003</v>
      </c>
      <c r="N24" s="32">
        <f t="shared" si="6"/>
        <v>1.607</v>
      </c>
      <c r="O24" s="32">
        <f t="shared" si="7"/>
        <v>-5.0999999999999997E-2</v>
      </c>
      <c r="P24" s="32">
        <f t="shared" si="8"/>
        <v>13.747</v>
      </c>
      <c r="Q24" s="33">
        <f t="shared" si="8"/>
        <v>2.609</v>
      </c>
      <c r="AB24">
        <v>2</v>
      </c>
      <c r="AC24">
        <v>4</v>
      </c>
      <c r="AD24">
        <v>9</v>
      </c>
      <c r="AE24">
        <v>-0.245</v>
      </c>
      <c r="AF24">
        <v>-0.373</v>
      </c>
      <c r="AG24">
        <v>0.127</v>
      </c>
      <c r="AH24">
        <v>-5.0999999999999997E-2</v>
      </c>
      <c r="AI24">
        <v>1.6080000000000001</v>
      </c>
      <c r="AJ24">
        <v>13.808</v>
      </c>
      <c r="AK24">
        <v>2.7090000000000001</v>
      </c>
      <c r="AL24">
        <v>11.101000000000001</v>
      </c>
      <c r="AM24">
        <v>0.19600000000000001</v>
      </c>
      <c r="AN24">
        <v>14.071999999999999</v>
      </c>
      <c r="AO24">
        <v>13.1</v>
      </c>
      <c r="AP24">
        <v>2.8000000000000001E-2</v>
      </c>
      <c r="AQ24">
        <v>10.269</v>
      </c>
      <c r="AR24">
        <v>0.18099999999999999</v>
      </c>
      <c r="AS24">
        <v>1</v>
      </c>
      <c r="AT24">
        <v>0</v>
      </c>
      <c r="AU24">
        <v>64</v>
      </c>
    </row>
    <row r="25" spans="2:47" x14ac:dyDescent="0.25">
      <c r="B25" s="9">
        <v>12</v>
      </c>
      <c r="C25" s="35">
        <v>125</v>
      </c>
      <c r="D25" s="3"/>
      <c r="E25" s="9">
        <f t="shared" si="0"/>
        <v>988</v>
      </c>
      <c r="F25" s="54">
        <f t="shared" si="9"/>
        <v>2350</v>
      </c>
      <c r="G25" s="73">
        <f t="shared" si="1"/>
        <v>3.919</v>
      </c>
      <c r="H25" s="56">
        <f t="shared" si="2"/>
        <v>2.02</v>
      </c>
      <c r="I25" s="57">
        <f t="shared" si="3"/>
        <v>4362</v>
      </c>
      <c r="J25" s="58">
        <f t="shared" si="4"/>
        <v>10.8</v>
      </c>
      <c r="L25" s="31">
        <f t="shared" si="5"/>
        <v>0.13100000000000001</v>
      </c>
      <c r="M25" s="32">
        <f t="shared" si="10"/>
        <v>0.38650000000000001</v>
      </c>
      <c r="N25" s="32">
        <f t="shared" si="6"/>
        <v>1.6080000000000001</v>
      </c>
      <c r="O25" s="32">
        <f t="shared" si="7"/>
        <v>-5.0999999999999997E-2</v>
      </c>
      <c r="P25" s="32">
        <f t="shared" si="8"/>
        <v>13.683999999999999</v>
      </c>
      <c r="Q25" s="33">
        <f t="shared" si="8"/>
        <v>2.6179999999999999</v>
      </c>
      <c r="AB25">
        <v>2</v>
      </c>
      <c r="AC25">
        <v>4</v>
      </c>
      <c r="AD25">
        <v>10</v>
      </c>
      <c r="AE25">
        <v>-0.26200000000000001</v>
      </c>
      <c r="AF25">
        <v>-0.38900000000000001</v>
      </c>
      <c r="AG25">
        <v>0.127</v>
      </c>
      <c r="AH25">
        <v>-5.1999999999999998E-2</v>
      </c>
      <c r="AI25">
        <v>1.6060000000000001</v>
      </c>
      <c r="AJ25">
        <v>13.757</v>
      </c>
      <c r="AK25">
        <v>2.6059999999999999</v>
      </c>
      <c r="AL25">
        <v>10.727</v>
      </c>
      <c r="AM25">
        <v>0.189</v>
      </c>
      <c r="AN25">
        <v>14.000999999999999</v>
      </c>
      <c r="AO25">
        <v>12.975</v>
      </c>
      <c r="AP25">
        <v>2.7E-2</v>
      </c>
      <c r="AQ25">
        <v>9.9109999999999996</v>
      </c>
      <c r="AR25">
        <v>0.17499999999999999</v>
      </c>
      <c r="AS25">
        <v>1</v>
      </c>
      <c r="AT25">
        <v>0</v>
      </c>
      <c r="AU25">
        <v>64</v>
      </c>
    </row>
    <row r="26" spans="2:47" x14ac:dyDescent="0.25">
      <c r="B26" s="9">
        <v>13</v>
      </c>
      <c r="C26" s="35">
        <v>150</v>
      </c>
      <c r="D26" s="3"/>
      <c r="E26" s="9">
        <f t="shared" si="0"/>
        <v>966</v>
      </c>
      <c r="F26" s="54">
        <f t="shared" si="9"/>
        <v>2633</v>
      </c>
      <c r="G26" s="73">
        <f t="shared" si="1"/>
        <v>3.919</v>
      </c>
      <c r="H26" s="56">
        <f t="shared" si="2"/>
        <v>2.02</v>
      </c>
      <c r="I26" s="57">
        <f t="shared" si="3"/>
        <v>4329</v>
      </c>
      <c r="J26" s="58">
        <f t="shared" si="4"/>
        <v>11.1</v>
      </c>
      <c r="L26" s="31">
        <f t="shared" si="5"/>
        <v>0.128</v>
      </c>
      <c r="M26" s="32">
        <f t="shared" si="10"/>
        <v>0.42399999999999999</v>
      </c>
      <c r="N26" s="32">
        <f t="shared" si="6"/>
        <v>1.6080000000000001</v>
      </c>
      <c r="O26" s="32">
        <f t="shared" si="7"/>
        <v>-5.0999999999999997E-2</v>
      </c>
      <c r="P26" s="32">
        <f t="shared" si="8"/>
        <v>13.568</v>
      </c>
      <c r="Q26" s="33">
        <f t="shared" si="8"/>
        <v>2.669</v>
      </c>
      <c r="AB26">
        <v>2</v>
      </c>
      <c r="AC26">
        <v>4</v>
      </c>
      <c r="AD26">
        <v>11</v>
      </c>
      <c r="AE26">
        <v>-0.28000000000000003</v>
      </c>
      <c r="AF26">
        <v>-0.40600000000000003</v>
      </c>
      <c r="AG26">
        <v>0.126</v>
      </c>
      <c r="AH26">
        <v>-5.0999999999999997E-2</v>
      </c>
      <c r="AI26">
        <v>1.607</v>
      </c>
      <c r="AJ26">
        <v>13.747</v>
      </c>
      <c r="AK26">
        <v>2.609</v>
      </c>
      <c r="AL26">
        <v>10.747</v>
      </c>
      <c r="AM26">
        <v>0.19</v>
      </c>
      <c r="AN26">
        <v>13.993</v>
      </c>
      <c r="AO26">
        <v>13.122999999999999</v>
      </c>
      <c r="AP26">
        <v>2.7E-2</v>
      </c>
      <c r="AQ26">
        <v>10.032999999999999</v>
      </c>
      <c r="AR26">
        <v>0.17699999999999999</v>
      </c>
      <c r="AS26">
        <v>1</v>
      </c>
      <c r="AT26">
        <v>0</v>
      </c>
      <c r="AU26">
        <v>64</v>
      </c>
    </row>
    <row r="27" spans="2:47" x14ac:dyDescent="0.25">
      <c r="B27" s="9">
        <v>14</v>
      </c>
      <c r="C27" s="35">
        <v>175</v>
      </c>
      <c r="D27" s="3"/>
      <c r="E27" s="9">
        <f t="shared" si="0"/>
        <v>966</v>
      </c>
      <c r="F27" s="54">
        <f t="shared" si="9"/>
        <v>2905</v>
      </c>
      <c r="G27" s="73">
        <f t="shared" si="1"/>
        <v>3.919</v>
      </c>
      <c r="H27" s="56">
        <f t="shared" si="2"/>
        <v>2.02</v>
      </c>
      <c r="I27" s="57">
        <f t="shared" si="3"/>
        <v>4317</v>
      </c>
      <c r="J27" s="58">
        <f t="shared" si="4"/>
        <v>11.3</v>
      </c>
      <c r="L27" s="31">
        <f t="shared" si="5"/>
        <v>0.128</v>
      </c>
      <c r="M27" s="32">
        <f t="shared" si="10"/>
        <v>0.46</v>
      </c>
      <c r="N27" s="32">
        <f t="shared" si="6"/>
        <v>1.6080000000000001</v>
      </c>
      <c r="O27" s="32">
        <f t="shared" si="7"/>
        <v>-5.0999999999999997E-2</v>
      </c>
      <c r="P27" s="32">
        <f t="shared" si="8"/>
        <v>13.523999999999999</v>
      </c>
      <c r="Q27" s="33">
        <f t="shared" si="8"/>
        <v>2.694</v>
      </c>
      <c r="AB27">
        <v>2</v>
      </c>
      <c r="AC27">
        <v>4</v>
      </c>
      <c r="AD27">
        <v>12</v>
      </c>
      <c r="AE27">
        <v>-0.32100000000000001</v>
      </c>
      <c r="AF27">
        <v>-0.45100000000000001</v>
      </c>
      <c r="AG27">
        <v>0.13100000000000001</v>
      </c>
      <c r="AH27">
        <v>-5.0999999999999997E-2</v>
      </c>
      <c r="AI27">
        <v>1.6080000000000001</v>
      </c>
      <c r="AJ27">
        <v>13.683999999999999</v>
      </c>
      <c r="AK27">
        <v>2.6179999999999999</v>
      </c>
      <c r="AL27">
        <v>10.831</v>
      </c>
      <c r="AM27">
        <v>0.191</v>
      </c>
      <c r="AN27">
        <v>13.933</v>
      </c>
      <c r="AO27">
        <v>12.853</v>
      </c>
      <c r="AP27">
        <v>2.7E-2</v>
      </c>
      <c r="AQ27">
        <v>9.9469999999999992</v>
      </c>
      <c r="AR27">
        <v>0.17499999999999999</v>
      </c>
      <c r="AS27">
        <v>1</v>
      </c>
      <c r="AT27">
        <v>0</v>
      </c>
      <c r="AU27">
        <v>64</v>
      </c>
    </row>
    <row r="28" spans="2:47" x14ac:dyDescent="0.25">
      <c r="B28" s="9">
        <v>15</v>
      </c>
      <c r="C28" s="35">
        <v>200</v>
      </c>
      <c r="D28" s="3"/>
      <c r="E28" s="9">
        <f t="shared" si="0"/>
        <v>973</v>
      </c>
      <c r="F28" s="54">
        <f t="shared" si="9"/>
        <v>3180</v>
      </c>
      <c r="G28" s="73">
        <f t="shared" si="1"/>
        <v>3.9209999999999998</v>
      </c>
      <c r="H28" s="56">
        <f t="shared" si="2"/>
        <v>2.0209999999999999</v>
      </c>
      <c r="I28" s="57">
        <f t="shared" si="3"/>
        <v>4280</v>
      </c>
      <c r="J28" s="58">
        <f t="shared" si="4"/>
        <v>11.1</v>
      </c>
      <c r="L28" s="31">
        <f t="shared" si="5"/>
        <v>0.129</v>
      </c>
      <c r="M28" s="32">
        <f t="shared" si="10"/>
        <v>0.4965</v>
      </c>
      <c r="N28" s="32">
        <f t="shared" si="6"/>
        <v>1.609</v>
      </c>
      <c r="O28" s="32">
        <f t="shared" si="7"/>
        <v>-5.0999999999999997E-2</v>
      </c>
      <c r="P28" s="32">
        <f t="shared" si="8"/>
        <v>13.416</v>
      </c>
      <c r="Q28" s="33">
        <f t="shared" si="8"/>
        <v>2.6339999999999999</v>
      </c>
      <c r="AB28">
        <v>2</v>
      </c>
      <c r="AC28">
        <v>4</v>
      </c>
      <c r="AD28">
        <v>13</v>
      </c>
      <c r="AE28">
        <v>-0.36</v>
      </c>
      <c r="AF28">
        <v>-0.48799999999999999</v>
      </c>
      <c r="AG28">
        <v>0.128</v>
      </c>
      <c r="AH28">
        <v>-5.0999999999999997E-2</v>
      </c>
      <c r="AI28">
        <v>1.6080000000000001</v>
      </c>
      <c r="AJ28">
        <v>13.568</v>
      </c>
      <c r="AK28">
        <v>2.669</v>
      </c>
      <c r="AL28">
        <v>11.127000000000001</v>
      </c>
      <c r="AM28">
        <v>0.19700000000000001</v>
      </c>
      <c r="AN28">
        <v>13.827999999999999</v>
      </c>
      <c r="AO28">
        <v>12.885</v>
      </c>
      <c r="AP28">
        <v>2.8000000000000001E-2</v>
      </c>
      <c r="AQ28">
        <v>10.32</v>
      </c>
      <c r="AR28">
        <v>0.182</v>
      </c>
      <c r="AS28">
        <v>1</v>
      </c>
      <c r="AT28">
        <v>0</v>
      </c>
      <c r="AU28">
        <v>64</v>
      </c>
    </row>
    <row r="29" spans="2:47" x14ac:dyDescent="0.25">
      <c r="B29" s="9">
        <v>16</v>
      </c>
      <c r="C29" s="35">
        <v>225</v>
      </c>
      <c r="D29" s="3"/>
      <c r="E29" s="9">
        <f t="shared" si="0"/>
        <v>981</v>
      </c>
      <c r="F29" s="54">
        <f t="shared" si="9"/>
        <v>3441</v>
      </c>
      <c r="G29" s="73">
        <f t="shared" si="1"/>
        <v>3.919</v>
      </c>
      <c r="H29" s="56">
        <f t="shared" si="2"/>
        <v>2.02</v>
      </c>
      <c r="I29" s="57">
        <f t="shared" si="3"/>
        <v>4260</v>
      </c>
      <c r="J29" s="58">
        <f t="shared" si="4"/>
        <v>11.3</v>
      </c>
      <c r="L29" s="31">
        <f t="shared" si="5"/>
        <v>0.13</v>
      </c>
      <c r="M29" s="32">
        <f t="shared" si="10"/>
        <v>0.53100000000000003</v>
      </c>
      <c r="N29" s="32">
        <f t="shared" si="6"/>
        <v>1.6080000000000001</v>
      </c>
      <c r="O29" s="32">
        <f t="shared" si="7"/>
        <v>-5.0999999999999997E-2</v>
      </c>
      <c r="P29" s="32">
        <f t="shared" si="8"/>
        <v>13.342000000000001</v>
      </c>
      <c r="Q29" s="33">
        <f t="shared" si="8"/>
        <v>2.6709999999999998</v>
      </c>
      <c r="AB29">
        <v>2</v>
      </c>
      <c r="AC29">
        <v>4</v>
      </c>
      <c r="AD29">
        <v>14</v>
      </c>
      <c r="AE29">
        <v>-0.39600000000000002</v>
      </c>
      <c r="AF29">
        <v>-0.52500000000000002</v>
      </c>
      <c r="AG29">
        <v>0.128</v>
      </c>
      <c r="AH29">
        <v>-5.0999999999999997E-2</v>
      </c>
      <c r="AI29">
        <v>1.6080000000000001</v>
      </c>
      <c r="AJ29">
        <v>13.523999999999999</v>
      </c>
      <c r="AK29">
        <v>2.694</v>
      </c>
      <c r="AL29">
        <v>11.266</v>
      </c>
      <c r="AM29">
        <v>0.19900000000000001</v>
      </c>
      <c r="AN29">
        <v>13.79</v>
      </c>
      <c r="AO29">
        <v>12.82</v>
      </c>
      <c r="AP29">
        <v>2.9000000000000001E-2</v>
      </c>
      <c r="AQ29">
        <v>10.422000000000001</v>
      </c>
      <c r="AR29">
        <v>0.184</v>
      </c>
      <c r="AS29">
        <v>1</v>
      </c>
      <c r="AT29">
        <v>0</v>
      </c>
      <c r="AU29">
        <v>64</v>
      </c>
    </row>
    <row r="30" spans="2:47" x14ac:dyDescent="0.25">
      <c r="B30" s="9">
        <v>17</v>
      </c>
      <c r="C30" s="35">
        <v>250</v>
      </c>
      <c r="D30" s="3"/>
      <c r="E30" s="9">
        <f t="shared" si="0"/>
        <v>1003</v>
      </c>
      <c r="F30" s="54">
        <f t="shared" si="9"/>
        <v>3701</v>
      </c>
      <c r="G30" s="73">
        <f t="shared" si="1"/>
        <v>3.9209999999999998</v>
      </c>
      <c r="H30" s="56">
        <f t="shared" si="2"/>
        <v>2.0219999999999998</v>
      </c>
      <c r="I30" s="57">
        <f t="shared" si="3"/>
        <v>4270</v>
      </c>
      <c r="J30" s="58">
        <f t="shared" si="4"/>
        <v>11.3</v>
      </c>
      <c r="L30" s="31">
        <f t="shared" si="5"/>
        <v>0.13300000000000001</v>
      </c>
      <c r="M30" s="32">
        <f t="shared" si="10"/>
        <v>0.5655</v>
      </c>
      <c r="N30" s="32">
        <f t="shared" si="6"/>
        <v>1.6080000000000001</v>
      </c>
      <c r="O30" s="32">
        <f t="shared" si="7"/>
        <v>-5.1999999999999998E-2</v>
      </c>
      <c r="P30" s="32">
        <f t="shared" si="8"/>
        <v>13.375999999999999</v>
      </c>
      <c r="Q30" s="33">
        <f t="shared" si="8"/>
        <v>2.6640000000000001</v>
      </c>
      <c r="AB30">
        <v>2</v>
      </c>
      <c r="AC30">
        <v>4</v>
      </c>
      <c r="AD30">
        <v>15</v>
      </c>
      <c r="AE30">
        <v>-0.432</v>
      </c>
      <c r="AF30">
        <v>-0.56100000000000005</v>
      </c>
      <c r="AG30">
        <v>0.129</v>
      </c>
      <c r="AH30">
        <v>-5.0999999999999997E-2</v>
      </c>
      <c r="AI30">
        <v>1.609</v>
      </c>
      <c r="AJ30">
        <v>13.416</v>
      </c>
      <c r="AK30">
        <v>2.6339999999999999</v>
      </c>
      <c r="AL30">
        <v>11.106999999999999</v>
      </c>
      <c r="AM30">
        <v>0.19600000000000001</v>
      </c>
      <c r="AN30">
        <v>13.673</v>
      </c>
      <c r="AO30">
        <v>12.753</v>
      </c>
      <c r="AP30">
        <v>2.8000000000000001E-2</v>
      </c>
      <c r="AQ30">
        <v>10.297000000000001</v>
      </c>
      <c r="AR30">
        <v>0.182</v>
      </c>
      <c r="AS30">
        <v>1</v>
      </c>
      <c r="AT30">
        <v>0</v>
      </c>
      <c r="AU30">
        <v>64</v>
      </c>
    </row>
    <row r="31" spans="2:47" x14ac:dyDescent="0.25">
      <c r="B31" s="9">
        <v>18</v>
      </c>
      <c r="C31" s="35">
        <v>275</v>
      </c>
      <c r="D31" s="3"/>
      <c r="E31" s="9">
        <f t="shared" si="0"/>
        <v>996</v>
      </c>
      <c r="F31" s="54">
        <f t="shared" si="9"/>
        <v>3954</v>
      </c>
      <c r="G31" s="73">
        <f t="shared" si="1"/>
        <v>3.9159999999999999</v>
      </c>
      <c r="H31" s="56">
        <f t="shared" si="2"/>
        <v>2.0179999999999998</v>
      </c>
      <c r="I31" s="57">
        <f t="shared" si="3"/>
        <v>4207</v>
      </c>
      <c r="J31" s="58">
        <f t="shared" si="4"/>
        <v>11.3</v>
      </c>
      <c r="L31" s="31">
        <f t="shared" si="5"/>
        <v>0.13200000000000001</v>
      </c>
      <c r="M31" s="32">
        <f t="shared" si="10"/>
        <v>0.59899999999999998</v>
      </c>
      <c r="N31" s="32">
        <f t="shared" si="6"/>
        <v>1.607</v>
      </c>
      <c r="O31" s="32">
        <f t="shared" si="7"/>
        <v>-5.0999999999999997E-2</v>
      </c>
      <c r="P31" s="32">
        <f t="shared" si="8"/>
        <v>13.178000000000001</v>
      </c>
      <c r="Q31" s="33">
        <f t="shared" si="8"/>
        <v>2.633</v>
      </c>
      <c r="AB31">
        <v>2</v>
      </c>
      <c r="AC31">
        <v>4</v>
      </c>
      <c r="AD31">
        <v>16</v>
      </c>
      <c r="AE31">
        <v>-0.46600000000000003</v>
      </c>
      <c r="AF31">
        <v>-0.59699999999999998</v>
      </c>
      <c r="AG31">
        <v>0.13</v>
      </c>
      <c r="AH31">
        <v>-5.0999999999999997E-2</v>
      </c>
      <c r="AI31">
        <v>1.6080000000000001</v>
      </c>
      <c r="AJ31">
        <v>13.342000000000001</v>
      </c>
      <c r="AK31">
        <v>2.6709999999999998</v>
      </c>
      <c r="AL31">
        <v>11.321</v>
      </c>
      <c r="AM31">
        <v>0.2</v>
      </c>
      <c r="AN31">
        <v>13.606999999999999</v>
      </c>
      <c r="AO31">
        <v>12.683</v>
      </c>
      <c r="AP31">
        <v>2.9000000000000001E-2</v>
      </c>
      <c r="AQ31">
        <v>10.504</v>
      </c>
      <c r="AR31">
        <v>0.185</v>
      </c>
      <c r="AS31">
        <v>1</v>
      </c>
      <c r="AT31">
        <v>0</v>
      </c>
      <c r="AU31">
        <v>64</v>
      </c>
    </row>
    <row r="32" spans="2:47" x14ac:dyDescent="0.25">
      <c r="B32" s="9">
        <v>19</v>
      </c>
      <c r="C32" s="35">
        <v>300</v>
      </c>
      <c r="D32" s="3"/>
      <c r="E32" s="9">
        <f t="shared" si="0"/>
        <v>996</v>
      </c>
      <c r="F32" s="54">
        <f t="shared" si="9"/>
        <v>4225</v>
      </c>
      <c r="G32" s="73">
        <f t="shared" si="1"/>
        <v>3.919</v>
      </c>
      <c r="H32" s="56">
        <f t="shared" si="2"/>
        <v>2.02</v>
      </c>
      <c r="I32" s="57">
        <f t="shared" si="3"/>
        <v>4196</v>
      </c>
      <c r="J32" s="58">
        <f t="shared" si="4"/>
        <v>11.3</v>
      </c>
      <c r="L32" s="31">
        <f t="shared" si="5"/>
        <v>0.13200000000000001</v>
      </c>
      <c r="M32" s="32">
        <f t="shared" si="10"/>
        <v>0.63500000000000001</v>
      </c>
      <c r="N32" s="32">
        <f t="shared" si="6"/>
        <v>1.6080000000000001</v>
      </c>
      <c r="O32" s="32">
        <f t="shared" si="7"/>
        <v>-5.0999999999999997E-2</v>
      </c>
      <c r="P32" s="32">
        <f t="shared" si="8"/>
        <v>13.144</v>
      </c>
      <c r="Q32" s="33">
        <f t="shared" si="8"/>
        <v>2.6230000000000002</v>
      </c>
      <c r="AB32">
        <v>2</v>
      </c>
      <c r="AC32">
        <v>4</v>
      </c>
      <c r="AD32">
        <v>17</v>
      </c>
      <c r="AE32">
        <v>-0.499</v>
      </c>
      <c r="AF32">
        <v>-0.63200000000000001</v>
      </c>
      <c r="AG32">
        <v>0.13300000000000001</v>
      </c>
      <c r="AH32">
        <v>-5.1999999999999998E-2</v>
      </c>
      <c r="AI32">
        <v>1.6080000000000001</v>
      </c>
      <c r="AJ32">
        <v>13.375999999999999</v>
      </c>
      <c r="AK32">
        <v>2.6640000000000001</v>
      </c>
      <c r="AL32">
        <v>11.262</v>
      </c>
      <c r="AM32">
        <v>0.19900000000000001</v>
      </c>
      <c r="AN32">
        <v>13.638999999999999</v>
      </c>
      <c r="AO32">
        <v>12.766999999999999</v>
      </c>
      <c r="AP32">
        <v>2.9000000000000001E-2</v>
      </c>
      <c r="AQ32">
        <v>10.494999999999999</v>
      </c>
      <c r="AR32">
        <v>0.185</v>
      </c>
      <c r="AS32">
        <v>1</v>
      </c>
      <c r="AT32">
        <v>0</v>
      </c>
      <c r="AU32">
        <v>64</v>
      </c>
    </row>
    <row r="33" spans="2:47" x14ac:dyDescent="0.25">
      <c r="B33" s="9">
        <v>20</v>
      </c>
      <c r="C33" s="35">
        <v>325</v>
      </c>
      <c r="D33" s="3"/>
      <c r="E33" s="9">
        <f t="shared" si="0"/>
        <v>1011</v>
      </c>
      <c r="F33" s="54">
        <f t="shared" si="9"/>
        <v>4489</v>
      </c>
      <c r="G33" s="73">
        <f t="shared" si="1"/>
        <v>3.919</v>
      </c>
      <c r="H33" s="56">
        <f t="shared" si="2"/>
        <v>2.02</v>
      </c>
      <c r="I33" s="57">
        <f t="shared" si="3"/>
        <v>4149</v>
      </c>
      <c r="J33" s="58">
        <f t="shared" si="4"/>
        <v>11.7</v>
      </c>
      <c r="L33" s="31">
        <f t="shared" si="5"/>
        <v>0.13400000000000001</v>
      </c>
      <c r="M33" s="32">
        <f t="shared" si="10"/>
        <v>0.66999999999999993</v>
      </c>
      <c r="N33" s="32">
        <f t="shared" si="6"/>
        <v>1.6080000000000001</v>
      </c>
      <c r="O33" s="32">
        <f t="shared" si="7"/>
        <v>-5.0999999999999997E-2</v>
      </c>
      <c r="P33" s="32">
        <f t="shared" si="8"/>
        <v>12.978999999999999</v>
      </c>
      <c r="Q33" s="33">
        <f t="shared" si="8"/>
        <v>2.6819999999999999</v>
      </c>
      <c r="AB33">
        <v>2</v>
      </c>
      <c r="AC33">
        <v>4</v>
      </c>
      <c r="AD33">
        <v>18</v>
      </c>
      <c r="AE33">
        <v>-0.53300000000000003</v>
      </c>
      <c r="AF33">
        <v>-0.66500000000000004</v>
      </c>
      <c r="AG33">
        <v>0.13200000000000001</v>
      </c>
      <c r="AH33">
        <v>-5.0999999999999997E-2</v>
      </c>
      <c r="AI33">
        <v>1.607</v>
      </c>
      <c r="AJ33">
        <v>13.178000000000001</v>
      </c>
      <c r="AK33">
        <v>2.633</v>
      </c>
      <c r="AL33">
        <v>11.3</v>
      </c>
      <c r="AM33">
        <v>0.2</v>
      </c>
      <c r="AN33">
        <v>13.438000000000001</v>
      </c>
      <c r="AO33">
        <v>12.516</v>
      </c>
      <c r="AP33">
        <v>2.9000000000000001E-2</v>
      </c>
      <c r="AQ33">
        <v>10.481999999999999</v>
      </c>
      <c r="AR33">
        <v>0.185</v>
      </c>
      <c r="AS33">
        <v>1</v>
      </c>
      <c r="AT33">
        <v>0</v>
      </c>
      <c r="AU33">
        <v>64</v>
      </c>
    </row>
    <row r="34" spans="2:47" x14ac:dyDescent="0.25">
      <c r="B34" s="9">
        <v>21</v>
      </c>
      <c r="C34" s="35">
        <v>350</v>
      </c>
      <c r="D34" s="3"/>
      <c r="E34" s="9">
        <f t="shared" si="0"/>
        <v>1019</v>
      </c>
      <c r="F34" s="54">
        <f t="shared" si="9"/>
        <v>4765</v>
      </c>
      <c r="G34" s="73">
        <f t="shared" si="1"/>
        <v>3.919</v>
      </c>
      <c r="H34" s="56">
        <f t="shared" si="2"/>
        <v>2.02</v>
      </c>
      <c r="I34" s="57">
        <f t="shared" si="3"/>
        <v>4096</v>
      </c>
      <c r="J34" s="58">
        <f t="shared" si="4"/>
        <v>11.5</v>
      </c>
      <c r="L34" s="31">
        <f t="shared" si="5"/>
        <v>0.13500000000000001</v>
      </c>
      <c r="M34" s="32">
        <f t="shared" si="10"/>
        <v>0.70650000000000002</v>
      </c>
      <c r="N34" s="32">
        <f t="shared" si="6"/>
        <v>1.6080000000000001</v>
      </c>
      <c r="O34" s="32">
        <f t="shared" si="7"/>
        <v>-5.0999999999999997E-2</v>
      </c>
      <c r="P34" s="32">
        <f t="shared" si="8"/>
        <v>12.82</v>
      </c>
      <c r="Q34" s="33">
        <f t="shared" si="8"/>
        <v>2.6110000000000002</v>
      </c>
      <c r="AB34">
        <v>2</v>
      </c>
      <c r="AC34">
        <v>4</v>
      </c>
      <c r="AD34">
        <v>19</v>
      </c>
      <c r="AE34">
        <v>-0.56899999999999995</v>
      </c>
      <c r="AF34">
        <v>-0.70199999999999996</v>
      </c>
      <c r="AG34">
        <v>0.13200000000000001</v>
      </c>
      <c r="AH34">
        <v>-5.0999999999999997E-2</v>
      </c>
      <c r="AI34">
        <v>1.6080000000000001</v>
      </c>
      <c r="AJ34">
        <v>13.144</v>
      </c>
      <c r="AK34">
        <v>2.6230000000000002</v>
      </c>
      <c r="AL34">
        <v>11.284000000000001</v>
      </c>
      <c r="AM34">
        <v>0.2</v>
      </c>
      <c r="AN34">
        <v>13.403</v>
      </c>
      <c r="AO34">
        <v>12.581</v>
      </c>
      <c r="AP34">
        <v>2.9000000000000001E-2</v>
      </c>
      <c r="AQ34">
        <v>10.541</v>
      </c>
      <c r="AR34">
        <v>0.186</v>
      </c>
      <c r="AS34">
        <v>1</v>
      </c>
      <c r="AT34">
        <v>0</v>
      </c>
      <c r="AU34">
        <v>64</v>
      </c>
    </row>
    <row r="35" spans="2:47" x14ac:dyDescent="0.25">
      <c r="B35" s="9">
        <v>22</v>
      </c>
      <c r="C35" s="35">
        <v>375</v>
      </c>
      <c r="D35" s="3"/>
      <c r="E35" s="9">
        <f t="shared" si="0"/>
        <v>1034</v>
      </c>
      <c r="F35" s="54">
        <f t="shared" si="9"/>
        <v>5021</v>
      </c>
      <c r="G35" s="73">
        <f t="shared" si="1"/>
        <v>3.9159999999999999</v>
      </c>
      <c r="H35" s="56">
        <f t="shared" si="2"/>
        <v>2.0179999999999998</v>
      </c>
      <c r="I35" s="57">
        <f t="shared" si="3"/>
        <v>4056</v>
      </c>
      <c r="J35" s="58">
        <f t="shared" si="4"/>
        <v>11.8</v>
      </c>
      <c r="L35" s="31">
        <f t="shared" si="5"/>
        <v>0.13700000000000001</v>
      </c>
      <c r="M35" s="32">
        <f t="shared" si="10"/>
        <v>0.74050000000000005</v>
      </c>
      <c r="N35" s="32">
        <f t="shared" si="6"/>
        <v>1.607</v>
      </c>
      <c r="O35" s="32">
        <f t="shared" si="7"/>
        <v>-5.0999999999999997E-2</v>
      </c>
      <c r="P35" s="32">
        <f t="shared" si="8"/>
        <v>12.680999999999999</v>
      </c>
      <c r="Q35" s="33">
        <f t="shared" si="8"/>
        <v>2.657</v>
      </c>
      <c r="AB35">
        <v>2</v>
      </c>
      <c r="AC35">
        <v>4</v>
      </c>
      <c r="AD35">
        <v>20</v>
      </c>
      <c r="AE35">
        <v>-0.60299999999999998</v>
      </c>
      <c r="AF35">
        <v>-0.73699999999999999</v>
      </c>
      <c r="AG35">
        <v>0.13400000000000001</v>
      </c>
      <c r="AH35">
        <v>-5.0999999999999997E-2</v>
      </c>
      <c r="AI35">
        <v>1.6080000000000001</v>
      </c>
      <c r="AJ35">
        <v>12.978999999999999</v>
      </c>
      <c r="AK35">
        <v>2.6819999999999999</v>
      </c>
      <c r="AL35">
        <v>11.677</v>
      </c>
      <c r="AM35">
        <v>0.20699999999999999</v>
      </c>
      <c r="AN35">
        <v>13.254</v>
      </c>
      <c r="AO35">
        <v>12.358000000000001</v>
      </c>
      <c r="AP35">
        <v>3.1E-2</v>
      </c>
      <c r="AQ35">
        <v>10.837999999999999</v>
      </c>
      <c r="AR35">
        <v>0.191</v>
      </c>
      <c r="AS35">
        <v>1</v>
      </c>
      <c r="AT35">
        <v>0</v>
      </c>
      <c r="AU35">
        <v>64</v>
      </c>
    </row>
    <row r="36" spans="2:47" x14ac:dyDescent="0.25">
      <c r="B36" s="9">
        <v>23</v>
      </c>
      <c r="C36" s="35">
        <v>400</v>
      </c>
      <c r="D36" s="3"/>
      <c r="E36" s="9">
        <f t="shared" si="0"/>
        <v>1041</v>
      </c>
      <c r="F36" s="54">
        <f t="shared" si="9"/>
        <v>5312</v>
      </c>
      <c r="G36" s="73">
        <f t="shared" si="1"/>
        <v>3.9209999999999998</v>
      </c>
      <c r="H36" s="56">
        <f t="shared" si="2"/>
        <v>2.0209999999999999</v>
      </c>
      <c r="I36" s="57">
        <f t="shared" si="3"/>
        <v>4043</v>
      </c>
      <c r="J36" s="58">
        <f t="shared" si="4"/>
        <v>12</v>
      </c>
      <c r="L36" s="31">
        <f t="shared" si="5"/>
        <v>0.13800000000000001</v>
      </c>
      <c r="M36" s="32">
        <f t="shared" si="10"/>
        <v>0.77899999999999991</v>
      </c>
      <c r="N36" s="32">
        <f t="shared" si="6"/>
        <v>1.609</v>
      </c>
      <c r="O36" s="32">
        <f t="shared" si="7"/>
        <v>-5.0999999999999997E-2</v>
      </c>
      <c r="P36" s="32">
        <f t="shared" si="8"/>
        <v>12.632999999999999</v>
      </c>
      <c r="Q36" s="33">
        <f t="shared" si="8"/>
        <v>2.681</v>
      </c>
      <c r="AB36">
        <v>2</v>
      </c>
      <c r="AC36">
        <v>4</v>
      </c>
      <c r="AD36">
        <v>21</v>
      </c>
      <c r="AE36">
        <v>-0.63900000000000001</v>
      </c>
      <c r="AF36">
        <v>-0.77400000000000002</v>
      </c>
      <c r="AG36">
        <v>0.13500000000000001</v>
      </c>
      <c r="AH36">
        <v>-5.0999999999999997E-2</v>
      </c>
      <c r="AI36">
        <v>1.6080000000000001</v>
      </c>
      <c r="AJ36">
        <v>12.82</v>
      </c>
      <c r="AK36">
        <v>2.6110000000000002</v>
      </c>
      <c r="AL36">
        <v>11.510999999999999</v>
      </c>
      <c r="AM36">
        <v>0.20399999999999999</v>
      </c>
      <c r="AN36">
        <v>13.083</v>
      </c>
      <c r="AO36">
        <v>12.291</v>
      </c>
      <c r="AP36">
        <v>3.1E-2</v>
      </c>
      <c r="AQ36">
        <v>10.763999999999999</v>
      </c>
      <c r="AR36">
        <v>0.19</v>
      </c>
      <c r="AS36">
        <v>1</v>
      </c>
      <c r="AT36">
        <v>0</v>
      </c>
      <c r="AU36">
        <v>64</v>
      </c>
    </row>
    <row r="37" spans="2:47" x14ac:dyDescent="0.25">
      <c r="B37" s="9">
        <v>24</v>
      </c>
      <c r="C37" s="35">
        <v>425</v>
      </c>
      <c r="D37" s="3"/>
      <c r="E37" s="9">
        <f t="shared" si="0"/>
        <v>1041</v>
      </c>
      <c r="F37" s="54">
        <f t="shared" si="9"/>
        <v>5613</v>
      </c>
      <c r="G37" s="73">
        <f t="shared" si="1"/>
        <v>3.9209999999999998</v>
      </c>
      <c r="H37" s="56">
        <f t="shared" si="2"/>
        <v>2.0209999999999999</v>
      </c>
      <c r="I37" s="57">
        <f t="shared" si="3"/>
        <v>3989</v>
      </c>
      <c r="J37" s="58">
        <f t="shared" si="4"/>
        <v>12.4</v>
      </c>
      <c r="L37" s="31">
        <f t="shared" si="5"/>
        <v>0.13800000000000001</v>
      </c>
      <c r="M37" s="32">
        <f t="shared" si="10"/>
        <v>0.81899999999999995</v>
      </c>
      <c r="N37" s="32">
        <f t="shared" si="6"/>
        <v>1.609</v>
      </c>
      <c r="O37" s="32">
        <f t="shared" si="7"/>
        <v>-5.0999999999999997E-2</v>
      </c>
      <c r="P37" s="32">
        <f t="shared" si="8"/>
        <v>12.444000000000001</v>
      </c>
      <c r="Q37" s="33">
        <f t="shared" si="8"/>
        <v>2.7349999999999999</v>
      </c>
      <c r="AB37">
        <v>2</v>
      </c>
      <c r="AC37">
        <v>4</v>
      </c>
      <c r="AD37">
        <v>22</v>
      </c>
      <c r="AE37">
        <v>-0.67200000000000004</v>
      </c>
      <c r="AF37">
        <v>-0.80900000000000005</v>
      </c>
      <c r="AG37">
        <v>0.13700000000000001</v>
      </c>
      <c r="AH37">
        <v>-5.0999999999999997E-2</v>
      </c>
      <c r="AI37">
        <v>1.607</v>
      </c>
      <c r="AJ37">
        <v>12.680999999999999</v>
      </c>
      <c r="AK37">
        <v>2.657</v>
      </c>
      <c r="AL37">
        <v>11.835000000000001</v>
      </c>
      <c r="AM37">
        <v>0.21</v>
      </c>
      <c r="AN37">
        <v>12.956</v>
      </c>
      <c r="AO37">
        <v>12.157</v>
      </c>
      <c r="AP37">
        <v>3.2000000000000001E-2</v>
      </c>
      <c r="AQ37">
        <v>11.055999999999999</v>
      </c>
      <c r="AR37">
        <v>0.19500000000000001</v>
      </c>
      <c r="AS37">
        <v>1</v>
      </c>
      <c r="AT37">
        <v>0</v>
      </c>
      <c r="AU37">
        <v>64</v>
      </c>
    </row>
    <row r="38" spans="2:47" x14ac:dyDescent="0.25">
      <c r="B38" s="9">
        <v>25</v>
      </c>
      <c r="C38" s="35">
        <v>450</v>
      </c>
      <c r="D38" s="3"/>
      <c r="E38" s="9">
        <f t="shared" si="0"/>
        <v>1079</v>
      </c>
      <c r="F38" s="54">
        <f t="shared" si="9"/>
        <v>5919</v>
      </c>
      <c r="G38" s="73">
        <f t="shared" si="1"/>
        <v>3.919</v>
      </c>
      <c r="H38" s="56">
        <f t="shared" si="2"/>
        <v>2.0209999999999999</v>
      </c>
      <c r="I38" s="57">
        <f t="shared" si="3"/>
        <v>3922</v>
      </c>
      <c r="J38" s="58">
        <f t="shared" si="4"/>
        <v>12.6</v>
      </c>
      <c r="L38" s="31">
        <f t="shared" si="5"/>
        <v>0.14299999999999999</v>
      </c>
      <c r="M38" s="32">
        <f t="shared" si="10"/>
        <v>0.85950000000000004</v>
      </c>
      <c r="N38" s="32">
        <f t="shared" si="6"/>
        <v>1.607</v>
      </c>
      <c r="O38" s="32">
        <f t="shared" si="7"/>
        <v>-5.1999999999999998E-2</v>
      </c>
      <c r="P38" s="32">
        <f t="shared" si="8"/>
        <v>12.228999999999999</v>
      </c>
      <c r="Q38" s="33">
        <f t="shared" si="8"/>
        <v>2.7240000000000002</v>
      </c>
      <c r="AB38">
        <v>2</v>
      </c>
      <c r="AC38">
        <v>4</v>
      </c>
      <c r="AD38">
        <v>23</v>
      </c>
      <c r="AE38">
        <v>-0.71</v>
      </c>
      <c r="AF38">
        <v>-0.84799999999999998</v>
      </c>
      <c r="AG38">
        <v>0.13800000000000001</v>
      </c>
      <c r="AH38">
        <v>-5.0999999999999997E-2</v>
      </c>
      <c r="AI38">
        <v>1.609</v>
      </c>
      <c r="AJ38">
        <v>12.632999999999999</v>
      </c>
      <c r="AK38">
        <v>2.681</v>
      </c>
      <c r="AL38">
        <v>11.983000000000001</v>
      </c>
      <c r="AM38">
        <v>0.21199999999999999</v>
      </c>
      <c r="AN38">
        <v>12.914</v>
      </c>
      <c r="AO38">
        <v>12.192</v>
      </c>
      <c r="AP38">
        <v>3.2000000000000001E-2</v>
      </c>
      <c r="AQ38">
        <v>11.26</v>
      </c>
      <c r="AR38">
        <v>0.19900000000000001</v>
      </c>
      <c r="AS38">
        <v>1</v>
      </c>
      <c r="AT38">
        <v>0</v>
      </c>
      <c r="AU38">
        <v>64</v>
      </c>
    </row>
    <row r="39" spans="2:47" x14ac:dyDescent="0.25">
      <c r="B39" s="9">
        <v>26</v>
      </c>
      <c r="C39" s="35">
        <v>475</v>
      </c>
      <c r="D39" s="3"/>
      <c r="E39" s="9">
        <f t="shared" si="0"/>
        <v>1086</v>
      </c>
      <c r="F39" s="54">
        <f t="shared" si="9"/>
        <v>6285</v>
      </c>
      <c r="G39" s="73">
        <f t="shared" si="1"/>
        <v>3.919</v>
      </c>
      <c r="H39" s="56">
        <f t="shared" si="2"/>
        <v>2.02</v>
      </c>
      <c r="I39" s="57">
        <f t="shared" si="3"/>
        <v>3841</v>
      </c>
      <c r="J39" s="58">
        <f t="shared" si="4"/>
        <v>12.9</v>
      </c>
      <c r="L39" s="31">
        <f t="shared" si="5"/>
        <v>0.14399999999999999</v>
      </c>
      <c r="M39" s="32">
        <f t="shared" si="10"/>
        <v>0.90799999999999992</v>
      </c>
      <c r="N39" s="32">
        <f t="shared" si="6"/>
        <v>1.6080000000000001</v>
      </c>
      <c r="O39" s="32">
        <f t="shared" si="7"/>
        <v>-5.0999999999999997E-2</v>
      </c>
      <c r="P39" s="32">
        <f t="shared" si="8"/>
        <v>11.962</v>
      </c>
      <c r="Q39" s="33">
        <f t="shared" si="8"/>
        <v>2.7309999999999999</v>
      </c>
      <c r="AB39">
        <v>2</v>
      </c>
      <c r="AC39">
        <v>4</v>
      </c>
      <c r="AD39">
        <v>24</v>
      </c>
      <c r="AE39">
        <v>-0.75</v>
      </c>
      <c r="AF39">
        <v>-0.88900000000000001</v>
      </c>
      <c r="AG39">
        <v>0.13800000000000001</v>
      </c>
      <c r="AH39">
        <v>-5.0999999999999997E-2</v>
      </c>
      <c r="AI39">
        <v>1.609</v>
      </c>
      <c r="AJ39">
        <v>12.444000000000001</v>
      </c>
      <c r="AK39">
        <v>2.7349999999999999</v>
      </c>
      <c r="AL39">
        <v>12.394</v>
      </c>
      <c r="AM39">
        <v>0.22</v>
      </c>
      <c r="AN39">
        <v>12.741</v>
      </c>
      <c r="AO39">
        <v>12.077</v>
      </c>
      <c r="AP39">
        <v>3.4000000000000002E-2</v>
      </c>
      <c r="AQ39">
        <v>11.686999999999999</v>
      </c>
      <c r="AR39">
        <v>0.20699999999999999</v>
      </c>
      <c r="AS39">
        <v>1</v>
      </c>
      <c r="AT39">
        <v>0</v>
      </c>
      <c r="AU39">
        <v>64</v>
      </c>
    </row>
    <row r="40" spans="2:47" x14ac:dyDescent="0.25">
      <c r="B40" s="9">
        <v>27</v>
      </c>
      <c r="C40" s="35">
        <v>500</v>
      </c>
      <c r="D40" s="3"/>
      <c r="E40" s="9">
        <f t="shared" si="0"/>
        <v>1117</v>
      </c>
      <c r="F40" s="54">
        <f t="shared" si="9"/>
        <v>6677</v>
      </c>
      <c r="G40" s="73">
        <f t="shared" si="1"/>
        <v>3.9209999999999998</v>
      </c>
      <c r="H40" s="56">
        <f t="shared" si="2"/>
        <v>2.0209999999999999</v>
      </c>
      <c r="I40" s="57">
        <f t="shared" si="3"/>
        <v>3747</v>
      </c>
      <c r="J40" s="58">
        <f t="shared" si="4"/>
        <v>13.4</v>
      </c>
      <c r="L40" s="31">
        <f t="shared" si="5"/>
        <v>0.14799999999999999</v>
      </c>
      <c r="M40" s="32">
        <f t="shared" si="10"/>
        <v>0.96</v>
      </c>
      <c r="N40" s="32">
        <f t="shared" si="6"/>
        <v>1.609</v>
      </c>
      <c r="O40" s="32">
        <f t="shared" si="7"/>
        <v>-5.0999999999999997E-2</v>
      </c>
      <c r="P40" s="32">
        <f t="shared" si="8"/>
        <v>11.643000000000001</v>
      </c>
      <c r="Q40" s="33">
        <f t="shared" si="8"/>
        <v>2.7679999999999998</v>
      </c>
      <c r="AB40">
        <v>2</v>
      </c>
      <c r="AC40">
        <v>4</v>
      </c>
      <c r="AD40">
        <v>25</v>
      </c>
      <c r="AE40">
        <v>-0.78800000000000003</v>
      </c>
      <c r="AF40">
        <v>-0.93200000000000005</v>
      </c>
      <c r="AG40">
        <v>0.14299999999999999</v>
      </c>
      <c r="AH40">
        <v>-5.1999999999999998E-2</v>
      </c>
      <c r="AI40">
        <v>1.607</v>
      </c>
      <c r="AJ40">
        <v>12.228999999999999</v>
      </c>
      <c r="AK40">
        <v>2.7240000000000002</v>
      </c>
      <c r="AL40">
        <v>12.555</v>
      </c>
      <c r="AM40">
        <v>0.223</v>
      </c>
      <c r="AN40">
        <v>12.529</v>
      </c>
      <c r="AO40">
        <v>11.693</v>
      </c>
      <c r="AP40">
        <v>3.5000000000000003E-2</v>
      </c>
      <c r="AQ40">
        <v>11.673</v>
      </c>
      <c r="AR40">
        <v>0.20699999999999999</v>
      </c>
      <c r="AS40">
        <v>1</v>
      </c>
      <c r="AT40">
        <v>0</v>
      </c>
      <c r="AU40">
        <v>64</v>
      </c>
    </row>
    <row r="41" spans="2:47" x14ac:dyDescent="0.25">
      <c r="B41" s="9">
        <v>28</v>
      </c>
      <c r="C41" s="35">
        <v>600</v>
      </c>
      <c r="D41" s="3"/>
      <c r="E41" s="9">
        <f t="shared" si="0"/>
        <v>1698</v>
      </c>
      <c r="F41" s="54">
        <f t="shared" si="9"/>
        <v>9495</v>
      </c>
      <c r="G41" s="73">
        <f t="shared" si="1"/>
        <v>3.9159999999999999</v>
      </c>
      <c r="H41" s="56">
        <f t="shared" si="2"/>
        <v>2.02</v>
      </c>
      <c r="I41" s="57">
        <f t="shared" si="3"/>
        <v>2782</v>
      </c>
      <c r="J41" s="58">
        <f t="shared" si="4"/>
        <v>19.5</v>
      </c>
      <c r="L41" s="31">
        <f t="shared" si="5"/>
        <v>0.22500000000000001</v>
      </c>
      <c r="M41" s="32">
        <f t="shared" si="10"/>
        <v>1.3335000000000001</v>
      </c>
      <c r="N41" s="32">
        <f t="shared" si="6"/>
        <v>1.6060000000000001</v>
      </c>
      <c r="O41" s="32">
        <f t="shared" si="7"/>
        <v>-5.1999999999999998E-2</v>
      </c>
      <c r="P41" s="32">
        <f t="shared" si="8"/>
        <v>8.3789999999999996</v>
      </c>
      <c r="Q41" s="33">
        <f t="shared" si="8"/>
        <v>2.9620000000000002</v>
      </c>
      <c r="AB41">
        <v>2</v>
      </c>
      <c r="AC41">
        <v>4</v>
      </c>
      <c r="AD41">
        <v>26</v>
      </c>
      <c r="AE41">
        <v>-0.83599999999999997</v>
      </c>
      <c r="AF41">
        <v>-0.97899999999999998</v>
      </c>
      <c r="AG41">
        <v>0.14399999999999999</v>
      </c>
      <c r="AH41">
        <v>-5.0999999999999997E-2</v>
      </c>
      <c r="AI41">
        <v>1.6080000000000001</v>
      </c>
      <c r="AJ41">
        <v>11.962</v>
      </c>
      <c r="AK41">
        <v>2.7309999999999999</v>
      </c>
      <c r="AL41">
        <v>12.862</v>
      </c>
      <c r="AM41">
        <v>0.22800000000000001</v>
      </c>
      <c r="AN41">
        <v>12.27</v>
      </c>
      <c r="AO41">
        <v>11.593</v>
      </c>
      <c r="AP41">
        <v>3.6999999999999998E-2</v>
      </c>
      <c r="AQ41">
        <v>12.099</v>
      </c>
      <c r="AR41">
        <v>0.214</v>
      </c>
      <c r="AS41">
        <v>1</v>
      </c>
      <c r="AT41">
        <v>0</v>
      </c>
      <c r="AU41">
        <v>64</v>
      </c>
    </row>
    <row r="42" spans="2:47" x14ac:dyDescent="0.25">
      <c r="B42" s="9">
        <v>29</v>
      </c>
      <c r="C42" s="35">
        <v>700</v>
      </c>
      <c r="D42" s="3"/>
      <c r="E42" s="9">
        <f t="shared" si="0"/>
        <v>29961</v>
      </c>
      <c r="F42" s="54">
        <f t="shared" si="9"/>
        <v>59866</v>
      </c>
      <c r="G42" s="73">
        <f t="shared" si="1"/>
        <v>3.9159999999999999</v>
      </c>
      <c r="H42" s="56">
        <f t="shared" si="2"/>
        <v>2.0299999999999998</v>
      </c>
      <c r="I42" s="57">
        <f t="shared" si="3"/>
        <v>1258</v>
      </c>
      <c r="J42" s="58">
        <f t="shared" si="4"/>
        <v>6.5</v>
      </c>
      <c r="L42" s="31">
        <f t="shared" si="5"/>
        <v>3.9710000000000001</v>
      </c>
      <c r="M42" s="32">
        <f t="shared" si="10"/>
        <v>8.0094999999999992</v>
      </c>
      <c r="N42" s="32">
        <f t="shared" si="6"/>
        <v>1.597</v>
      </c>
      <c r="O42" s="32">
        <f t="shared" si="7"/>
        <v>-6.0999999999999999E-2</v>
      </c>
      <c r="P42" s="32">
        <f t="shared" si="8"/>
        <v>3.9940000000000002</v>
      </c>
      <c r="Q42" s="33">
        <f t="shared" si="8"/>
        <v>0.45200000000000001</v>
      </c>
      <c r="AB42">
        <v>2</v>
      </c>
      <c r="AC42">
        <v>4</v>
      </c>
      <c r="AD42">
        <v>27</v>
      </c>
      <c r="AE42">
        <v>-0.88600000000000001</v>
      </c>
      <c r="AF42">
        <v>-1.034</v>
      </c>
      <c r="AG42">
        <v>0.14799999999999999</v>
      </c>
      <c r="AH42">
        <v>-5.0999999999999997E-2</v>
      </c>
      <c r="AI42">
        <v>1.609</v>
      </c>
      <c r="AJ42">
        <v>11.643000000000001</v>
      </c>
      <c r="AK42">
        <v>2.7679999999999998</v>
      </c>
      <c r="AL42">
        <v>13.372</v>
      </c>
      <c r="AM42">
        <v>0.23799999999999999</v>
      </c>
      <c r="AN42">
        <v>11.968</v>
      </c>
      <c r="AO42">
        <v>11.243</v>
      </c>
      <c r="AP42">
        <v>3.9E-2</v>
      </c>
      <c r="AQ42">
        <v>12.496</v>
      </c>
      <c r="AR42">
        <v>0.222</v>
      </c>
      <c r="AS42">
        <v>1</v>
      </c>
      <c r="AT42">
        <v>0</v>
      </c>
      <c r="AU42">
        <v>64</v>
      </c>
    </row>
    <row r="43" spans="2:47" x14ac:dyDescent="0.25">
      <c r="B43" s="9">
        <v>30</v>
      </c>
      <c r="C43" s="35">
        <v>800</v>
      </c>
      <c r="D43" s="3"/>
      <c r="E43" s="9" t="str">
        <f t="shared" si="0"/>
        <v/>
      </c>
      <c r="F43" s="54" t="str">
        <f t="shared" si="9"/>
        <v/>
      </c>
      <c r="G43" s="73" t="str">
        <f t="shared" si="1"/>
        <v/>
      </c>
      <c r="H43" s="56" t="str">
        <f t="shared" si="2"/>
        <v/>
      </c>
      <c r="I43" s="57" t="str">
        <f t="shared" si="3"/>
        <v/>
      </c>
      <c r="J43" s="58" t="str">
        <f t="shared" si="4"/>
        <v/>
      </c>
      <c r="L43" s="31" t="str">
        <f t="shared" si="5"/>
        <v/>
      </c>
      <c r="M43" s="32" t="str">
        <f t="shared" si="10"/>
        <v/>
      </c>
      <c r="N43" s="32" t="str">
        <f t="shared" si="6"/>
        <v/>
      </c>
      <c r="O43" s="32" t="str">
        <f t="shared" si="7"/>
        <v/>
      </c>
      <c r="P43" s="32" t="str">
        <f t="shared" si="8"/>
        <v/>
      </c>
      <c r="Q43" s="33" t="str">
        <f t="shared" si="8"/>
        <v/>
      </c>
      <c r="AB43">
        <v>2</v>
      </c>
      <c r="AC43">
        <v>4</v>
      </c>
      <c r="AD43">
        <v>28</v>
      </c>
      <c r="AE43">
        <v>-1.2210000000000001</v>
      </c>
      <c r="AF43">
        <v>-1.446</v>
      </c>
      <c r="AG43">
        <v>0.22500000000000001</v>
      </c>
      <c r="AH43">
        <v>-5.1999999999999998E-2</v>
      </c>
      <c r="AI43">
        <v>1.6060000000000001</v>
      </c>
      <c r="AJ43">
        <v>8.3789999999999996</v>
      </c>
      <c r="AK43">
        <v>2.9620000000000002</v>
      </c>
      <c r="AL43">
        <v>19.474</v>
      </c>
      <c r="AM43">
        <v>0.35399999999999998</v>
      </c>
      <c r="AN43">
        <v>8.8870000000000005</v>
      </c>
      <c r="AO43">
        <v>8.5210000000000008</v>
      </c>
      <c r="AP43">
        <v>7.5999999999999998E-2</v>
      </c>
      <c r="AQ43">
        <v>18.606999999999999</v>
      </c>
      <c r="AR43">
        <v>0.33700000000000002</v>
      </c>
      <c r="AS43">
        <v>1</v>
      </c>
      <c r="AT43">
        <v>0</v>
      </c>
      <c r="AU43">
        <v>64</v>
      </c>
    </row>
    <row r="44" spans="2:47" x14ac:dyDescent="0.25">
      <c r="B44" s="9">
        <v>31</v>
      </c>
      <c r="C44" s="35">
        <v>900</v>
      </c>
      <c r="D44" s="3"/>
      <c r="E44" s="9" t="str">
        <f t="shared" si="0"/>
        <v/>
      </c>
      <c r="F44" s="54" t="str">
        <f t="shared" si="9"/>
        <v/>
      </c>
      <c r="G44" s="73" t="str">
        <f t="shared" si="1"/>
        <v/>
      </c>
      <c r="H44" s="56" t="str">
        <f t="shared" si="2"/>
        <v/>
      </c>
      <c r="I44" s="57" t="str">
        <f t="shared" si="3"/>
        <v/>
      </c>
      <c r="J44" s="58" t="str">
        <f t="shared" si="4"/>
        <v/>
      </c>
      <c r="L44" s="31" t="str">
        <f t="shared" si="5"/>
        <v/>
      </c>
      <c r="M44" s="32" t="str">
        <f t="shared" si="10"/>
        <v/>
      </c>
      <c r="N44" s="32" t="str">
        <f t="shared" si="6"/>
        <v/>
      </c>
      <c r="O44" s="32" t="str">
        <f t="shared" si="7"/>
        <v/>
      </c>
      <c r="P44" s="32" t="str">
        <f t="shared" si="8"/>
        <v/>
      </c>
      <c r="Q44" s="33" t="str">
        <f t="shared" si="8"/>
        <v/>
      </c>
      <c r="AB44">
        <v>2</v>
      </c>
      <c r="AC44">
        <v>4</v>
      </c>
      <c r="AD44">
        <v>29</v>
      </c>
      <c r="AE44">
        <v>-6.024</v>
      </c>
      <c r="AF44">
        <v>-9.9949999999999992</v>
      </c>
      <c r="AG44">
        <v>3.9710000000000001</v>
      </c>
      <c r="AH44">
        <v>-6.0999999999999999E-2</v>
      </c>
      <c r="AI44">
        <v>1.597</v>
      </c>
      <c r="AJ44">
        <v>3.9940000000000002</v>
      </c>
      <c r="AK44">
        <v>0.45200000000000001</v>
      </c>
      <c r="AL44">
        <v>3.1880000000000002</v>
      </c>
      <c r="AM44">
        <v>6.0999999999999999E-2</v>
      </c>
      <c r="AN44">
        <v>4.1520000000000001</v>
      </c>
      <c r="AO44">
        <v>1.992</v>
      </c>
      <c r="AP44">
        <v>4.9000000000000002E-2</v>
      </c>
      <c r="AQ44">
        <v>11.88</v>
      </c>
      <c r="AR44">
        <v>0.214</v>
      </c>
      <c r="AS44">
        <v>1</v>
      </c>
      <c r="AT44">
        <v>0</v>
      </c>
      <c r="AU44">
        <v>64</v>
      </c>
    </row>
    <row r="45" spans="2:47" x14ac:dyDescent="0.25">
      <c r="B45" s="9">
        <v>32</v>
      </c>
      <c r="C45" s="35">
        <v>1000</v>
      </c>
      <c r="D45" s="3"/>
      <c r="E45" s="9" t="str">
        <f t="shared" si="0"/>
        <v/>
      </c>
      <c r="F45" s="54" t="str">
        <f t="shared" si="9"/>
        <v/>
      </c>
      <c r="G45" s="73" t="str">
        <f t="shared" si="1"/>
        <v/>
      </c>
      <c r="H45" s="56" t="str">
        <f t="shared" si="2"/>
        <v/>
      </c>
      <c r="I45" s="57" t="str">
        <f t="shared" si="3"/>
        <v/>
      </c>
      <c r="J45" s="58" t="str">
        <f t="shared" si="4"/>
        <v/>
      </c>
      <c r="L45" s="31" t="str">
        <f t="shared" si="5"/>
        <v/>
      </c>
      <c r="M45" s="32" t="str">
        <f t="shared" si="10"/>
        <v/>
      </c>
      <c r="N45" s="32" t="str">
        <f t="shared" si="6"/>
        <v/>
      </c>
      <c r="O45" s="32" t="str">
        <f t="shared" si="7"/>
        <v/>
      </c>
      <c r="P45" s="32" t="str">
        <f t="shared" si="8"/>
        <v/>
      </c>
      <c r="Q45" s="33" t="str">
        <f t="shared" si="8"/>
        <v/>
      </c>
    </row>
    <row r="46" spans="2:47" x14ac:dyDescent="0.25">
      <c r="B46" s="9">
        <v>33</v>
      </c>
      <c r="C46" s="35">
        <v>1100</v>
      </c>
      <c r="D46" s="3"/>
      <c r="E46" s="9" t="str">
        <f t="shared" si="0"/>
        <v/>
      </c>
      <c r="F46" s="54" t="str">
        <f t="shared" si="9"/>
        <v/>
      </c>
      <c r="G46" s="73" t="str">
        <f t="shared" si="1"/>
        <v/>
      </c>
      <c r="H46" s="56" t="str">
        <f t="shared" si="2"/>
        <v/>
      </c>
      <c r="I46" s="57" t="str">
        <f t="shared" si="3"/>
        <v/>
      </c>
      <c r="J46" s="58" t="str">
        <f t="shared" si="4"/>
        <v/>
      </c>
      <c r="L46" s="31" t="str">
        <f t="shared" si="5"/>
        <v/>
      </c>
      <c r="M46" s="32" t="str">
        <f t="shared" si="10"/>
        <v/>
      </c>
      <c r="N46" s="32" t="str">
        <f t="shared" si="6"/>
        <v/>
      </c>
      <c r="O46" s="32" t="str">
        <f t="shared" si="7"/>
        <v/>
      </c>
      <c r="P46" s="32" t="str">
        <f t="shared" ref="P46:Q77" si="11">IF(AJ48="","",AJ48)</f>
        <v/>
      </c>
      <c r="Q46" s="33" t="str">
        <f t="shared" si="11"/>
        <v/>
      </c>
    </row>
    <row r="47" spans="2:47" x14ac:dyDescent="0.25">
      <c r="B47" s="9">
        <v>34</v>
      </c>
      <c r="C47" s="35">
        <v>1200</v>
      </c>
      <c r="D47" s="3"/>
      <c r="E47" s="9" t="str">
        <f t="shared" si="0"/>
        <v/>
      </c>
      <c r="F47" s="54" t="str">
        <f t="shared" si="9"/>
        <v/>
      </c>
      <c r="G47" s="73" t="str">
        <f t="shared" si="1"/>
        <v/>
      </c>
      <c r="H47" s="56" t="str">
        <f t="shared" si="2"/>
        <v/>
      </c>
      <c r="I47" s="57" t="str">
        <f t="shared" si="3"/>
        <v/>
      </c>
      <c r="J47" s="58" t="str">
        <f t="shared" si="4"/>
        <v/>
      </c>
      <c r="L47" s="31" t="str">
        <f t="shared" si="5"/>
        <v/>
      </c>
      <c r="M47" s="32" t="str">
        <f t="shared" si="10"/>
        <v/>
      </c>
      <c r="N47" s="32" t="str">
        <f t="shared" si="6"/>
        <v/>
      </c>
      <c r="O47" s="32" t="str">
        <f t="shared" si="7"/>
        <v/>
      </c>
      <c r="P47" s="32" t="str">
        <f t="shared" si="11"/>
        <v/>
      </c>
      <c r="Q47" s="33" t="str">
        <f t="shared" si="11"/>
        <v/>
      </c>
    </row>
    <row r="48" spans="2:47" x14ac:dyDescent="0.25">
      <c r="B48" s="9">
        <v>35</v>
      </c>
      <c r="C48" s="35">
        <v>1300</v>
      </c>
      <c r="D48" s="3"/>
      <c r="E48" s="9" t="str">
        <f t="shared" si="0"/>
        <v/>
      </c>
      <c r="F48" s="54" t="str">
        <f t="shared" si="9"/>
        <v/>
      </c>
      <c r="G48" s="73" t="str">
        <f t="shared" si="1"/>
        <v/>
      </c>
      <c r="H48" s="56" t="str">
        <f t="shared" si="2"/>
        <v/>
      </c>
      <c r="I48" s="57" t="str">
        <f t="shared" si="3"/>
        <v/>
      </c>
      <c r="J48" s="58" t="str">
        <f t="shared" si="4"/>
        <v/>
      </c>
      <c r="L48" s="31" t="str">
        <f t="shared" si="5"/>
        <v/>
      </c>
      <c r="M48" s="32" t="str">
        <f t="shared" si="10"/>
        <v/>
      </c>
      <c r="N48" s="32" t="str">
        <f t="shared" si="6"/>
        <v/>
      </c>
      <c r="O48" s="32" t="str">
        <f t="shared" si="7"/>
        <v/>
      </c>
      <c r="P48" s="32" t="str">
        <f t="shared" si="11"/>
        <v/>
      </c>
      <c r="Q48" s="33" t="str">
        <f t="shared" si="11"/>
        <v/>
      </c>
    </row>
    <row r="49" spans="2:17" x14ac:dyDescent="0.25">
      <c r="B49" s="9">
        <v>36</v>
      </c>
      <c r="C49" s="35">
        <v>1400</v>
      </c>
      <c r="D49" s="3"/>
      <c r="E49" s="9" t="str">
        <f t="shared" si="0"/>
        <v/>
      </c>
      <c r="F49" s="54" t="str">
        <f t="shared" si="9"/>
        <v/>
      </c>
      <c r="G49" s="73" t="str">
        <f t="shared" si="1"/>
        <v/>
      </c>
      <c r="H49" s="56" t="str">
        <f t="shared" si="2"/>
        <v/>
      </c>
      <c r="I49" s="57" t="str">
        <f t="shared" si="3"/>
        <v/>
      </c>
      <c r="J49" s="58" t="str">
        <f t="shared" si="4"/>
        <v/>
      </c>
      <c r="L49" s="31" t="str">
        <f t="shared" si="5"/>
        <v/>
      </c>
      <c r="M49" s="32" t="str">
        <f t="shared" si="10"/>
        <v/>
      </c>
      <c r="N49" s="32" t="str">
        <f t="shared" si="6"/>
        <v/>
      </c>
      <c r="O49" s="32" t="str">
        <f t="shared" si="7"/>
        <v/>
      </c>
      <c r="P49" s="32" t="str">
        <f t="shared" si="11"/>
        <v/>
      </c>
      <c r="Q49" s="33" t="str">
        <f t="shared" si="11"/>
        <v/>
      </c>
    </row>
    <row r="50" spans="2:17" x14ac:dyDescent="0.25">
      <c r="B50" s="9">
        <v>37</v>
      </c>
      <c r="C50" s="35">
        <v>1500</v>
      </c>
      <c r="D50" s="3"/>
      <c r="E50" s="9" t="str">
        <f t="shared" si="0"/>
        <v/>
      </c>
      <c r="F50" s="54" t="str">
        <f t="shared" si="9"/>
        <v/>
      </c>
      <c r="G50" s="73" t="str">
        <f t="shared" si="1"/>
        <v/>
      </c>
      <c r="H50" s="56" t="str">
        <f t="shared" si="2"/>
        <v/>
      </c>
      <c r="I50" s="57" t="str">
        <f t="shared" si="3"/>
        <v/>
      </c>
      <c r="J50" s="58" t="str">
        <f t="shared" si="4"/>
        <v/>
      </c>
      <c r="L50" s="31" t="str">
        <f t="shared" si="5"/>
        <v/>
      </c>
      <c r="M50" s="32" t="str">
        <f t="shared" si="10"/>
        <v/>
      </c>
      <c r="N50" s="32" t="str">
        <f t="shared" si="6"/>
        <v/>
      </c>
      <c r="O50" s="32" t="str">
        <f t="shared" si="7"/>
        <v/>
      </c>
      <c r="P50" s="32" t="str">
        <f t="shared" si="11"/>
        <v/>
      </c>
      <c r="Q50" s="33" t="str">
        <f t="shared" si="11"/>
        <v/>
      </c>
    </row>
    <row r="51" spans="2:17" x14ac:dyDescent="0.25">
      <c r="B51" s="9">
        <v>38</v>
      </c>
      <c r="C51" s="35">
        <v>1600</v>
      </c>
      <c r="D51" s="3"/>
      <c r="E51" s="9" t="str">
        <f t="shared" si="0"/>
        <v/>
      </c>
      <c r="F51" s="54" t="str">
        <f t="shared" si="9"/>
        <v/>
      </c>
      <c r="G51" s="73" t="str">
        <f t="shared" si="1"/>
        <v/>
      </c>
      <c r="H51" s="56" t="str">
        <f t="shared" si="2"/>
        <v/>
      </c>
      <c r="I51" s="57" t="str">
        <f t="shared" si="3"/>
        <v/>
      </c>
      <c r="J51" s="58" t="str">
        <f t="shared" si="4"/>
        <v/>
      </c>
      <c r="L51" s="31" t="str">
        <f t="shared" si="5"/>
        <v/>
      </c>
      <c r="M51" s="32" t="str">
        <f t="shared" si="10"/>
        <v/>
      </c>
      <c r="N51" s="32" t="str">
        <f t="shared" si="6"/>
        <v/>
      </c>
      <c r="O51" s="32" t="str">
        <f t="shared" si="7"/>
        <v/>
      </c>
      <c r="P51" s="32" t="str">
        <f t="shared" si="11"/>
        <v/>
      </c>
      <c r="Q51" s="33" t="str">
        <f t="shared" si="11"/>
        <v/>
      </c>
    </row>
    <row r="52" spans="2:17" x14ac:dyDescent="0.25">
      <c r="B52" s="9">
        <v>39</v>
      </c>
      <c r="C52" s="35">
        <v>1700</v>
      </c>
      <c r="D52" s="3"/>
      <c r="E52" s="9" t="str">
        <f t="shared" si="0"/>
        <v/>
      </c>
      <c r="F52" s="54" t="str">
        <f t="shared" si="9"/>
        <v/>
      </c>
      <c r="G52" s="73" t="str">
        <f t="shared" si="1"/>
        <v/>
      </c>
      <c r="H52" s="56" t="str">
        <f t="shared" si="2"/>
        <v/>
      </c>
      <c r="I52" s="57" t="str">
        <f t="shared" si="3"/>
        <v/>
      </c>
      <c r="J52" s="58" t="str">
        <f t="shared" si="4"/>
        <v/>
      </c>
      <c r="L52" s="31" t="str">
        <f t="shared" si="5"/>
        <v/>
      </c>
      <c r="M52" s="32" t="str">
        <f t="shared" si="10"/>
        <v/>
      </c>
      <c r="N52" s="32" t="str">
        <f t="shared" si="6"/>
        <v/>
      </c>
      <c r="O52" s="32" t="str">
        <f t="shared" si="7"/>
        <v/>
      </c>
      <c r="P52" s="32" t="str">
        <f t="shared" si="11"/>
        <v/>
      </c>
      <c r="Q52" s="33" t="str">
        <f t="shared" si="11"/>
        <v/>
      </c>
    </row>
    <row r="53" spans="2:17" x14ac:dyDescent="0.25">
      <c r="B53" s="9">
        <v>40</v>
      </c>
      <c r="C53" s="35">
        <v>1800</v>
      </c>
      <c r="D53" s="3"/>
      <c r="E53" s="9" t="str">
        <f t="shared" si="0"/>
        <v/>
      </c>
      <c r="F53" s="54" t="str">
        <f t="shared" si="9"/>
        <v/>
      </c>
      <c r="G53" s="73" t="str">
        <f t="shared" si="1"/>
        <v/>
      </c>
      <c r="H53" s="56" t="str">
        <f t="shared" si="2"/>
        <v/>
      </c>
      <c r="I53" s="57" t="str">
        <f t="shared" si="3"/>
        <v/>
      </c>
      <c r="J53" s="58" t="str">
        <f t="shared" si="4"/>
        <v/>
      </c>
      <c r="L53" s="31" t="str">
        <f t="shared" si="5"/>
        <v/>
      </c>
      <c r="M53" s="32" t="str">
        <f t="shared" si="10"/>
        <v/>
      </c>
      <c r="N53" s="32" t="str">
        <f t="shared" si="6"/>
        <v/>
      </c>
      <c r="O53" s="32" t="str">
        <f t="shared" si="7"/>
        <v/>
      </c>
      <c r="P53" s="32" t="str">
        <f t="shared" si="11"/>
        <v/>
      </c>
      <c r="Q53" s="33" t="str">
        <f t="shared" si="11"/>
        <v/>
      </c>
    </row>
    <row r="54" spans="2:17" x14ac:dyDescent="0.25">
      <c r="B54" s="9">
        <v>41</v>
      </c>
      <c r="C54" s="35">
        <v>1900</v>
      </c>
      <c r="D54" s="3"/>
      <c r="E54" s="9" t="str">
        <f t="shared" si="0"/>
        <v/>
      </c>
      <c r="F54" s="54" t="str">
        <f t="shared" si="9"/>
        <v/>
      </c>
      <c r="G54" s="73" t="str">
        <f t="shared" si="1"/>
        <v/>
      </c>
      <c r="H54" s="56" t="str">
        <f t="shared" si="2"/>
        <v/>
      </c>
      <c r="I54" s="57" t="str">
        <f t="shared" si="3"/>
        <v/>
      </c>
      <c r="J54" s="58" t="str">
        <f t="shared" si="4"/>
        <v/>
      </c>
      <c r="L54" s="31" t="str">
        <f t="shared" si="5"/>
        <v/>
      </c>
      <c r="M54" s="32" t="str">
        <f t="shared" si="10"/>
        <v/>
      </c>
      <c r="N54" s="32" t="str">
        <f t="shared" si="6"/>
        <v/>
      </c>
      <c r="O54" s="32" t="str">
        <f t="shared" si="7"/>
        <v/>
      </c>
      <c r="P54" s="32" t="str">
        <f t="shared" si="11"/>
        <v/>
      </c>
      <c r="Q54" s="33" t="str">
        <f t="shared" si="11"/>
        <v/>
      </c>
    </row>
    <row r="55" spans="2:17" x14ac:dyDescent="0.25">
      <c r="B55" s="9">
        <v>42</v>
      </c>
      <c r="C55" s="35">
        <v>2000</v>
      </c>
      <c r="D55" s="3"/>
      <c r="E55" s="9" t="str">
        <f t="shared" si="0"/>
        <v/>
      </c>
      <c r="F55" s="54" t="str">
        <f t="shared" si="9"/>
        <v/>
      </c>
      <c r="G55" s="73" t="str">
        <f t="shared" si="1"/>
        <v/>
      </c>
      <c r="H55" s="56" t="str">
        <f t="shared" si="2"/>
        <v/>
      </c>
      <c r="I55" s="57" t="str">
        <f t="shared" si="3"/>
        <v/>
      </c>
      <c r="J55" s="58" t="str">
        <f t="shared" si="4"/>
        <v/>
      </c>
      <c r="L55" s="31" t="str">
        <f t="shared" si="5"/>
        <v/>
      </c>
      <c r="M55" s="32" t="str">
        <f t="shared" si="10"/>
        <v/>
      </c>
      <c r="N55" s="32" t="str">
        <f t="shared" si="6"/>
        <v/>
      </c>
      <c r="O55" s="32" t="str">
        <f t="shared" si="7"/>
        <v/>
      </c>
      <c r="P55" s="32" t="str">
        <f t="shared" si="11"/>
        <v/>
      </c>
      <c r="Q55" s="33" t="str">
        <f t="shared" si="11"/>
        <v/>
      </c>
    </row>
    <row r="56" spans="2:17" x14ac:dyDescent="0.25">
      <c r="B56" s="9">
        <v>43</v>
      </c>
      <c r="C56" s="35">
        <v>2500</v>
      </c>
      <c r="D56" s="3"/>
      <c r="E56" s="9" t="str">
        <f t="shared" si="0"/>
        <v/>
      </c>
      <c r="F56" s="54" t="str">
        <f t="shared" si="9"/>
        <v/>
      </c>
      <c r="G56" s="73" t="str">
        <f t="shared" si="1"/>
        <v/>
      </c>
      <c r="H56" s="56" t="str">
        <f t="shared" si="2"/>
        <v/>
      </c>
      <c r="I56" s="57" t="str">
        <f t="shared" si="3"/>
        <v/>
      </c>
      <c r="J56" s="58" t="str">
        <f t="shared" si="4"/>
        <v/>
      </c>
      <c r="L56" s="31" t="str">
        <f t="shared" si="5"/>
        <v/>
      </c>
      <c r="M56" s="32" t="str">
        <f t="shared" si="10"/>
        <v/>
      </c>
      <c r="N56" s="32" t="str">
        <f t="shared" si="6"/>
        <v/>
      </c>
      <c r="O56" s="32" t="str">
        <f t="shared" si="7"/>
        <v/>
      </c>
      <c r="P56" s="32" t="str">
        <f t="shared" si="11"/>
        <v/>
      </c>
      <c r="Q56" s="33" t="str">
        <f t="shared" si="11"/>
        <v/>
      </c>
    </row>
    <row r="57" spans="2:17" x14ac:dyDescent="0.25">
      <c r="B57" s="9">
        <v>44</v>
      </c>
      <c r="C57" s="35">
        <v>3000</v>
      </c>
      <c r="D57" s="3"/>
      <c r="E57" s="9" t="str">
        <f t="shared" si="0"/>
        <v/>
      </c>
      <c r="F57" s="54" t="str">
        <f t="shared" si="9"/>
        <v/>
      </c>
      <c r="G57" s="73" t="str">
        <f t="shared" si="1"/>
        <v/>
      </c>
      <c r="H57" s="56" t="str">
        <f t="shared" si="2"/>
        <v/>
      </c>
      <c r="I57" s="57" t="str">
        <f t="shared" si="3"/>
        <v/>
      </c>
      <c r="J57" s="58" t="str">
        <f t="shared" si="4"/>
        <v/>
      </c>
      <c r="L57" s="31" t="str">
        <f t="shared" si="5"/>
        <v/>
      </c>
      <c r="M57" s="32" t="str">
        <f t="shared" si="10"/>
        <v/>
      </c>
      <c r="N57" s="32" t="str">
        <f t="shared" si="6"/>
        <v/>
      </c>
      <c r="O57" s="32" t="str">
        <f t="shared" si="7"/>
        <v/>
      </c>
      <c r="P57" s="32" t="str">
        <f t="shared" si="11"/>
        <v/>
      </c>
      <c r="Q57" s="33" t="str">
        <f t="shared" si="11"/>
        <v/>
      </c>
    </row>
    <row r="58" spans="2:17" x14ac:dyDescent="0.25">
      <c r="B58" s="9">
        <v>45</v>
      </c>
      <c r="C58" s="35">
        <v>3500</v>
      </c>
      <c r="D58" s="3"/>
      <c r="E58" s="9" t="str">
        <f t="shared" si="0"/>
        <v/>
      </c>
      <c r="F58" s="54" t="str">
        <f t="shared" si="9"/>
        <v/>
      </c>
      <c r="G58" s="73" t="str">
        <f t="shared" si="1"/>
        <v/>
      </c>
      <c r="H58" s="56" t="str">
        <f t="shared" si="2"/>
        <v/>
      </c>
      <c r="I58" s="57" t="str">
        <f t="shared" si="3"/>
        <v/>
      </c>
      <c r="J58" s="58" t="str">
        <f t="shared" si="4"/>
        <v/>
      </c>
      <c r="L58" s="31" t="str">
        <f t="shared" si="5"/>
        <v/>
      </c>
      <c r="M58" s="32" t="str">
        <f t="shared" si="10"/>
        <v/>
      </c>
      <c r="N58" s="32" t="str">
        <f t="shared" si="6"/>
        <v/>
      </c>
      <c r="O58" s="32" t="str">
        <f t="shared" si="7"/>
        <v/>
      </c>
      <c r="P58" s="32" t="str">
        <f t="shared" si="11"/>
        <v/>
      </c>
      <c r="Q58" s="33" t="str">
        <f t="shared" si="11"/>
        <v/>
      </c>
    </row>
    <row r="59" spans="2:17" x14ac:dyDescent="0.25">
      <c r="B59" s="9">
        <v>46</v>
      </c>
      <c r="C59" s="35">
        <v>4000</v>
      </c>
      <c r="D59" s="3"/>
      <c r="E59" s="9" t="str">
        <f t="shared" si="0"/>
        <v/>
      </c>
      <c r="F59" s="54" t="str">
        <f t="shared" si="9"/>
        <v/>
      </c>
      <c r="G59" s="73" t="str">
        <f t="shared" si="1"/>
        <v/>
      </c>
      <c r="H59" s="56" t="str">
        <f t="shared" si="2"/>
        <v/>
      </c>
      <c r="I59" s="57" t="str">
        <f t="shared" si="3"/>
        <v/>
      </c>
      <c r="J59" s="58" t="str">
        <f t="shared" si="4"/>
        <v/>
      </c>
      <c r="L59" s="31" t="str">
        <f t="shared" si="5"/>
        <v/>
      </c>
      <c r="M59" s="32" t="str">
        <f t="shared" si="10"/>
        <v/>
      </c>
      <c r="N59" s="32" t="str">
        <f t="shared" si="6"/>
        <v/>
      </c>
      <c r="O59" s="32" t="str">
        <f t="shared" si="7"/>
        <v/>
      </c>
      <c r="P59" s="32" t="str">
        <f t="shared" si="11"/>
        <v/>
      </c>
      <c r="Q59" s="33" t="str">
        <f t="shared" si="11"/>
        <v/>
      </c>
    </row>
    <row r="60" spans="2:17" x14ac:dyDescent="0.25">
      <c r="B60" s="9">
        <v>47</v>
      </c>
      <c r="C60" s="35">
        <v>4500</v>
      </c>
      <c r="D60" s="3"/>
      <c r="E60" s="9" t="str">
        <f t="shared" si="0"/>
        <v/>
      </c>
      <c r="F60" s="54" t="str">
        <f t="shared" si="9"/>
        <v/>
      </c>
      <c r="G60" s="73" t="str">
        <f t="shared" si="1"/>
        <v/>
      </c>
      <c r="H60" s="56" t="str">
        <f t="shared" si="2"/>
        <v/>
      </c>
      <c r="I60" s="57" t="str">
        <f t="shared" si="3"/>
        <v/>
      </c>
      <c r="J60" s="58" t="str">
        <f t="shared" si="4"/>
        <v/>
      </c>
      <c r="L60" s="31" t="str">
        <f t="shared" si="5"/>
        <v/>
      </c>
      <c r="M60" s="32" t="str">
        <f t="shared" si="10"/>
        <v/>
      </c>
      <c r="N60" s="32" t="str">
        <f t="shared" si="6"/>
        <v/>
      </c>
      <c r="O60" s="32" t="str">
        <f t="shared" si="7"/>
        <v/>
      </c>
      <c r="P60" s="32" t="str">
        <f t="shared" si="11"/>
        <v/>
      </c>
      <c r="Q60" s="33" t="str">
        <f t="shared" si="11"/>
        <v/>
      </c>
    </row>
    <row r="61" spans="2:17" x14ac:dyDescent="0.25">
      <c r="B61" s="9">
        <v>48</v>
      </c>
      <c r="C61" s="35">
        <v>5000</v>
      </c>
      <c r="D61" s="3"/>
      <c r="E61" s="9" t="str">
        <f t="shared" si="0"/>
        <v/>
      </c>
      <c r="F61" s="54" t="str">
        <f t="shared" si="9"/>
        <v/>
      </c>
      <c r="G61" s="73" t="str">
        <f t="shared" si="1"/>
        <v/>
      </c>
      <c r="H61" s="56" t="str">
        <f t="shared" si="2"/>
        <v/>
      </c>
      <c r="I61" s="57" t="str">
        <f t="shared" si="3"/>
        <v/>
      </c>
      <c r="J61" s="58" t="str">
        <f t="shared" si="4"/>
        <v/>
      </c>
      <c r="L61" s="31" t="str">
        <f t="shared" si="5"/>
        <v/>
      </c>
      <c r="M61" s="32" t="str">
        <f t="shared" si="10"/>
        <v/>
      </c>
      <c r="N61" s="32" t="str">
        <f t="shared" si="6"/>
        <v/>
      </c>
      <c r="O61" s="32" t="str">
        <f t="shared" si="7"/>
        <v/>
      </c>
      <c r="P61" s="32" t="str">
        <f t="shared" si="11"/>
        <v/>
      </c>
      <c r="Q61" s="33" t="str">
        <f t="shared" si="11"/>
        <v/>
      </c>
    </row>
    <row r="62" spans="2:17" x14ac:dyDescent="0.25">
      <c r="B62" s="9">
        <v>49</v>
      </c>
      <c r="C62" s="35">
        <v>5500</v>
      </c>
      <c r="D62" s="3"/>
      <c r="E62" s="9" t="str">
        <f t="shared" si="0"/>
        <v/>
      </c>
      <c r="F62" s="54" t="str">
        <f t="shared" si="9"/>
        <v/>
      </c>
      <c r="G62" s="73" t="str">
        <f t="shared" si="1"/>
        <v/>
      </c>
      <c r="H62" s="56" t="str">
        <f t="shared" si="2"/>
        <v/>
      </c>
      <c r="I62" s="57" t="str">
        <f t="shared" si="3"/>
        <v/>
      </c>
      <c r="J62" s="58" t="str">
        <f t="shared" si="4"/>
        <v/>
      </c>
      <c r="L62" s="31" t="str">
        <f t="shared" si="5"/>
        <v/>
      </c>
      <c r="M62" s="32" t="str">
        <f t="shared" si="10"/>
        <v/>
      </c>
      <c r="N62" s="32" t="str">
        <f t="shared" si="6"/>
        <v/>
      </c>
      <c r="O62" s="32" t="str">
        <f t="shared" si="7"/>
        <v/>
      </c>
      <c r="P62" s="32" t="str">
        <f t="shared" si="11"/>
        <v/>
      </c>
      <c r="Q62" s="33" t="str">
        <f t="shared" si="11"/>
        <v/>
      </c>
    </row>
    <row r="63" spans="2:17" x14ac:dyDescent="0.25">
      <c r="B63" s="9">
        <v>50</v>
      </c>
      <c r="C63" s="35">
        <v>6000</v>
      </c>
      <c r="D63" s="3"/>
      <c r="E63" s="9" t="str">
        <f t="shared" si="0"/>
        <v/>
      </c>
      <c r="F63" s="54" t="str">
        <f t="shared" si="9"/>
        <v/>
      </c>
      <c r="G63" s="73" t="str">
        <f t="shared" si="1"/>
        <v/>
      </c>
      <c r="H63" s="56" t="str">
        <f t="shared" si="2"/>
        <v/>
      </c>
      <c r="I63" s="57" t="str">
        <f t="shared" si="3"/>
        <v/>
      </c>
      <c r="J63" s="58" t="str">
        <f t="shared" si="4"/>
        <v/>
      </c>
      <c r="L63" s="31" t="str">
        <f t="shared" si="5"/>
        <v/>
      </c>
      <c r="M63" s="32" t="str">
        <f t="shared" si="10"/>
        <v/>
      </c>
      <c r="N63" s="32" t="str">
        <f t="shared" si="6"/>
        <v/>
      </c>
      <c r="O63" s="32" t="str">
        <f t="shared" si="7"/>
        <v/>
      </c>
      <c r="P63" s="32" t="str">
        <f t="shared" si="11"/>
        <v/>
      </c>
      <c r="Q63" s="33" t="str">
        <f t="shared" si="11"/>
        <v/>
      </c>
    </row>
    <row r="64" spans="2:17" x14ac:dyDescent="0.25">
      <c r="B64" s="9">
        <v>51</v>
      </c>
      <c r="C64" s="35">
        <v>6500</v>
      </c>
      <c r="D64" s="3"/>
      <c r="E64" s="9" t="str">
        <f t="shared" si="0"/>
        <v/>
      </c>
      <c r="F64" s="54" t="str">
        <f t="shared" si="9"/>
        <v/>
      </c>
      <c r="G64" s="73" t="str">
        <f t="shared" si="1"/>
        <v/>
      </c>
      <c r="H64" s="56" t="str">
        <f t="shared" si="2"/>
        <v/>
      </c>
      <c r="I64" s="57" t="str">
        <f t="shared" si="3"/>
        <v/>
      </c>
      <c r="J64" s="58" t="str">
        <f t="shared" si="4"/>
        <v/>
      </c>
      <c r="L64" s="31" t="str">
        <f t="shared" si="5"/>
        <v/>
      </c>
      <c r="M64" s="32" t="str">
        <f t="shared" si="10"/>
        <v/>
      </c>
      <c r="N64" s="32" t="str">
        <f t="shared" si="6"/>
        <v/>
      </c>
      <c r="O64" s="32" t="str">
        <f t="shared" si="7"/>
        <v/>
      </c>
      <c r="P64" s="32" t="str">
        <f t="shared" si="11"/>
        <v/>
      </c>
      <c r="Q64" s="33" t="str">
        <f t="shared" si="11"/>
        <v/>
      </c>
    </row>
    <row r="65" spans="2:17" x14ac:dyDescent="0.25">
      <c r="B65" s="9">
        <v>52</v>
      </c>
      <c r="C65" s="35">
        <v>7000</v>
      </c>
      <c r="D65" s="3"/>
      <c r="E65" s="9" t="str">
        <f t="shared" si="0"/>
        <v/>
      </c>
      <c r="F65" s="54" t="str">
        <f t="shared" si="9"/>
        <v/>
      </c>
      <c r="G65" s="73" t="str">
        <f t="shared" si="1"/>
        <v/>
      </c>
      <c r="H65" s="56" t="str">
        <f t="shared" si="2"/>
        <v/>
      </c>
      <c r="I65" s="57" t="str">
        <f t="shared" si="3"/>
        <v/>
      </c>
      <c r="J65" s="58" t="str">
        <f t="shared" si="4"/>
        <v/>
      </c>
      <c r="L65" s="31" t="str">
        <f t="shared" si="5"/>
        <v/>
      </c>
      <c r="M65" s="32" t="str">
        <f t="shared" si="10"/>
        <v/>
      </c>
      <c r="N65" s="32" t="str">
        <f t="shared" si="6"/>
        <v/>
      </c>
      <c r="O65" s="32" t="str">
        <f t="shared" si="7"/>
        <v/>
      </c>
      <c r="P65" s="32" t="str">
        <f t="shared" si="11"/>
        <v/>
      </c>
      <c r="Q65" s="33" t="str">
        <f t="shared" si="11"/>
        <v/>
      </c>
    </row>
    <row r="66" spans="2:17" x14ac:dyDescent="0.25">
      <c r="B66" s="9">
        <v>53</v>
      </c>
      <c r="C66" s="35">
        <v>7500</v>
      </c>
      <c r="D66" s="3"/>
      <c r="E66" s="9" t="str">
        <f t="shared" si="0"/>
        <v/>
      </c>
      <c r="F66" s="54" t="str">
        <f t="shared" si="9"/>
        <v/>
      </c>
      <c r="G66" s="73" t="str">
        <f t="shared" si="1"/>
        <v/>
      </c>
      <c r="H66" s="56" t="str">
        <f t="shared" si="2"/>
        <v/>
      </c>
      <c r="I66" s="57" t="str">
        <f t="shared" si="3"/>
        <v/>
      </c>
      <c r="J66" s="58" t="str">
        <f t="shared" si="4"/>
        <v/>
      </c>
      <c r="L66" s="31" t="str">
        <f t="shared" si="5"/>
        <v/>
      </c>
      <c r="M66" s="32" t="str">
        <f t="shared" si="10"/>
        <v/>
      </c>
      <c r="N66" s="32" t="str">
        <f t="shared" si="6"/>
        <v/>
      </c>
      <c r="O66" s="32" t="str">
        <f t="shared" si="7"/>
        <v/>
      </c>
      <c r="P66" s="32" t="str">
        <f t="shared" si="11"/>
        <v/>
      </c>
      <c r="Q66" s="33" t="str">
        <f t="shared" si="11"/>
        <v/>
      </c>
    </row>
    <row r="67" spans="2:17" x14ac:dyDescent="0.25">
      <c r="B67" s="9">
        <v>54</v>
      </c>
      <c r="C67" s="35">
        <v>8000</v>
      </c>
      <c r="D67" s="3"/>
      <c r="E67" s="9" t="str">
        <f t="shared" si="0"/>
        <v/>
      </c>
      <c r="F67" s="54" t="str">
        <f t="shared" si="9"/>
        <v/>
      </c>
      <c r="G67" s="73" t="str">
        <f t="shared" si="1"/>
        <v/>
      </c>
      <c r="H67" s="56" t="str">
        <f t="shared" si="2"/>
        <v/>
      </c>
      <c r="I67" s="57" t="str">
        <f t="shared" si="3"/>
        <v/>
      </c>
      <c r="J67" s="58" t="str">
        <f t="shared" si="4"/>
        <v/>
      </c>
      <c r="L67" s="31" t="str">
        <f t="shared" si="5"/>
        <v/>
      </c>
      <c r="M67" s="32" t="str">
        <f t="shared" si="10"/>
        <v/>
      </c>
      <c r="N67" s="32" t="str">
        <f t="shared" si="6"/>
        <v/>
      </c>
      <c r="O67" s="32" t="str">
        <f t="shared" si="7"/>
        <v/>
      </c>
      <c r="P67" s="32" t="str">
        <f t="shared" si="11"/>
        <v/>
      </c>
      <c r="Q67" s="33" t="str">
        <f t="shared" si="11"/>
        <v/>
      </c>
    </row>
    <row r="68" spans="2:17" x14ac:dyDescent="0.25">
      <c r="B68" s="9">
        <v>55</v>
      </c>
      <c r="C68" s="35">
        <v>8500</v>
      </c>
      <c r="D68" s="3"/>
      <c r="E68" s="9" t="str">
        <f t="shared" si="0"/>
        <v/>
      </c>
      <c r="F68" s="54" t="str">
        <f t="shared" si="9"/>
        <v/>
      </c>
      <c r="G68" s="73" t="str">
        <f t="shared" si="1"/>
        <v/>
      </c>
      <c r="H68" s="56" t="str">
        <f t="shared" si="2"/>
        <v/>
      </c>
      <c r="I68" s="57" t="str">
        <f t="shared" si="3"/>
        <v/>
      </c>
      <c r="J68" s="58" t="str">
        <f t="shared" si="4"/>
        <v/>
      </c>
      <c r="L68" s="31" t="str">
        <f t="shared" si="5"/>
        <v/>
      </c>
      <c r="M68" s="32" t="str">
        <f t="shared" si="10"/>
        <v/>
      </c>
      <c r="N68" s="32" t="str">
        <f t="shared" si="6"/>
        <v/>
      </c>
      <c r="O68" s="32" t="str">
        <f t="shared" si="7"/>
        <v/>
      </c>
      <c r="P68" s="32" t="str">
        <f t="shared" si="11"/>
        <v/>
      </c>
      <c r="Q68" s="33" t="str">
        <f t="shared" si="11"/>
        <v/>
      </c>
    </row>
    <row r="69" spans="2:17" x14ac:dyDescent="0.25">
      <c r="B69" s="9">
        <v>56</v>
      </c>
      <c r="C69" s="35">
        <v>9000</v>
      </c>
      <c r="D69" s="3"/>
      <c r="E69" s="9" t="str">
        <f t="shared" si="0"/>
        <v/>
      </c>
      <c r="F69" s="54" t="str">
        <f t="shared" si="9"/>
        <v/>
      </c>
      <c r="G69" s="73" t="str">
        <f t="shared" si="1"/>
        <v/>
      </c>
      <c r="H69" s="56" t="str">
        <f t="shared" si="2"/>
        <v/>
      </c>
      <c r="I69" s="57" t="str">
        <f t="shared" si="3"/>
        <v/>
      </c>
      <c r="J69" s="58" t="str">
        <f t="shared" si="4"/>
        <v/>
      </c>
      <c r="L69" s="31" t="str">
        <f t="shared" si="5"/>
        <v/>
      </c>
      <c r="M69" s="32" t="str">
        <f t="shared" si="10"/>
        <v/>
      </c>
      <c r="N69" s="32" t="str">
        <f t="shared" si="6"/>
        <v/>
      </c>
      <c r="O69" s="32" t="str">
        <f t="shared" si="7"/>
        <v/>
      </c>
      <c r="P69" s="32" t="str">
        <f t="shared" si="11"/>
        <v/>
      </c>
      <c r="Q69" s="33" t="str">
        <f t="shared" si="11"/>
        <v/>
      </c>
    </row>
    <row r="70" spans="2:17" x14ac:dyDescent="0.25">
      <c r="B70" s="9">
        <v>57</v>
      </c>
      <c r="C70" s="35">
        <v>9500</v>
      </c>
      <c r="D70" s="3"/>
      <c r="E70" s="9" t="str">
        <f t="shared" si="0"/>
        <v/>
      </c>
      <c r="F70" s="54" t="str">
        <f t="shared" si="9"/>
        <v/>
      </c>
      <c r="G70" s="73" t="str">
        <f t="shared" si="1"/>
        <v/>
      </c>
      <c r="H70" s="56" t="str">
        <f t="shared" si="2"/>
        <v/>
      </c>
      <c r="I70" s="57" t="str">
        <f t="shared" si="3"/>
        <v/>
      </c>
      <c r="J70" s="58" t="str">
        <f t="shared" si="4"/>
        <v/>
      </c>
      <c r="L70" s="31" t="str">
        <f t="shared" si="5"/>
        <v/>
      </c>
      <c r="M70" s="32" t="str">
        <f t="shared" si="10"/>
        <v/>
      </c>
      <c r="N70" s="32" t="str">
        <f t="shared" si="6"/>
        <v/>
      </c>
      <c r="O70" s="32" t="str">
        <f t="shared" si="7"/>
        <v/>
      </c>
      <c r="P70" s="32" t="str">
        <f t="shared" si="11"/>
        <v/>
      </c>
      <c r="Q70" s="33" t="str">
        <f t="shared" si="11"/>
        <v/>
      </c>
    </row>
    <row r="71" spans="2:17" x14ac:dyDescent="0.25">
      <c r="B71" s="9">
        <v>58</v>
      </c>
      <c r="C71" s="35">
        <v>10000</v>
      </c>
      <c r="D71" s="3"/>
      <c r="E71" s="9" t="str">
        <f t="shared" si="0"/>
        <v/>
      </c>
      <c r="F71" s="54" t="str">
        <f t="shared" si="9"/>
        <v/>
      </c>
      <c r="G71" s="73" t="str">
        <f t="shared" si="1"/>
        <v/>
      </c>
      <c r="H71" s="56" t="str">
        <f t="shared" si="2"/>
        <v/>
      </c>
      <c r="I71" s="57" t="str">
        <f t="shared" si="3"/>
        <v/>
      </c>
      <c r="J71" s="58" t="str">
        <f t="shared" si="4"/>
        <v/>
      </c>
      <c r="L71" s="31" t="str">
        <f t="shared" si="5"/>
        <v/>
      </c>
      <c r="M71" s="32" t="str">
        <f t="shared" si="10"/>
        <v/>
      </c>
      <c r="N71" s="32" t="str">
        <f t="shared" si="6"/>
        <v/>
      </c>
      <c r="O71" s="32" t="str">
        <f t="shared" si="7"/>
        <v/>
      </c>
      <c r="P71" s="32" t="str">
        <f t="shared" si="11"/>
        <v/>
      </c>
      <c r="Q71" s="33" t="str">
        <f t="shared" si="11"/>
        <v/>
      </c>
    </row>
    <row r="72" spans="2:17" x14ac:dyDescent="0.25">
      <c r="B72" s="9">
        <v>59</v>
      </c>
      <c r="C72" s="35">
        <v>10500</v>
      </c>
      <c r="D72" s="3"/>
      <c r="E72" s="9" t="str">
        <f t="shared" si="0"/>
        <v/>
      </c>
      <c r="F72" s="54" t="str">
        <f t="shared" si="9"/>
        <v/>
      </c>
      <c r="G72" s="73" t="str">
        <f t="shared" si="1"/>
        <v/>
      </c>
      <c r="H72" s="56" t="str">
        <f t="shared" si="2"/>
        <v/>
      </c>
      <c r="I72" s="57" t="str">
        <f t="shared" si="3"/>
        <v/>
      </c>
      <c r="J72" s="58" t="str">
        <f t="shared" si="4"/>
        <v/>
      </c>
      <c r="L72" s="31" t="str">
        <f t="shared" si="5"/>
        <v/>
      </c>
      <c r="M72" s="32" t="str">
        <f t="shared" si="10"/>
        <v/>
      </c>
      <c r="N72" s="32" t="str">
        <f t="shared" si="6"/>
        <v/>
      </c>
      <c r="O72" s="32" t="str">
        <f t="shared" si="7"/>
        <v/>
      </c>
      <c r="P72" s="32" t="str">
        <f t="shared" si="11"/>
        <v/>
      </c>
      <c r="Q72" s="33" t="str">
        <f t="shared" si="11"/>
        <v/>
      </c>
    </row>
    <row r="73" spans="2:17" x14ac:dyDescent="0.25">
      <c r="B73" s="9">
        <v>60</v>
      </c>
      <c r="C73" s="35">
        <v>11000</v>
      </c>
      <c r="D73" s="3"/>
      <c r="E73" s="9" t="str">
        <f t="shared" si="0"/>
        <v/>
      </c>
      <c r="F73" s="54" t="str">
        <f t="shared" si="9"/>
        <v/>
      </c>
      <c r="G73" s="73" t="str">
        <f t="shared" si="1"/>
        <v/>
      </c>
      <c r="H73" s="56" t="str">
        <f t="shared" si="2"/>
        <v/>
      </c>
      <c r="I73" s="57" t="str">
        <f t="shared" si="3"/>
        <v/>
      </c>
      <c r="J73" s="58" t="str">
        <f t="shared" si="4"/>
        <v/>
      </c>
      <c r="L73" s="31" t="str">
        <f t="shared" si="5"/>
        <v/>
      </c>
      <c r="M73" s="32" t="str">
        <f t="shared" si="10"/>
        <v/>
      </c>
      <c r="N73" s="32" t="str">
        <f t="shared" si="6"/>
        <v/>
      </c>
      <c r="O73" s="32" t="str">
        <f t="shared" si="7"/>
        <v/>
      </c>
      <c r="P73" s="32" t="str">
        <f t="shared" si="11"/>
        <v/>
      </c>
      <c r="Q73" s="33" t="str">
        <f t="shared" si="11"/>
        <v/>
      </c>
    </row>
    <row r="74" spans="2:17" x14ac:dyDescent="0.25">
      <c r="B74" s="9">
        <v>61</v>
      </c>
      <c r="C74" s="35">
        <v>11500</v>
      </c>
      <c r="D74" s="3"/>
      <c r="E74" s="9" t="str">
        <f t="shared" si="0"/>
        <v/>
      </c>
      <c r="F74" s="54" t="str">
        <f t="shared" si="9"/>
        <v/>
      </c>
      <c r="G74" s="73" t="str">
        <f t="shared" si="1"/>
        <v/>
      </c>
      <c r="H74" s="56" t="str">
        <f t="shared" si="2"/>
        <v/>
      </c>
      <c r="I74" s="57" t="str">
        <f t="shared" si="3"/>
        <v/>
      </c>
      <c r="J74" s="58" t="str">
        <f t="shared" si="4"/>
        <v/>
      </c>
      <c r="L74" s="31" t="str">
        <f t="shared" si="5"/>
        <v/>
      </c>
      <c r="M74" s="32" t="str">
        <f t="shared" si="10"/>
        <v/>
      </c>
      <c r="N74" s="32" t="str">
        <f t="shared" si="6"/>
        <v/>
      </c>
      <c r="O74" s="32" t="str">
        <f t="shared" si="7"/>
        <v/>
      </c>
      <c r="P74" s="32" t="str">
        <f t="shared" si="11"/>
        <v/>
      </c>
      <c r="Q74" s="33" t="str">
        <f t="shared" si="11"/>
        <v/>
      </c>
    </row>
    <row r="75" spans="2:17" x14ac:dyDescent="0.25">
      <c r="B75" s="9">
        <v>62</v>
      </c>
      <c r="C75" s="35">
        <v>12000</v>
      </c>
      <c r="D75" s="3"/>
      <c r="E75" s="9" t="str">
        <f t="shared" si="0"/>
        <v/>
      </c>
      <c r="F75" s="54" t="str">
        <f t="shared" si="9"/>
        <v/>
      </c>
      <c r="G75" s="73" t="str">
        <f t="shared" si="1"/>
        <v/>
      </c>
      <c r="H75" s="56" t="str">
        <f t="shared" si="2"/>
        <v/>
      </c>
      <c r="I75" s="57" t="str">
        <f t="shared" si="3"/>
        <v/>
      </c>
      <c r="J75" s="58" t="str">
        <f t="shared" si="4"/>
        <v/>
      </c>
      <c r="L75" s="31" t="str">
        <f t="shared" si="5"/>
        <v/>
      </c>
      <c r="M75" s="32" t="str">
        <f t="shared" si="10"/>
        <v/>
      </c>
      <c r="N75" s="32" t="str">
        <f t="shared" si="6"/>
        <v/>
      </c>
      <c r="O75" s="32" t="str">
        <f t="shared" si="7"/>
        <v/>
      </c>
      <c r="P75" s="32" t="str">
        <f t="shared" si="11"/>
        <v/>
      </c>
      <c r="Q75" s="33" t="str">
        <f t="shared" si="11"/>
        <v/>
      </c>
    </row>
    <row r="76" spans="2:17" x14ac:dyDescent="0.25">
      <c r="B76" s="9">
        <v>63</v>
      </c>
      <c r="C76" s="35">
        <v>12500</v>
      </c>
      <c r="D76" s="3"/>
      <c r="E76" s="9" t="str">
        <f t="shared" si="0"/>
        <v/>
      </c>
      <c r="F76" s="54" t="str">
        <f t="shared" si="9"/>
        <v/>
      </c>
      <c r="G76" s="73" t="str">
        <f t="shared" si="1"/>
        <v/>
      </c>
      <c r="H76" s="56" t="str">
        <f t="shared" si="2"/>
        <v/>
      </c>
      <c r="I76" s="57" t="str">
        <f t="shared" si="3"/>
        <v/>
      </c>
      <c r="J76" s="58" t="str">
        <f t="shared" si="4"/>
        <v/>
      </c>
      <c r="L76" s="31" t="str">
        <f t="shared" si="5"/>
        <v/>
      </c>
      <c r="M76" s="32" t="str">
        <f t="shared" si="10"/>
        <v/>
      </c>
      <c r="N76" s="32" t="str">
        <f t="shared" si="6"/>
        <v/>
      </c>
      <c r="O76" s="32" t="str">
        <f t="shared" si="7"/>
        <v/>
      </c>
      <c r="P76" s="32" t="str">
        <f t="shared" si="11"/>
        <v/>
      </c>
      <c r="Q76" s="33" t="str">
        <f t="shared" si="11"/>
        <v/>
      </c>
    </row>
    <row r="77" spans="2:17" x14ac:dyDescent="0.25">
      <c r="B77" s="9">
        <v>64</v>
      </c>
      <c r="C77" s="35">
        <v>13000</v>
      </c>
      <c r="D77" s="3"/>
      <c r="E77" s="9" t="str">
        <f t="shared" si="0"/>
        <v/>
      </c>
      <c r="F77" s="54" t="str">
        <f t="shared" si="9"/>
        <v/>
      </c>
      <c r="G77" s="73" t="str">
        <f t="shared" si="1"/>
        <v/>
      </c>
      <c r="H77" s="56" t="str">
        <f t="shared" si="2"/>
        <v/>
      </c>
      <c r="I77" s="57" t="str">
        <f t="shared" si="3"/>
        <v/>
      </c>
      <c r="J77" s="58" t="str">
        <f t="shared" si="4"/>
        <v/>
      </c>
      <c r="L77" s="31" t="str">
        <f t="shared" si="5"/>
        <v/>
      </c>
      <c r="M77" s="32" t="str">
        <f t="shared" si="10"/>
        <v/>
      </c>
      <c r="N77" s="32" t="str">
        <f t="shared" si="6"/>
        <v/>
      </c>
      <c r="O77" s="32" t="str">
        <f t="shared" si="7"/>
        <v/>
      </c>
      <c r="P77" s="32" t="str">
        <f t="shared" si="11"/>
        <v/>
      </c>
      <c r="Q77" s="33" t="str">
        <f t="shared" si="11"/>
        <v/>
      </c>
    </row>
    <row r="78" spans="2:17" x14ac:dyDescent="0.25">
      <c r="B78" s="9">
        <v>65</v>
      </c>
      <c r="C78" s="35">
        <v>13500</v>
      </c>
      <c r="D78" s="3"/>
      <c r="E78" s="9" t="str">
        <f t="shared" ref="E78:E141" si="12">IF(L78="","",ROUND(12*C$7/(2*H$7^2+2*H$6*H$7-H$6^2)*L78*1000000,0))</f>
        <v/>
      </c>
      <c r="F78" s="54" t="str">
        <f t="shared" si="9"/>
        <v/>
      </c>
      <c r="G78" s="73" t="str">
        <f t="shared" ref="G78:G141" si="13">IF(L78="","",ROUND(1.5*((N78-O78)*1000*H$7)/(C$6*C$7^2),3))</f>
        <v/>
      </c>
      <c r="H78" s="56" t="str">
        <f t="shared" ref="H78:H141" si="14">IF(L78="","",ROUND(1.5*((N78/2-O78)*1000*H$7)/(C$6*C$7^2),3))</f>
        <v/>
      </c>
      <c r="I78" s="57" t="str">
        <f t="shared" ref="I78:I141" si="15">IF(L78="","",IF(P78&lt;=0,"foute meting",ROUND(0.000001*V$4*SQRT((1000000*Q78)^2+(1000000*P78+V$5*(2*PI()*H$5)^2)^2),0)))</f>
        <v/>
      </c>
      <c r="J78" s="58" t="str">
        <f t="shared" ref="J78:J141" si="16">IF(L78="","",ROUND(ATAN(Q78/P78)/PI()*180,1))</f>
        <v/>
      </c>
      <c r="L78" s="31" t="str">
        <f t="shared" ref="L78:L141" si="17">IF(AG80&lt;=0,"",AG80)</f>
        <v/>
      </c>
      <c r="M78" s="32" t="str">
        <f t="shared" si="10"/>
        <v/>
      </c>
      <c r="N78" s="32" t="str">
        <f t="shared" ref="N78:N141" si="18">IF(AI80="","",AI80)</f>
        <v/>
      </c>
      <c r="O78" s="32" t="str">
        <f t="shared" ref="O78:O141" si="19">IF(AH80="","",AH80)</f>
        <v/>
      </c>
      <c r="P78" s="32" t="str">
        <f t="shared" ref="P78:Q109" si="20">IF(AJ80="","",AJ80)</f>
        <v/>
      </c>
      <c r="Q78" s="33" t="str">
        <f t="shared" si="20"/>
        <v/>
      </c>
    </row>
    <row r="79" spans="2:17" x14ac:dyDescent="0.25">
      <c r="B79" s="9">
        <v>66</v>
      </c>
      <c r="C79" s="35">
        <v>14000</v>
      </c>
      <c r="D79" s="3"/>
      <c r="E79" s="9" t="str">
        <f t="shared" si="12"/>
        <v/>
      </c>
      <c r="F79" s="54" t="str">
        <f t="shared" ref="F79:F142" si="21">IF(L79="","",ABS(ROUND(12*C$7/(2*(H$7/1000)^2+2*(H$6/1000)*(H$7/1000)-(H$6/1000)^2)*(M79-M$14)*1,0)))</f>
        <v/>
      </c>
      <c r="G79" s="73" t="str">
        <f t="shared" si="13"/>
        <v/>
      </c>
      <c r="H79" s="56" t="str">
        <f t="shared" si="14"/>
        <v/>
      </c>
      <c r="I79" s="57" t="str">
        <f t="shared" si="15"/>
        <v/>
      </c>
      <c r="J79" s="58" t="str">
        <f t="shared" si="16"/>
        <v/>
      </c>
      <c r="L79" s="31" t="str">
        <f t="shared" si="17"/>
        <v/>
      </c>
      <c r="M79" s="32" t="str">
        <f t="shared" ref="M79:M142" si="22">IF(AG81="","",AG81/2-AE81)</f>
        <v/>
      </c>
      <c r="N79" s="32" t="str">
        <f t="shared" si="18"/>
        <v/>
      </c>
      <c r="O79" s="32" t="str">
        <f t="shared" si="19"/>
        <v/>
      </c>
      <c r="P79" s="32" t="str">
        <f t="shared" si="20"/>
        <v/>
      </c>
      <c r="Q79" s="33" t="str">
        <f t="shared" si="20"/>
        <v/>
      </c>
    </row>
    <row r="80" spans="2:17" x14ac:dyDescent="0.25">
      <c r="B80" s="9">
        <v>67</v>
      </c>
      <c r="C80" s="35">
        <v>14500</v>
      </c>
      <c r="D80" s="3"/>
      <c r="E80" s="9" t="str">
        <f t="shared" si="12"/>
        <v/>
      </c>
      <c r="F80" s="54" t="str">
        <f t="shared" si="21"/>
        <v/>
      </c>
      <c r="G80" s="73" t="str">
        <f t="shared" si="13"/>
        <v/>
      </c>
      <c r="H80" s="56" t="str">
        <f t="shared" si="14"/>
        <v/>
      </c>
      <c r="I80" s="57" t="str">
        <f t="shared" si="15"/>
        <v/>
      </c>
      <c r="J80" s="58" t="str">
        <f t="shared" si="16"/>
        <v/>
      </c>
      <c r="L80" s="31" t="str">
        <f t="shared" si="17"/>
        <v/>
      </c>
      <c r="M80" s="32" t="str">
        <f t="shared" si="22"/>
        <v/>
      </c>
      <c r="N80" s="32" t="str">
        <f t="shared" si="18"/>
        <v/>
      </c>
      <c r="O80" s="32" t="str">
        <f t="shared" si="19"/>
        <v/>
      </c>
      <c r="P80" s="32" t="str">
        <f t="shared" si="20"/>
        <v/>
      </c>
      <c r="Q80" s="33" t="str">
        <f t="shared" si="20"/>
        <v/>
      </c>
    </row>
    <row r="81" spans="2:17" x14ac:dyDescent="0.25">
      <c r="B81" s="9">
        <v>68</v>
      </c>
      <c r="C81" s="35">
        <v>15000</v>
      </c>
      <c r="D81" s="3"/>
      <c r="E81" s="9" t="str">
        <f t="shared" si="12"/>
        <v/>
      </c>
      <c r="F81" s="54" t="str">
        <f t="shared" si="21"/>
        <v/>
      </c>
      <c r="G81" s="73" t="str">
        <f t="shared" si="13"/>
        <v/>
      </c>
      <c r="H81" s="56" t="str">
        <f t="shared" si="14"/>
        <v/>
      </c>
      <c r="I81" s="57" t="str">
        <f t="shared" si="15"/>
        <v/>
      </c>
      <c r="J81" s="58" t="str">
        <f t="shared" si="16"/>
        <v/>
      </c>
      <c r="L81" s="31" t="str">
        <f t="shared" si="17"/>
        <v/>
      </c>
      <c r="M81" s="32" t="str">
        <f t="shared" si="22"/>
        <v/>
      </c>
      <c r="N81" s="32" t="str">
        <f t="shared" si="18"/>
        <v/>
      </c>
      <c r="O81" s="32" t="str">
        <f t="shared" si="19"/>
        <v/>
      </c>
      <c r="P81" s="32" t="str">
        <f t="shared" si="20"/>
        <v/>
      </c>
      <c r="Q81" s="33" t="str">
        <f t="shared" si="20"/>
        <v/>
      </c>
    </row>
    <row r="82" spans="2:17" x14ac:dyDescent="0.25">
      <c r="B82" s="9">
        <v>69</v>
      </c>
      <c r="C82" s="35">
        <v>15500</v>
      </c>
      <c r="D82" s="3"/>
      <c r="E82" s="9" t="str">
        <f t="shared" si="12"/>
        <v/>
      </c>
      <c r="F82" s="54" t="str">
        <f t="shared" si="21"/>
        <v/>
      </c>
      <c r="G82" s="73" t="str">
        <f t="shared" si="13"/>
        <v/>
      </c>
      <c r="H82" s="56" t="str">
        <f t="shared" si="14"/>
        <v/>
      </c>
      <c r="I82" s="57" t="str">
        <f t="shared" si="15"/>
        <v/>
      </c>
      <c r="J82" s="58" t="str">
        <f t="shared" si="16"/>
        <v/>
      </c>
      <c r="L82" s="31" t="str">
        <f t="shared" si="17"/>
        <v/>
      </c>
      <c r="M82" s="32" t="str">
        <f t="shared" si="22"/>
        <v/>
      </c>
      <c r="N82" s="32" t="str">
        <f t="shared" si="18"/>
        <v/>
      </c>
      <c r="O82" s="32" t="str">
        <f t="shared" si="19"/>
        <v/>
      </c>
      <c r="P82" s="32" t="str">
        <f t="shared" si="20"/>
        <v/>
      </c>
      <c r="Q82" s="33" t="str">
        <f t="shared" si="20"/>
        <v/>
      </c>
    </row>
    <row r="83" spans="2:17" x14ac:dyDescent="0.25">
      <c r="B83" s="9">
        <v>70</v>
      </c>
      <c r="C83" s="35">
        <v>16000</v>
      </c>
      <c r="D83" s="3"/>
      <c r="E83" s="9" t="str">
        <f t="shared" si="12"/>
        <v/>
      </c>
      <c r="F83" s="54" t="str">
        <f t="shared" si="21"/>
        <v/>
      </c>
      <c r="G83" s="73" t="str">
        <f t="shared" si="13"/>
        <v/>
      </c>
      <c r="H83" s="56" t="str">
        <f t="shared" si="14"/>
        <v/>
      </c>
      <c r="I83" s="57" t="str">
        <f t="shared" si="15"/>
        <v/>
      </c>
      <c r="J83" s="58" t="str">
        <f t="shared" si="16"/>
        <v/>
      </c>
      <c r="L83" s="31" t="str">
        <f t="shared" si="17"/>
        <v/>
      </c>
      <c r="M83" s="32" t="str">
        <f t="shared" si="22"/>
        <v/>
      </c>
      <c r="N83" s="32" t="str">
        <f t="shared" si="18"/>
        <v/>
      </c>
      <c r="O83" s="32" t="str">
        <f t="shared" si="19"/>
        <v/>
      </c>
      <c r="P83" s="32" t="str">
        <f t="shared" si="20"/>
        <v/>
      </c>
      <c r="Q83" s="33" t="str">
        <f t="shared" si="20"/>
        <v/>
      </c>
    </row>
    <row r="84" spans="2:17" x14ac:dyDescent="0.25">
      <c r="B84" s="9">
        <v>71</v>
      </c>
      <c r="C84" s="35">
        <v>16500</v>
      </c>
      <c r="D84" s="3"/>
      <c r="E84" s="9" t="str">
        <f t="shared" si="12"/>
        <v/>
      </c>
      <c r="F84" s="54" t="str">
        <f t="shared" si="21"/>
        <v/>
      </c>
      <c r="G84" s="73" t="str">
        <f t="shared" si="13"/>
        <v/>
      </c>
      <c r="H84" s="56" t="str">
        <f t="shared" si="14"/>
        <v/>
      </c>
      <c r="I84" s="57" t="str">
        <f t="shared" si="15"/>
        <v/>
      </c>
      <c r="J84" s="58" t="str">
        <f t="shared" si="16"/>
        <v/>
      </c>
      <c r="L84" s="31" t="str">
        <f t="shared" si="17"/>
        <v/>
      </c>
      <c r="M84" s="32" t="str">
        <f t="shared" si="22"/>
        <v/>
      </c>
      <c r="N84" s="32" t="str">
        <f t="shared" si="18"/>
        <v/>
      </c>
      <c r="O84" s="32" t="str">
        <f t="shared" si="19"/>
        <v/>
      </c>
      <c r="P84" s="32" t="str">
        <f t="shared" si="20"/>
        <v/>
      </c>
      <c r="Q84" s="33" t="str">
        <f t="shared" si="20"/>
        <v/>
      </c>
    </row>
    <row r="85" spans="2:17" x14ac:dyDescent="0.25">
      <c r="B85" s="9">
        <v>72</v>
      </c>
      <c r="C85" s="35">
        <v>17000</v>
      </c>
      <c r="D85" s="3"/>
      <c r="E85" s="9" t="str">
        <f t="shared" si="12"/>
        <v/>
      </c>
      <c r="F85" s="54" t="str">
        <f t="shared" si="21"/>
        <v/>
      </c>
      <c r="G85" s="73" t="str">
        <f t="shared" si="13"/>
        <v/>
      </c>
      <c r="H85" s="56" t="str">
        <f t="shared" si="14"/>
        <v/>
      </c>
      <c r="I85" s="57" t="str">
        <f t="shared" si="15"/>
        <v/>
      </c>
      <c r="J85" s="58" t="str">
        <f t="shared" si="16"/>
        <v/>
      </c>
      <c r="L85" s="31" t="str">
        <f t="shared" si="17"/>
        <v/>
      </c>
      <c r="M85" s="32" t="str">
        <f t="shared" si="22"/>
        <v/>
      </c>
      <c r="N85" s="32" t="str">
        <f t="shared" si="18"/>
        <v/>
      </c>
      <c r="O85" s="32" t="str">
        <f t="shared" si="19"/>
        <v/>
      </c>
      <c r="P85" s="32" t="str">
        <f t="shared" si="20"/>
        <v/>
      </c>
      <c r="Q85" s="33" t="str">
        <f t="shared" si="20"/>
        <v/>
      </c>
    </row>
    <row r="86" spans="2:17" x14ac:dyDescent="0.25">
      <c r="B86" s="9">
        <v>73</v>
      </c>
      <c r="C86" s="35">
        <v>17500</v>
      </c>
      <c r="D86" s="3"/>
      <c r="E86" s="9" t="str">
        <f t="shared" si="12"/>
        <v/>
      </c>
      <c r="F86" s="54" t="str">
        <f t="shared" si="21"/>
        <v/>
      </c>
      <c r="G86" s="73" t="str">
        <f t="shared" si="13"/>
        <v/>
      </c>
      <c r="H86" s="56" t="str">
        <f t="shared" si="14"/>
        <v/>
      </c>
      <c r="I86" s="57" t="str">
        <f t="shared" si="15"/>
        <v/>
      </c>
      <c r="J86" s="58" t="str">
        <f t="shared" si="16"/>
        <v/>
      </c>
      <c r="L86" s="31" t="str">
        <f t="shared" si="17"/>
        <v/>
      </c>
      <c r="M86" s="32" t="str">
        <f t="shared" si="22"/>
        <v/>
      </c>
      <c r="N86" s="32" t="str">
        <f t="shared" si="18"/>
        <v/>
      </c>
      <c r="O86" s="32" t="str">
        <f t="shared" si="19"/>
        <v/>
      </c>
      <c r="P86" s="32" t="str">
        <f t="shared" si="20"/>
        <v/>
      </c>
      <c r="Q86" s="33" t="str">
        <f t="shared" si="20"/>
        <v/>
      </c>
    </row>
    <row r="87" spans="2:17" x14ac:dyDescent="0.25">
      <c r="B87" s="9">
        <v>74</v>
      </c>
      <c r="C87" s="35">
        <v>18000</v>
      </c>
      <c r="D87" s="3"/>
      <c r="E87" s="9" t="str">
        <f t="shared" si="12"/>
        <v/>
      </c>
      <c r="F87" s="54" t="str">
        <f t="shared" si="21"/>
        <v/>
      </c>
      <c r="G87" s="73" t="str">
        <f t="shared" si="13"/>
        <v/>
      </c>
      <c r="H87" s="56" t="str">
        <f t="shared" si="14"/>
        <v/>
      </c>
      <c r="I87" s="57" t="str">
        <f t="shared" si="15"/>
        <v/>
      </c>
      <c r="J87" s="58" t="str">
        <f t="shared" si="16"/>
        <v/>
      </c>
      <c r="L87" s="31" t="str">
        <f t="shared" si="17"/>
        <v/>
      </c>
      <c r="M87" s="32" t="str">
        <f t="shared" si="22"/>
        <v/>
      </c>
      <c r="N87" s="32" t="str">
        <f t="shared" si="18"/>
        <v/>
      </c>
      <c r="O87" s="32" t="str">
        <f t="shared" si="19"/>
        <v/>
      </c>
      <c r="P87" s="32" t="str">
        <f t="shared" si="20"/>
        <v/>
      </c>
      <c r="Q87" s="33" t="str">
        <f t="shared" si="20"/>
        <v/>
      </c>
    </row>
    <row r="88" spans="2:17" x14ac:dyDescent="0.25">
      <c r="B88" s="9">
        <v>75</v>
      </c>
      <c r="C88" s="35">
        <v>18500</v>
      </c>
      <c r="D88" s="3"/>
      <c r="E88" s="9" t="str">
        <f t="shared" si="12"/>
        <v/>
      </c>
      <c r="F88" s="54" t="str">
        <f t="shared" si="21"/>
        <v/>
      </c>
      <c r="G88" s="73" t="str">
        <f t="shared" si="13"/>
        <v/>
      </c>
      <c r="H88" s="56" t="str">
        <f t="shared" si="14"/>
        <v/>
      </c>
      <c r="I88" s="57" t="str">
        <f t="shared" si="15"/>
        <v/>
      </c>
      <c r="J88" s="58" t="str">
        <f t="shared" si="16"/>
        <v/>
      </c>
      <c r="L88" s="31" t="str">
        <f t="shared" si="17"/>
        <v/>
      </c>
      <c r="M88" s="32" t="str">
        <f t="shared" si="22"/>
        <v/>
      </c>
      <c r="N88" s="32" t="str">
        <f t="shared" si="18"/>
        <v/>
      </c>
      <c r="O88" s="32" t="str">
        <f t="shared" si="19"/>
        <v/>
      </c>
      <c r="P88" s="32" t="str">
        <f t="shared" si="20"/>
        <v/>
      </c>
      <c r="Q88" s="33" t="str">
        <f t="shared" si="20"/>
        <v/>
      </c>
    </row>
    <row r="89" spans="2:17" x14ac:dyDescent="0.25">
      <c r="B89" s="9">
        <v>76</v>
      </c>
      <c r="C89" s="35">
        <v>19000</v>
      </c>
      <c r="D89" s="3"/>
      <c r="E89" s="9" t="str">
        <f t="shared" si="12"/>
        <v/>
      </c>
      <c r="F89" s="54" t="str">
        <f t="shared" si="21"/>
        <v/>
      </c>
      <c r="G89" s="73" t="str">
        <f t="shared" si="13"/>
        <v/>
      </c>
      <c r="H89" s="56" t="str">
        <f t="shared" si="14"/>
        <v/>
      </c>
      <c r="I89" s="57" t="str">
        <f t="shared" si="15"/>
        <v/>
      </c>
      <c r="J89" s="58" t="str">
        <f t="shared" si="16"/>
        <v/>
      </c>
      <c r="L89" s="31" t="str">
        <f t="shared" si="17"/>
        <v/>
      </c>
      <c r="M89" s="32" t="str">
        <f t="shared" si="22"/>
        <v/>
      </c>
      <c r="N89" s="32" t="str">
        <f t="shared" si="18"/>
        <v/>
      </c>
      <c r="O89" s="32" t="str">
        <f t="shared" si="19"/>
        <v/>
      </c>
      <c r="P89" s="32" t="str">
        <f t="shared" si="20"/>
        <v/>
      </c>
      <c r="Q89" s="33" t="str">
        <f t="shared" si="20"/>
        <v/>
      </c>
    </row>
    <row r="90" spans="2:17" x14ac:dyDescent="0.25">
      <c r="B90" s="9">
        <v>77</v>
      </c>
      <c r="C90" s="35">
        <v>19500</v>
      </c>
      <c r="D90" s="3"/>
      <c r="E90" s="9" t="str">
        <f t="shared" si="12"/>
        <v/>
      </c>
      <c r="F90" s="54" t="str">
        <f t="shared" si="21"/>
        <v/>
      </c>
      <c r="G90" s="73" t="str">
        <f t="shared" si="13"/>
        <v/>
      </c>
      <c r="H90" s="56" t="str">
        <f t="shared" si="14"/>
        <v/>
      </c>
      <c r="I90" s="57" t="str">
        <f t="shared" si="15"/>
        <v/>
      </c>
      <c r="J90" s="58" t="str">
        <f t="shared" si="16"/>
        <v/>
      </c>
      <c r="L90" s="31" t="str">
        <f t="shared" si="17"/>
        <v/>
      </c>
      <c r="M90" s="32" t="str">
        <f t="shared" si="22"/>
        <v/>
      </c>
      <c r="N90" s="32" t="str">
        <f t="shared" si="18"/>
        <v/>
      </c>
      <c r="O90" s="32" t="str">
        <f t="shared" si="19"/>
        <v/>
      </c>
      <c r="P90" s="32" t="str">
        <f t="shared" si="20"/>
        <v/>
      </c>
      <c r="Q90" s="33" t="str">
        <f t="shared" si="20"/>
        <v/>
      </c>
    </row>
    <row r="91" spans="2:17" x14ac:dyDescent="0.25">
      <c r="B91" s="9">
        <v>78</v>
      </c>
      <c r="C91" s="35">
        <v>20000</v>
      </c>
      <c r="D91" s="3"/>
      <c r="E91" s="9" t="str">
        <f t="shared" si="12"/>
        <v/>
      </c>
      <c r="F91" s="54" t="str">
        <f t="shared" si="21"/>
        <v/>
      </c>
      <c r="G91" s="73" t="str">
        <f t="shared" si="13"/>
        <v/>
      </c>
      <c r="H91" s="56" t="str">
        <f t="shared" si="14"/>
        <v/>
      </c>
      <c r="I91" s="57" t="str">
        <f t="shared" si="15"/>
        <v/>
      </c>
      <c r="J91" s="58" t="str">
        <f t="shared" si="16"/>
        <v/>
      </c>
      <c r="L91" s="31" t="str">
        <f t="shared" si="17"/>
        <v/>
      </c>
      <c r="M91" s="32" t="str">
        <f t="shared" si="22"/>
        <v/>
      </c>
      <c r="N91" s="32" t="str">
        <f t="shared" si="18"/>
        <v/>
      </c>
      <c r="O91" s="32" t="str">
        <f t="shared" si="19"/>
        <v/>
      </c>
      <c r="P91" s="32" t="str">
        <f t="shared" si="20"/>
        <v/>
      </c>
      <c r="Q91" s="33" t="str">
        <f t="shared" si="20"/>
        <v/>
      </c>
    </row>
    <row r="92" spans="2:17" x14ac:dyDescent="0.25">
      <c r="B92" s="9">
        <v>79</v>
      </c>
      <c r="C92" s="35">
        <v>20500</v>
      </c>
      <c r="D92" s="3"/>
      <c r="E92" s="9" t="str">
        <f t="shared" si="12"/>
        <v/>
      </c>
      <c r="F92" s="54" t="str">
        <f t="shared" si="21"/>
        <v/>
      </c>
      <c r="G92" s="73" t="str">
        <f t="shared" si="13"/>
        <v/>
      </c>
      <c r="H92" s="56" t="str">
        <f t="shared" si="14"/>
        <v/>
      </c>
      <c r="I92" s="57" t="str">
        <f t="shared" si="15"/>
        <v/>
      </c>
      <c r="J92" s="58" t="str">
        <f t="shared" si="16"/>
        <v/>
      </c>
      <c r="L92" s="31" t="str">
        <f t="shared" si="17"/>
        <v/>
      </c>
      <c r="M92" s="32" t="str">
        <f t="shared" si="22"/>
        <v/>
      </c>
      <c r="N92" s="32" t="str">
        <f t="shared" si="18"/>
        <v/>
      </c>
      <c r="O92" s="32" t="str">
        <f t="shared" si="19"/>
        <v/>
      </c>
      <c r="P92" s="32" t="str">
        <f t="shared" si="20"/>
        <v/>
      </c>
      <c r="Q92" s="33" t="str">
        <f t="shared" si="20"/>
        <v/>
      </c>
    </row>
    <row r="93" spans="2:17" x14ac:dyDescent="0.25">
      <c r="B93" s="9">
        <v>80</v>
      </c>
      <c r="C93" s="35">
        <v>21000</v>
      </c>
      <c r="D93" s="3"/>
      <c r="E93" s="9" t="str">
        <f t="shared" si="12"/>
        <v/>
      </c>
      <c r="F93" s="54" t="str">
        <f t="shared" si="21"/>
        <v/>
      </c>
      <c r="G93" s="73" t="str">
        <f t="shared" si="13"/>
        <v/>
      </c>
      <c r="H93" s="56" t="str">
        <f t="shared" si="14"/>
        <v/>
      </c>
      <c r="I93" s="57" t="str">
        <f t="shared" si="15"/>
        <v/>
      </c>
      <c r="J93" s="58" t="str">
        <f t="shared" si="16"/>
        <v/>
      </c>
      <c r="L93" s="31" t="str">
        <f t="shared" si="17"/>
        <v/>
      </c>
      <c r="M93" s="32" t="str">
        <f t="shared" si="22"/>
        <v/>
      </c>
      <c r="N93" s="32" t="str">
        <f t="shared" si="18"/>
        <v/>
      </c>
      <c r="O93" s="32" t="str">
        <f t="shared" si="19"/>
        <v/>
      </c>
      <c r="P93" s="32" t="str">
        <f t="shared" si="20"/>
        <v/>
      </c>
      <c r="Q93" s="33" t="str">
        <f t="shared" si="20"/>
        <v/>
      </c>
    </row>
    <row r="94" spans="2:17" x14ac:dyDescent="0.25">
      <c r="B94" s="9">
        <v>81</v>
      </c>
      <c r="C94" s="35">
        <v>21500</v>
      </c>
      <c r="D94" s="3"/>
      <c r="E94" s="9" t="str">
        <f t="shared" si="12"/>
        <v/>
      </c>
      <c r="F94" s="54" t="str">
        <f t="shared" si="21"/>
        <v/>
      </c>
      <c r="G94" s="73" t="str">
        <f t="shared" si="13"/>
        <v/>
      </c>
      <c r="H94" s="56" t="str">
        <f t="shared" si="14"/>
        <v/>
      </c>
      <c r="I94" s="57" t="str">
        <f t="shared" si="15"/>
        <v/>
      </c>
      <c r="J94" s="58" t="str">
        <f t="shared" si="16"/>
        <v/>
      </c>
      <c r="L94" s="31" t="str">
        <f t="shared" si="17"/>
        <v/>
      </c>
      <c r="M94" s="32" t="str">
        <f t="shared" si="22"/>
        <v/>
      </c>
      <c r="N94" s="32" t="str">
        <f t="shared" si="18"/>
        <v/>
      </c>
      <c r="O94" s="32" t="str">
        <f t="shared" si="19"/>
        <v/>
      </c>
      <c r="P94" s="32" t="str">
        <f t="shared" si="20"/>
        <v/>
      </c>
      <c r="Q94" s="33" t="str">
        <f t="shared" si="20"/>
        <v/>
      </c>
    </row>
    <row r="95" spans="2:17" x14ac:dyDescent="0.25">
      <c r="B95" s="9">
        <v>82</v>
      </c>
      <c r="C95" s="35">
        <v>22000</v>
      </c>
      <c r="D95" s="3"/>
      <c r="E95" s="9" t="str">
        <f t="shared" si="12"/>
        <v/>
      </c>
      <c r="F95" s="54" t="str">
        <f t="shared" si="21"/>
        <v/>
      </c>
      <c r="G95" s="73" t="str">
        <f t="shared" si="13"/>
        <v/>
      </c>
      <c r="H95" s="56" t="str">
        <f t="shared" si="14"/>
        <v/>
      </c>
      <c r="I95" s="57" t="str">
        <f t="shared" si="15"/>
        <v/>
      </c>
      <c r="J95" s="58" t="str">
        <f t="shared" si="16"/>
        <v/>
      </c>
      <c r="L95" s="31" t="str">
        <f t="shared" si="17"/>
        <v/>
      </c>
      <c r="M95" s="32" t="str">
        <f t="shared" si="22"/>
        <v/>
      </c>
      <c r="N95" s="32" t="str">
        <f t="shared" si="18"/>
        <v/>
      </c>
      <c r="O95" s="32" t="str">
        <f t="shared" si="19"/>
        <v/>
      </c>
      <c r="P95" s="32" t="str">
        <f t="shared" si="20"/>
        <v/>
      </c>
      <c r="Q95" s="33" t="str">
        <f t="shared" si="20"/>
        <v/>
      </c>
    </row>
    <row r="96" spans="2:17" x14ac:dyDescent="0.25">
      <c r="B96" s="9">
        <v>83</v>
      </c>
      <c r="C96" s="35">
        <v>22500</v>
      </c>
      <c r="D96" s="3"/>
      <c r="E96" s="9" t="str">
        <f t="shared" si="12"/>
        <v/>
      </c>
      <c r="F96" s="54" t="str">
        <f t="shared" si="21"/>
        <v/>
      </c>
      <c r="G96" s="73" t="str">
        <f t="shared" si="13"/>
        <v/>
      </c>
      <c r="H96" s="56" t="str">
        <f t="shared" si="14"/>
        <v/>
      </c>
      <c r="I96" s="57" t="str">
        <f t="shared" si="15"/>
        <v/>
      </c>
      <c r="J96" s="58" t="str">
        <f t="shared" si="16"/>
        <v/>
      </c>
      <c r="L96" s="31" t="str">
        <f t="shared" si="17"/>
        <v/>
      </c>
      <c r="M96" s="32" t="str">
        <f t="shared" si="22"/>
        <v/>
      </c>
      <c r="N96" s="32" t="str">
        <f t="shared" si="18"/>
        <v/>
      </c>
      <c r="O96" s="32" t="str">
        <f t="shared" si="19"/>
        <v/>
      </c>
      <c r="P96" s="32" t="str">
        <f t="shared" si="20"/>
        <v/>
      </c>
      <c r="Q96" s="33" t="str">
        <f t="shared" si="20"/>
        <v/>
      </c>
    </row>
    <row r="97" spans="2:17" x14ac:dyDescent="0.25">
      <c r="B97" s="9">
        <v>84</v>
      </c>
      <c r="C97" s="35">
        <v>23000</v>
      </c>
      <c r="D97" s="3"/>
      <c r="E97" s="9" t="str">
        <f t="shared" si="12"/>
        <v/>
      </c>
      <c r="F97" s="54" t="str">
        <f t="shared" si="21"/>
        <v/>
      </c>
      <c r="G97" s="73" t="str">
        <f t="shared" si="13"/>
        <v/>
      </c>
      <c r="H97" s="56" t="str">
        <f t="shared" si="14"/>
        <v/>
      </c>
      <c r="I97" s="57" t="str">
        <f t="shared" si="15"/>
        <v/>
      </c>
      <c r="J97" s="58" t="str">
        <f t="shared" si="16"/>
        <v/>
      </c>
      <c r="L97" s="31" t="str">
        <f t="shared" si="17"/>
        <v/>
      </c>
      <c r="M97" s="32" t="str">
        <f t="shared" si="22"/>
        <v/>
      </c>
      <c r="N97" s="32" t="str">
        <f t="shared" si="18"/>
        <v/>
      </c>
      <c r="O97" s="32" t="str">
        <f t="shared" si="19"/>
        <v/>
      </c>
      <c r="P97" s="32" t="str">
        <f t="shared" si="20"/>
        <v/>
      </c>
      <c r="Q97" s="33" t="str">
        <f t="shared" si="20"/>
        <v/>
      </c>
    </row>
    <row r="98" spans="2:17" x14ac:dyDescent="0.25">
      <c r="B98" s="9">
        <v>85</v>
      </c>
      <c r="C98" s="35">
        <v>23500</v>
      </c>
      <c r="D98" s="3"/>
      <c r="E98" s="9" t="str">
        <f t="shared" si="12"/>
        <v/>
      </c>
      <c r="F98" s="54" t="str">
        <f t="shared" si="21"/>
        <v/>
      </c>
      <c r="G98" s="73" t="str">
        <f t="shared" si="13"/>
        <v/>
      </c>
      <c r="H98" s="56" t="str">
        <f t="shared" si="14"/>
        <v/>
      </c>
      <c r="I98" s="57" t="str">
        <f t="shared" si="15"/>
        <v/>
      </c>
      <c r="J98" s="58" t="str">
        <f t="shared" si="16"/>
        <v/>
      </c>
      <c r="L98" s="31" t="str">
        <f t="shared" si="17"/>
        <v/>
      </c>
      <c r="M98" s="32" t="str">
        <f t="shared" si="22"/>
        <v/>
      </c>
      <c r="N98" s="32" t="str">
        <f t="shared" si="18"/>
        <v/>
      </c>
      <c r="O98" s="32" t="str">
        <f t="shared" si="19"/>
        <v/>
      </c>
      <c r="P98" s="32" t="str">
        <f t="shared" si="20"/>
        <v/>
      </c>
      <c r="Q98" s="33" t="str">
        <f t="shared" si="20"/>
        <v/>
      </c>
    </row>
    <row r="99" spans="2:17" x14ac:dyDescent="0.25">
      <c r="B99" s="9">
        <v>86</v>
      </c>
      <c r="C99" s="35">
        <v>24000</v>
      </c>
      <c r="D99" s="3"/>
      <c r="E99" s="9" t="str">
        <f t="shared" si="12"/>
        <v/>
      </c>
      <c r="F99" s="54" t="str">
        <f t="shared" si="21"/>
        <v/>
      </c>
      <c r="G99" s="73" t="str">
        <f t="shared" si="13"/>
        <v/>
      </c>
      <c r="H99" s="56" t="str">
        <f t="shared" si="14"/>
        <v/>
      </c>
      <c r="I99" s="57" t="str">
        <f t="shared" si="15"/>
        <v/>
      </c>
      <c r="J99" s="58" t="str">
        <f t="shared" si="16"/>
        <v/>
      </c>
      <c r="L99" s="31" t="str">
        <f t="shared" si="17"/>
        <v/>
      </c>
      <c r="M99" s="32" t="str">
        <f t="shared" si="22"/>
        <v/>
      </c>
      <c r="N99" s="32" t="str">
        <f t="shared" si="18"/>
        <v/>
      </c>
      <c r="O99" s="32" t="str">
        <f t="shared" si="19"/>
        <v/>
      </c>
      <c r="P99" s="32" t="str">
        <f t="shared" si="20"/>
        <v/>
      </c>
      <c r="Q99" s="33" t="str">
        <f t="shared" si="20"/>
        <v/>
      </c>
    </row>
    <row r="100" spans="2:17" x14ac:dyDescent="0.25">
      <c r="B100" s="9">
        <v>87</v>
      </c>
      <c r="C100" s="35">
        <v>24500</v>
      </c>
      <c r="D100" s="3"/>
      <c r="E100" s="9" t="str">
        <f t="shared" si="12"/>
        <v/>
      </c>
      <c r="F100" s="54" t="str">
        <f t="shared" si="21"/>
        <v/>
      </c>
      <c r="G100" s="73" t="str">
        <f t="shared" si="13"/>
        <v/>
      </c>
      <c r="H100" s="56" t="str">
        <f t="shared" si="14"/>
        <v/>
      </c>
      <c r="I100" s="57" t="str">
        <f t="shared" si="15"/>
        <v/>
      </c>
      <c r="J100" s="58" t="str">
        <f t="shared" si="16"/>
        <v/>
      </c>
      <c r="L100" s="31" t="str">
        <f t="shared" si="17"/>
        <v/>
      </c>
      <c r="M100" s="32" t="str">
        <f t="shared" si="22"/>
        <v/>
      </c>
      <c r="N100" s="32" t="str">
        <f t="shared" si="18"/>
        <v/>
      </c>
      <c r="O100" s="32" t="str">
        <f t="shared" si="19"/>
        <v/>
      </c>
      <c r="P100" s="32" t="str">
        <f t="shared" si="20"/>
        <v/>
      </c>
      <c r="Q100" s="33" t="str">
        <f t="shared" si="20"/>
        <v/>
      </c>
    </row>
    <row r="101" spans="2:17" x14ac:dyDescent="0.25">
      <c r="B101" s="9">
        <v>88</v>
      </c>
      <c r="C101" s="35">
        <v>25000</v>
      </c>
      <c r="D101" s="3"/>
      <c r="E101" s="9" t="str">
        <f t="shared" si="12"/>
        <v/>
      </c>
      <c r="F101" s="54" t="str">
        <f t="shared" si="21"/>
        <v/>
      </c>
      <c r="G101" s="73" t="str">
        <f t="shared" si="13"/>
        <v/>
      </c>
      <c r="H101" s="56" t="str">
        <f t="shared" si="14"/>
        <v/>
      </c>
      <c r="I101" s="57" t="str">
        <f t="shared" si="15"/>
        <v/>
      </c>
      <c r="J101" s="58" t="str">
        <f t="shared" si="16"/>
        <v/>
      </c>
      <c r="L101" s="31" t="str">
        <f t="shared" si="17"/>
        <v/>
      </c>
      <c r="M101" s="32" t="str">
        <f t="shared" si="22"/>
        <v/>
      </c>
      <c r="N101" s="32" t="str">
        <f t="shared" si="18"/>
        <v/>
      </c>
      <c r="O101" s="32" t="str">
        <f t="shared" si="19"/>
        <v/>
      </c>
      <c r="P101" s="32" t="str">
        <f t="shared" si="20"/>
        <v/>
      </c>
      <c r="Q101" s="33" t="str">
        <f t="shared" si="20"/>
        <v/>
      </c>
    </row>
    <row r="102" spans="2:17" x14ac:dyDescent="0.25">
      <c r="B102" s="9">
        <v>89</v>
      </c>
      <c r="C102" s="35">
        <v>25500</v>
      </c>
      <c r="D102" s="3"/>
      <c r="E102" s="9" t="str">
        <f t="shared" si="12"/>
        <v/>
      </c>
      <c r="F102" s="54" t="str">
        <f t="shared" si="21"/>
        <v/>
      </c>
      <c r="G102" s="73" t="str">
        <f t="shared" si="13"/>
        <v/>
      </c>
      <c r="H102" s="56" t="str">
        <f t="shared" si="14"/>
        <v/>
      </c>
      <c r="I102" s="57" t="str">
        <f t="shared" si="15"/>
        <v/>
      </c>
      <c r="J102" s="58" t="str">
        <f t="shared" si="16"/>
        <v/>
      </c>
      <c r="L102" s="31" t="str">
        <f t="shared" si="17"/>
        <v/>
      </c>
      <c r="M102" s="32" t="str">
        <f t="shared" si="22"/>
        <v/>
      </c>
      <c r="N102" s="32" t="str">
        <f t="shared" si="18"/>
        <v/>
      </c>
      <c r="O102" s="32" t="str">
        <f t="shared" si="19"/>
        <v/>
      </c>
      <c r="P102" s="32" t="str">
        <f t="shared" si="20"/>
        <v/>
      </c>
      <c r="Q102" s="33" t="str">
        <f t="shared" si="20"/>
        <v/>
      </c>
    </row>
    <row r="103" spans="2:17" x14ac:dyDescent="0.25">
      <c r="B103" s="9">
        <v>90</v>
      </c>
      <c r="C103" s="35">
        <v>26000</v>
      </c>
      <c r="D103" s="3"/>
      <c r="E103" s="9" t="str">
        <f t="shared" si="12"/>
        <v/>
      </c>
      <c r="F103" s="54" t="str">
        <f t="shared" si="21"/>
        <v/>
      </c>
      <c r="G103" s="73" t="str">
        <f t="shared" si="13"/>
        <v/>
      </c>
      <c r="H103" s="56" t="str">
        <f t="shared" si="14"/>
        <v/>
      </c>
      <c r="I103" s="57" t="str">
        <f t="shared" si="15"/>
        <v/>
      </c>
      <c r="J103" s="58" t="str">
        <f t="shared" si="16"/>
        <v/>
      </c>
      <c r="L103" s="31" t="str">
        <f t="shared" si="17"/>
        <v/>
      </c>
      <c r="M103" s="32" t="str">
        <f t="shared" si="22"/>
        <v/>
      </c>
      <c r="N103" s="32" t="str">
        <f t="shared" si="18"/>
        <v/>
      </c>
      <c r="O103" s="32" t="str">
        <f t="shared" si="19"/>
        <v/>
      </c>
      <c r="P103" s="32" t="str">
        <f t="shared" si="20"/>
        <v/>
      </c>
      <c r="Q103" s="33" t="str">
        <f t="shared" si="20"/>
        <v/>
      </c>
    </row>
    <row r="104" spans="2:17" x14ac:dyDescent="0.25">
      <c r="B104" s="9">
        <v>91</v>
      </c>
      <c r="C104" s="35">
        <v>26500</v>
      </c>
      <c r="D104" s="3"/>
      <c r="E104" s="9" t="str">
        <f t="shared" si="12"/>
        <v/>
      </c>
      <c r="F104" s="54" t="str">
        <f t="shared" si="21"/>
        <v/>
      </c>
      <c r="G104" s="73" t="str">
        <f t="shared" si="13"/>
        <v/>
      </c>
      <c r="H104" s="56" t="str">
        <f t="shared" si="14"/>
        <v/>
      </c>
      <c r="I104" s="57" t="str">
        <f t="shared" si="15"/>
        <v/>
      </c>
      <c r="J104" s="58" t="str">
        <f t="shared" si="16"/>
        <v/>
      </c>
      <c r="L104" s="31" t="str">
        <f t="shared" si="17"/>
        <v/>
      </c>
      <c r="M104" s="32" t="str">
        <f t="shared" si="22"/>
        <v/>
      </c>
      <c r="N104" s="32" t="str">
        <f t="shared" si="18"/>
        <v/>
      </c>
      <c r="O104" s="32" t="str">
        <f t="shared" si="19"/>
        <v/>
      </c>
      <c r="P104" s="32" t="str">
        <f t="shared" si="20"/>
        <v/>
      </c>
      <c r="Q104" s="33" t="str">
        <f t="shared" si="20"/>
        <v/>
      </c>
    </row>
    <row r="105" spans="2:17" x14ac:dyDescent="0.25">
      <c r="B105" s="9">
        <v>92</v>
      </c>
      <c r="C105" s="35">
        <v>27000</v>
      </c>
      <c r="D105" s="3"/>
      <c r="E105" s="9" t="str">
        <f t="shared" si="12"/>
        <v/>
      </c>
      <c r="F105" s="54" t="str">
        <f t="shared" si="21"/>
        <v/>
      </c>
      <c r="G105" s="73" t="str">
        <f t="shared" si="13"/>
        <v/>
      </c>
      <c r="H105" s="56" t="str">
        <f t="shared" si="14"/>
        <v/>
      </c>
      <c r="I105" s="57" t="str">
        <f t="shared" si="15"/>
        <v/>
      </c>
      <c r="J105" s="58" t="str">
        <f t="shared" si="16"/>
        <v/>
      </c>
      <c r="L105" s="31" t="str">
        <f t="shared" si="17"/>
        <v/>
      </c>
      <c r="M105" s="32" t="str">
        <f t="shared" si="22"/>
        <v/>
      </c>
      <c r="N105" s="32" t="str">
        <f t="shared" si="18"/>
        <v/>
      </c>
      <c r="O105" s="32" t="str">
        <f t="shared" si="19"/>
        <v/>
      </c>
      <c r="P105" s="32" t="str">
        <f t="shared" si="20"/>
        <v/>
      </c>
      <c r="Q105" s="33" t="str">
        <f t="shared" si="20"/>
        <v/>
      </c>
    </row>
    <row r="106" spans="2:17" x14ac:dyDescent="0.25">
      <c r="B106" s="9">
        <v>93</v>
      </c>
      <c r="C106" s="35">
        <v>27500</v>
      </c>
      <c r="D106" s="3"/>
      <c r="E106" s="9" t="str">
        <f t="shared" si="12"/>
        <v/>
      </c>
      <c r="F106" s="54" t="str">
        <f t="shared" si="21"/>
        <v/>
      </c>
      <c r="G106" s="73" t="str">
        <f t="shared" si="13"/>
        <v/>
      </c>
      <c r="H106" s="56" t="str">
        <f t="shared" si="14"/>
        <v/>
      </c>
      <c r="I106" s="57" t="str">
        <f t="shared" si="15"/>
        <v/>
      </c>
      <c r="J106" s="58" t="str">
        <f t="shared" si="16"/>
        <v/>
      </c>
      <c r="L106" s="31" t="str">
        <f t="shared" si="17"/>
        <v/>
      </c>
      <c r="M106" s="32" t="str">
        <f t="shared" si="22"/>
        <v/>
      </c>
      <c r="N106" s="32" t="str">
        <f t="shared" si="18"/>
        <v/>
      </c>
      <c r="O106" s="32" t="str">
        <f t="shared" si="19"/>
        <v/>
      </c>
      <c r="P106" s="32" t="str">
        <f t="shared" si="20"/>
        <v/>
      </c>
      <c r="Q106" s="33" t="str">
        <f t="shared" si="20"/>
        <v/>
      </c>
    </row>
    <row r="107" spans="2:17" x14ac:dyDescent="0.25">
      <c r="B107" s="9">
        <v>94</v>
      </c>
      <c r="C107" s="35">
        <v>28000</v>
      </c>
      <c r="D107" s="3"/>
      <c r="E107" s="9" t="str">
        <f t="shared" si="12"/>
        <v/>
      </c>
      <c r="F107" s="54" t="str">
        <f t="shared" si="21"/>
        <v/>
      </c>
      <c r="G107" s="73" t="str">
        <f t="shared" si="13"/>
        <v/>
      </c>
      <c r="H107" s="56" t="str">
        <f t="shared" si="14"/>
        <v/>
      </c>
      <c r="I107" s="57" t="str">
        <f t="shared" si="15"/>
        <v/>
      </c>
      <c r="J107" s="58" t="str">
        <f t="shared" si="16"/>
        <v/>
      </c>
      <c r="L107" s="31" t="str">
        <f t="shared" si="17"/>
        <v/>
      </c>
      <c r="M107" s="32" t="str">
        <f t="shared" si="22"/>
        <v/>
      </c>
      <c r="N107" s="32" t="str">
        <f t="shared" si="18"/>
        <v/>
      </c>
      <c r="O107" s="32" t="str">
        <f t="shared" si="19"/>
        <v/>
      </c>
      <c r="P107" s="32" t="str">
        <f t="shared" si="20"/>
        <v/>
      </c>
      <c r="Q107" s="33" t="str">
        <f t="shared" si="20"/>
        <v/>
      </c>
    </row>
    <row r="108" spans="2:17" x14ac:dyDescent="0.25">
      <c r="B108" s="9">
        <v>95</v>
      </c>
      <c r="C108" s="35">
        <v>28500</v>
      </c>
      <c r="D108" s="3"/>
      <c r="E108" s="9" t="str">
        <f t="shared" si="12"/>
        <v/>
      </c>
      <c r="F108" s="54" t="str">
        <f t="shared" si="21"/>
        <v/>
      </c>
      <c r="G108" s="73" t="str">
        <f t="shared" si="13"/>
        <v/>
      </c>
      <c r="H108" s="56" t="str">
        <f t="shared" si="14"/>
        <v/>
      </c>
      <c r="I108" s="57" t="str">
        <f t="shared" si="15"/>
        <v/>
      </c>
      <c r="J108" s="58" t="str">
        <f t="shared" si="16"/>
        <v/>
      </c>
      <c r="L108" s="31" t="str">
        <f t="shared" si="17"/>
        <v/>
      </c>
      <c r="M108" s="32" t="str">
        <f t="shared" si="22"/>
        <v/>
      </c>
      <c r="N108" s="32" t="str">
        <f t="shared" si="18"/>
        <v/>
      </c>
      <c r="O108" s="32" t="str">
        <f t="shared" si="19"/>
        <v/>
      </c>
      <c r="P108" s="32" t="str">
        <f t="shared" si="20"/>
        <v/>
      </c>
      <c r="Q108" s="33" t="str">
        <f t="shared" si="20"/>
        <v/>
      </c>
    </row>
    <row r="109" spans="2:17" x14ac:dyDescent="0.25">
      <c r="B109" s="9">
        <v>96</v>
      </c>
      <c r="C109" s="35">
        <v>29000</v>
      </c>
      <c r="D109" s="3"/>
      <c r="E109" s="9" t="str">
        <f t="shared" si="12"/>
        <v/>
      </c>
      <c r="F109" s="54" t="str">
        <f t="shared" si="21"/>
        <v/>
      </c>
      <c r="G109" s="73" t="str">
        <f t="shared" si="13"/>
        <v/>
      </c>
      <c r="H109" s="56" t="str">
        <f t="shared" si="14"/>
        <v/>
      </c>
      <c r="I109" s="57" t="str">
        <f t="shared" si="15"/>
        <v/>
      </c>
      <c r="J109" s="58" t="str">
        <f t="shared" si="16"/>
        <v/>
      </c>
      <c r="L109" s="31" t="str">
        <f t="shared" si="17"/>
        <v/>
      </c>
      <c r="M109" s="32" t="str">
        <f t="shared" si="22"/>
        <v/>
      </c>
      <c r="N109" s="32" t="str">
        <f t="shared" si="18"/>
        <v/>
      </c>
      <c r="O109" s="32" t="str">
        <f t="shared" si="19"/>
        <v/>
      </c>
      <c r="P109" s="32" t="str">
        <f t="shared" si="20"/>
        <v/>
      </c>
      <c r="Q109" s="33" t="str">
        <f t="shared" si="20"/>
        <v/>
      </c>
    </row>
    <row r="110" spans="2:17" x14ac:dyDescent="0.25">
      <c r="B110" s="9">
        <v>97</v>
      </c>
      <c r="C110" s="35">
        <v>29500</v>
      </c>
      <c r="D110" s="3"/>
      <c r="E110" s="9" t="str">
        <f t="shared" si="12"/>
        <v/>
      </c>
      <c r="F110" s="54" t="str">
        <f t="shared" si="21"/>
        <v/>
      </c>
      <c r="G110" s="73" t="str">
        <f t="shared" si="13"/>
        <v/>
      </c>
      <c r="H110" s="56" t="str">
        <f t="shared" si="14"/>
        <v/>
      </c>
      <c r="I110" s="57" t="str">
        <f t="shared" si="15"/>
        <v/>
      </c>
      <c r="J110" s="58" t="str">
        <f t="shared" si="16"/>
        <v/>
      </c>
      <c r="L110" s="31" t="str">
        <f t="shared" si="17"/>
        <v/>
      </c>
      <c r="M110" s="32" t="str">
        <f t="shared" si="22"/>
        <v/>
      </c>
      <c r="N110" s="32" t="str">
        <f t="shared" si="18"/>
        <v/>
      </c>
      <c r="O110" s="32" t="str">
        <f t="shared" si="19"/>
        <v/>
      </c>
      <c r="P110" s="32" t="str">
        <f t="shared" ref="P110:Q141" si="23">IF(AJ112="","",AJ112)</f>
        <v/>
      </c>
      <c r="Q110" s="33" t="str">
        <f t="shared" si="23"/>
        <v/>
      </c>
    </row>
    <row r="111" spans="2:17" x14ac:dyDescent="0.25">
      <c r="B111" s="9">
        <v>98</v>
      </c>
      <c r="C111" s="35">
        <v>30000</v>
      </c>
      <c r="D111" s="3"/>
      <c r="E111" s="9" t="str">
        <f t="shared" si="12"/>
        <v/>
      </c>
      <c r="F111" s="54" t="str">
        <f t="shared" si="21"/>
        <v/>
      </c>
      <c r="G111" s="73" t="str">
        <f t="shared" si="13"/>
        <v/>
      </c>
      <c r="H111" s="56" t="str">
        <f t="shared" si="14"/>
        <v/>
      </c>
      <c r="I111" s="57" t="str">
        <f t="shared" si="15"/>
        <v/>
      </c>
      <c r="J111" s="58" t="str">
        <f t="shared" si="16"/>
        <v/>
      </c>
      <c r="L111" s="31" t="str">
        <f t="shared" si="17"/>
        <v/>
      </c>
      <c r="M111" s="32" t="str">
        <f t="shared" si="22"/>
        <v/>
      </c>
      <c r="N111" s="32" t="str">
        <f t="shared" si="18"/>
        <v/>
      </c>
      <c r="O111" s="32" t="str">
        <f t="shared" si="19"/>
        <v/>
      </c>
      <c r="P111" s="32" t="str">
        <f t="shared" si="23"/>
        <v/>
      </c>
      <c r="Q111" s="33" t="str">
        <f t="shared" si="23"/>
        <v/>
      </c>
    </row>
    <row r="112" spans="2:17" x14ac:dyDescent="0.25">
      <c r="B112" s="9">
        <v>99</v>
      </c>
      <c r="C112" s="35">
        <v>30500</v>
      </c>
      <c r="D112" s="3"/>
      <c r="E112" s="9" t="str">
        <f t="shared" si="12"/>
        <v/>
      </c>
      <c r="F112" s="54" t="str">
        <f t="shared" si="21"/>
        <v/>
      </c>
      <c r="G112" s="73" t="str">
        <f t="shared" si="13"/>
        <v/>
      </c>
      <c r="H112" s="56" t="str">
        <f t="shared" si="14"/>
        <v/>
      </c>
      <c r="I112" s="57" t="str">
        <f t="shared" si="15"/>
        <v/>
      </c>
      <c r="J112" s="58" t="str">
        <f t="shared" si="16"/>
        <v/>
      </c>
      <c r="L112" s="31" t="str">
        <f t="shared" si="17"/>
        <v/>
      </c>
      <c r="M112" s="32" t="str">
        <f t="shared" si="22"/>
        <v/>
      </c>
      <c r="N112" s="32" t="str">
        <f t="shared" si="18"/>
        <v/>
      </c>
      <c r="O112" s="32" t="str">
        <f t="shared" si="19"/>
        <v/>
      </c>
      <c r="P112" s="32" t="str">
        <f t="shared" si="23"/>
        <v/>
      </c>
      <c r="Q112" s="33" t="str">
        <f t="shared" si="23"/>
        <v/>
      </c>
    </row>
    <row r="113" spans="2:17" x14ac:dyDescent="0.25">
      <c r="B113" s="9">
        <v>100</v>
      </c>
      <c r="C113" s="35">
        <v>31000</v>
      </c>
      <c r="D113" s="3"/>
      <c r="E113" s="9" t="str">
        <f t="shared" si="12"/>
        <v/>
      </c>
      <c r="F113" s="54" t="str">
        <f t="shared" si="21"/>
        <v/>
      </c>
      <c r="G113" s="73" t="str">
        <f t="shared" si="13"/>
        <v/>
      </c>
      <c r="H113" s="56" t="str">
        <f t="shared" si="14"/>
        <v/>
      </c>
      <c r="I113" s="57" t="str">
        <f t="shared" si="15"/>
        <v/>
      </c>
      <c r="J113" s="58" t="str">
        <f t="shared" si="16"/>
        <v/>
      </c>
      <c r="L113" s="31" t="str">
        <f t="shared" si="17"/>
        <v/>
      </c>
      <c r="M113" s="32" t="str">
        <f t="shared" si="22"/>
        <v/>
      </c>
      <c r="N113" s="32" t="str">
        <f t="shared" si="18"/>
        <v/>
      </c>
      <c r="O113" s="32" t="str">
        <f t="shared" si="19"/>
        <v/>
      </c>
      <c r="P113" s="32" t="str">
        <f t="shared" si="23"/>
        <v/>
      </c>
      <c r="Q113" s="33" t="str">
        <f t="shared" si="23"/>
        <v/>
      </c>
    </row>
    <row r="114" spans="2:17" x14ac:dyDescent="0.25">
      <c r="B114" s="9">
        <v>101</v>
      </c>
      <c r="C114" s="35">
        <v>31500</v>
      </c>
      <c r="D114" s="3"/>
      <c r="E114" s="9" t="str">
        <f t="shared" si="12"/>
        <v/>
      </c>
      <c r="F114" s="54" t="str">
        <f t="shared" si="21"/>
        <v/>
      </c>
      <c r="G114" s="73" t="str">
        <f t="shared" si="13"/>
        <v/>
      </c>
      <c r="H114" s="56" t="str">
        <f t="shared" si="14"/>
        <v/>
      </c>
      <c r="I114" s="57" t="str">
        <f t="shared" si="15"/>
        <v/>
      </c>
      <c r="J114" s="58" t="str">
        <f t="shared" si="16"/>
        <v/>
      </c>
      <c r="L114" s="31" t="str">
        <f t="shared" si="17"/>
        <v/>
      </c>
      <c r="M114" s="32" t="str">
        <f t="shared" si="22"/>
        <v/>
      </c>
      <c r="N114" s="32" t="str">
        <f t="shared" si="18"/>
        <v/>
      </c>
      <c r="O114" s="32" t="str">
        <f t="shared" si="19"/>
        <v/>
      </c>
      <c r="P114" s="32" t="str">
        <f t="shared" si="23"/>
        <v/>
      </c>
      <c r="Q114" s="33" t="str">
        <f t="shared" si="23"/>
        <v/>
      </c>
    </row>
    <row r="115" spans="2:17" x14ac:dyDescent="0.25">
      <c r="B115" s="9">
        <v>102</v>
      </c>
      <c r="C115" s="35">
        <v>32000</v>
      </c>
      <c r="D115" s="3"/>
      <c r="E115" s="9" t="str">
        <f t="shared" si="12"/>
        <v/>
      </c>
      <c r="F115" s="54" t="str">
        <f t="shared" si="21"/>
        <v/>
      </c>
      <c r="G115" s="73" t="str">
        <f t="shared" si="13"/>
        <v/>
      </c>
      <c r="H115" s="56" t="str">
        <f t="shared" si="14"/>
        <v/>
      </c>
      <c r="I115" s="57" t="str">
        <f t="shared" si="15"/>
        <v/>
      </c>
      <c r="J115" s="58" t="str">
        <f t="shared" si="16"/>
        <v/>
      </c>
      <c r="L115" s="31" t="str">
        <f t="shared" si="17"/>
        <v/>
      </c>
      <c r="M115" s="32" t="str">
        <f t="shared" si="22"/>
        <v/>
      </c>
      <c r="N115" s="32" t="str">
        <f t="shared" si="18"/>
        <v/>
      </c>
      <c r="O115" s="32" t="str">
        <f t="shared" si="19"/>
        <v/>
      </c>
      <c r="P115" s="32" t="str">
        <f t="shared" si="23"/>
        <v/>
      </c>
      <c r="Q115" s="33" t="str">
        <f t="shared" si="23"/>
        <v/>
      </c>
    </row>
    <row r="116" spans="2:17" x14ac:dyDescent="0.25">
      <c r="B116" s="9">
        <v>103</v>
      </c>
      <c r="C116" s="35">
        <v>32500</v>
      </c>
      <c r="D116" s="3"/>
      <c r="E116" s="9" t="str">
        <f t="shared" si="12"/>
        <v/>
      </c>
      <c r="F116" s="54" t="str">
        <f t="shared" si="21"/>
        <v/>
      </c>
      <c r="G116" s="73" t="str">
        <f t="shared" si="13"/>
        <v/>
      </c>
      <c r="H116" s="56" t="str">
        <f t="shared" si="14"/>
        <v/>
      </c>
      <c r="I116" s="57" t="str">
        <f t="shared" si="15"/>
        <v/>
      </c>
      <c r="J116" s="58" t="str">
        <f t="shared" si="16"/>
        <v/>
      </c>
      <c r="L116" s="31" t="str">
        <f t="shared" si="17"/>
        <v/>
      </c>
      <c r="M116" s="32" t="str">
        <f t="shared" si="22"/>
        <v/>
      </c>
      <c r="N116" s="32" t="str">
        <f t="shared" si="18"/>
        <v/>
      </c>
      <c r="O116" s="32" t="str">
        <f t="shared" si="19"/>
        <v/>
      </c>
      <c r="P116" s="32" t="str">
        <f t="shared" si="23"/>
        <v/>
      </c>
      <c r="Q116" s="33" t="str">
        <f t="shared" si="23"/>
        <v/>
      </c>
    </row>
    <row r="117" spans="2:17" x14ac:dyDescent="0.25">
      <c r="B117" s="9">
        <v>104</v>
      </c>
      <c r="C117" s="35">
        <v>33000</v>
      </c>
      <c r="D117" s="3"/>
      <c r="E117" s="9" t="str">
        <f t="shared" si="12"/>
        <v/>
      </c>
      <c r="F117" s="54" t="str">
        <f t="shared" si="21"/>
        <v/>
      </c>
      <c r="G117" s="73" t="str">
        <f t="shared" si="13"/>
        <v/>
      </c>
      <c r="H117" s="56" t="str">
        <f t="shared" si="14"/>
        <v/>
      </c>
      <c r="I117" s="57" t="str">
        <f t="shared" si="15"/>
        <v/>
      </c>
      <c r="J117" s="58" t="str">
        <f t="shared" si="16"/>
        <v/>
      </c>
      <c r="L117" s="31" t="str">
        <f t="shared" si="17"/>
        <v/>
      </c>
      <c r="M117" s="32" t="str">
        <f t="shared" si="22"/>
        <v/>
      </c>
      <c r="N117" s="32" t="str">
        <f t="shared" si="18"/>
        <v/>
      </c>
      <c r="O117" s="32" t="str">
        <f t="shared" si="19"/>
        <v/>
      </c>
      <c r="P117" s="32" t="str">
        <f t="shared" si="23"/>
        <v/>
      </c>
      <c r="Q117" s="33" t="str">
        <f t="shared" si="23"/>
        <v/>
      </c>
    </row>
    <row r="118" spans="2:17" x14ac:dyDescent="0.25">
      <c r="B118" s="9">
        <v>105</v>
      </c>
      <c r="C118" s="35">
        <v>33500</v>
      </c>
      <c r="D118" s="3"/>
      <c r="E118" s="9" t="str">
        <f t="shared" si="12"/>
        <v/>
      </c>
      <c r="F118" s="54" t="str">
        <f t="shared" si="21"/>
        <v/>
      </c>
      <c r="G118" s="73" t="str">
        <f t="shared" si="13"/>
        <v/>
      </c>
      <c r="H118" s="56" t="str">
        <f t="shared" si="14"/>
        <v/>
      </c>
      <c r="I118" s="57" t="str">
        <f t="shared" si="15"/>
        <v/>
      </c>
      <c r="J118" s="58" t="str">
        <f t="shared" si="16"/>
        <v/>
      </c>
      <c r="L118" s="31" t="str">
        <f t="shared" si="17"/>
        <v/>
      </c>
      <c r="M118" s="32" t="str">
        <f t="shared" si="22"/>
        <v/>
      </c>
      <c r="N118" s="32" t="str">
        <f t="shared" si="18"/>
        <v/>
      </c>
      <c r="O118" s="32" t="str">
        <f t="shared" si="19"/>
        <v/>
      </c>
      <c r="P118" s="32" t="str">
        <f t="shared" si="23"/>
        <v/>
      </c>
      <c r="Q118" s="33" t="str">
        <f t="shared" si="23"/>
        <v/>
      </c>
    </row>
    <row r="119" spans="2:17" x14ac:dyDescent="0.25">
      <c r="B119" s="9">
        <v>106</v>
      </c>
      <c r="C119" s="35">
        <v>34000</v>
      </c>
      <c r="D119" s="3"/>
      <c r="E119" s="9" t="str">
        <f t="shared" si="12"/>
        <v/>
      </c>
      <c r="F119" s="54" t="str">
        <f t="shared" si="21"/>
        <v/>
      </c>
      <c r="G119" s="73" t="str">
        <f t="shared" si="13"/>
        <v/>
      </c>
      <c r="H119" s="56" t="str">
        <f t="shared" si="14"/>
        <v/>
      </c>
      <c r="I119" s="57" t="str">
        <f t="shared" si="15"/>
        <v/>
      </c>
      <c r="J119" s="58" t="str">
        <f t="shared" si="16"/>
        <v/>
      </c>
      <c r="L119" s="31" t="str">
        <f t="shared" si="17"/>
        <v/>
      </c>
      <c r="M119" s="32" t="str">
        <f t="shared" si="22"/>
        <v/>
      </c>
      <c r="N119" s="32" t="str">
        <f t="shared" si="18"/>
        <v/>
      </c>
      <c r="O119" s="32" t="str">
        <f t="shared" si="19"/>
        <v/>
      </c>
      <c r="P119" s="32" t="str">
        <f t="shared" si="23"/>
        <v/>
      </c>
      <c r="Q119" s="33" t="str">
        <f t="shared" si="23"/>
        <v/>
      </c>
    </row>
    <row r="120" spans="2:17" x14ac:dyDescent="0.25">
      <c r="B120" s="9">
        <v>107</v>
      </c>
      <c r="C120" s="35">
        <v>34500</v>
      </c>
      <c r="D120" s="3"/>
      <c r="E120" s="9" t="str">
        <f t="shared" si="12"/>
        <v/>
      </c>
      <c r="F120" s="54" t="str">
        <f t="shared" si="21"/>
        <v/>
      </c>
      <c r="G120" s="73" t="str">
        <f t="shared" si="13"/>
        <v/>
      </c>
      <c r="H120" s="56" t="str">
        <f t="shared" si="14"/>
        <v/>
      </c>
      <c r="I120" s="57" t="str">
        <f t="shared" si="15"/>
        <v/>
      </c>
      <c r="J120" s="58" t="str">
        <f t="shared" si="16"/>
        <v/>
      </c>
      <c r="L120" s="31" t="str">
        <f t="shared" si="17"/>
        <v/>
      </c>
      <c r="M120" s="32" t="str">
        <f t="shared" si="22"/>
        <v/>
      </c>
      <c r="N120" s="32" t="str">
        <f t="shared" si="18"/>
        <v/>
      </c>
      <c r="O120" s="32" t="str">
        <f t="shared" si="19"/>
        <v/>
      </c>
      <c r="P120" s="32" t="str">
        <f t="shared" si="23"/>
        <v/>
      </c>
      <c r="Q120" s="33" t="str">
        <f t="shared" si="23"/>
        <v/>
      </c>
    </row>
    <row r="121" spans="2:17" x14ac:dyDescent="0.25">
      <c r="B121" s="9">
        <v>108</v>
      </c>
      <c r="C121" s="35">
        <v>35000</v>
      </c>
      <c r="D121" s="3"/>
      <c r="E121" s="9" t="str">
        <f t="shared" si="12"/>
        <v/>
      </c>
      <c r="F121" s="54" t="str">
        <f t="shared" si="21"/>
        <v/>
      </c>
      <c r="G121" s="73" t="str">
        <f t="shared" si="13"/>
        <v/>
      </c>
      <c r="H121" s="56" t="str">
        <f t="shared" si="14"/>
        <v/>
      </c>
      <c r="I121" s="57" t="str">
        <f t="shared" si="15"/>
        <v/>
      </c>
      <c r="J121" s="58" t="str">
        <f t="shared" si="16"/>
        <v/>
      </c>
      <c r="L121" s="31" t="str">
        <f t="shared" si="17"/>
        <v/>
      </c>
      <c r="M121" s="32" t="str">
        <f t="shared" si="22"/>
        <v/>
      </c>
      <c r="N121" s="32" t="str">
        <f t="shared" si="18"/>
        <v/>
      </c>
      <c r="O121" s="32" t="str">
        <f t="shared" si="19"/>
        <v/>
      </c>
      <c r="P121" s="32" t="str">
        <f t="shared" si="23"/>
        <v/>
      </c>
      <c r="Q121" s="33" t="str">
        <f t="shared" si="23"/>
        <v/>
      </c>
    </row>
    <row r="122" spans="2:17" x14ac:dyDescent="0.25">
      <c r="B122" s="9">
        <v>109</v>
      </c>
      <c r="C122" s="35">
        <v>35500</v>
      </c>
      <c r="D122" s="3"/>
      <c r="E122" s="9" t="str">
        <f t="shared" si="12"/>
        <v/>
      </c>
      <c r="F122" s="54" t="str">
        <f t="shared" si="21"/>
        <v/>
      </c>
      <c r="G122" s="73" t="str">
        <f t="shared" si="13"/>
        <v/>
      </c>
      <c r="H122" s="56" t="str">
        <f t="shared" si="14"/>
        <v/>
      </c>
      <c r="I122" s="57" t="str">
        <f t="shared" si="15"/>
        <v/>
      </c>
      <c r="J122" s="58" t="str">
        <f t="shared" si="16"/>
        <v/>
      </c>
      <c r="L122" s="31" t="str">
        <f t="shared" si="17"/>
        <v/>
      </c>
      <c r="M122" s="32" t="str">
        <f t="shared" si="22"/>
        <v/>
      </c>
      <c r="N122" s="32" t="str">
        <f t="shared" si="18"/>
        <v/>
      </c>
      <c r="O122" s="32" t="str">
        <f t="shared" si="19"/>
        <v/>
      </c>
      <c r="P122" s="32" t="str">
        <f t="shared" si="23"/>
        <v/>
      </c>
      <c r="Q122" s="33" t="str">
        <f t="shared" si="23"/>
        <v/>
      </c>
    </row>
    <row r="123" spans="2:17" x14ac:dyDescent="0.25">
      <c r="B123" s="9">
        <v>110</v>
      </c>
      <c r="C123" s="35">
        <v>36000</v>
      </c>
      <c r="D123" s="3"/>
      <c r="E123" s="9" t="str">
        <f t="shared" si="12"/>
        <v/>
      </c>
      <c r="F123" s="54" t="str">
        <f t="shared" si="21"/>
        <v/>
      </c>
      <c r="G123" s="73" t="str">
        <f t="shared" si="13"/>
        <v/>
      </c>
      <c r="H123" s="56" t="str">
        <f t="shared" si="14"/>
        <v/>
      </c>
      <c r="I123" s="57" t="str">
        <f t="shared" si="15"/>
        <v/>
      </c>
      <c r="J123" s="58" t="str">
        <f t="shared" si="16"/>
        <v/>
      </c>
      <c r="L123" s="31" t="str">
        <f t="shared" si="17"/>
        <v/>
      </c>
      <c r="M123" s="32" t="str">
        <f t="shared" si="22"/>
        <v/>
      </c>
      <c r="N123" s="32" t="str">
        <f t="shared" si="18"/>
        <v/>
      </c>
      <c r="O123" s="32" t="str">
        <f t="shared" si="19"/>
        <v/>
      </c>
      <c r="P123" s="32" t="str">
        <f t="shared" si="23"/>
        <v/>
      </c>
      <c r="Q123" s="33" t="str">
        <f t="shared" si="23"/>
        <v/>
      </c>
    </row>
    <row r="124" spans="2:17" x14ac:dyDescent="0.25">
      <c r="B124" s="9">
        <v>111</v>
      </c>
      <c r="C124" s="35">
        <v>36500</v>
      </c>
      <c r="D124" s="3"/>
      <c r="E124" s="9" t="str">
        <f t="shared" si="12"/>
        <v/>
      </c>
      <c r="F124" s="54" t="str">
        <f t="shared" si="21"/>
        <v/>
      </c>
      <c r="G124" s="73" t="str">
        <f t="shared" si="13"/>
        <v/>
      </c>
      <c r="H124" s="56" t="str">
        <f t="shared" si="14"/>
        <v/>
      </c>
      <c r="I124" s="57" t="str">
        <f t="shared" si="15"/>
        <v/>
      </c>
      <c r="J124" s="58" t="str">
        <f t="shared" si="16"/>
        <v/>
      </c>
      <c r="L124" s="31" t="str">
        <f t="shared" si="17"/>
        <v/>
      </c>
      <c r="M124" s="32" t="str">
        <f t="shared" si="22"/>
        <v/>
      </c>
      <c r="N124" s="32" t="str">
        <f t="shared" si="18"/>
        <v/>
      </c>
      <c r="O124" s="32" t="str">
        <f t="shared" si="19"/>
        <v/>
      </c>
      <c r="P124" s="32" t="str">
        <f t="shared" si="23"/>
        <v/>
      </c>
      <c r="Q124" s="33" t="str">
        <f t="shared" si="23"/>
        <v/>
      </c>
    </row>
    <row r="125" spans="2:17" x14ac:dyDescent="0.25">
      <c r="B125" s="9">
        <v>112</v>
      </c>
      <c r="C125" s="35">
        <v>37000</v>
      </c>
      <c r="D125" s="3"/>
      <c r="E125" s="9" t="str">
        <f t="shared" si="12"/>
        <v/>
      </c>
      <c r="F125" s="54" t="str">
        <f t="shared" si="21"/>
        <v/>
      </c>
      <c r="G125" s="73" t="str">
        <f t="shared" si="13"/>
        <v/>
      </c>
      <c r="H125" s="56" t="str">
        <f t="shared" si="14"/>
        <v/>
      </c>
      <c r="I125" s="57" t="str">
        <f t="shared" si="15"/>
        <v/>
      </c>
      <c r="J125" s="58" t="str">
        <f t="shared" si="16"/>
        <v/>
      </c>
      <c r="L125" s="31" t="str">
        <f t="shared" si="17"/>
        <v/>
      </c>
      <c r="M125" s="32" t="str">
        <f t="shared" si="22"/>
        <v/>
      </c>
      <c r="N125" s="32" t="str">
        <f t="shared" si="18"/>
        <v/>
      </c>
      <c r="O125" s="32" t="str">
        <f t="shared" si="19"/>
        <v/>
      </c>
      <c r="P125" s="32" t="str">
        <f t="shared" si="23"/>
        <v/>
      </c>
      <c r="Q125" s="33" t="str">
        <f t="shared" si="23"/>
        <v/>
      </c>
    </row>
    <row r="126" spans="2:17" x14ac:dyDescent="0.25">
      <c r="B126" s="9">
        <v>113</v>
      </c>
      <c r="C126" s="35">
        <v>37500</v>
      </c>
      <c r="D126" s="3"/>
      <c r="E126" s="9" t="str">
        <f t="shared" si="12"/>
        <v/>
      </c>
      <c r="F126" s="54" t="str">
        <f t="shared" si="21"/>
        <v/>
      </c>
      <c r="G126" s="73" t="str">
        <f t="shared" si="13"/>
        <v/>
      </c>
      <c r="H126" s="56" t="str">
        <f t="shared" si="14"/>
        <v/>
      </c>
      <c r="I126" s="57" t="str">
        <f t="shared" si="15"/>
        <v/>
      </c>
      <c r="J126" s="58" t="str">
        <f t="shared" si="16"/>
        <v/>
      </c>
      <c r="L126" s="31" t="str">
        <f t="shared" si="17"/>
        <v/>
      </c>
      <c r="M126" s="32" t="str">
        <f t="shared" si="22"/>
        <v/>
      </c>
      <c r="N126" s="32" t="str">
        <f t="shared" si="18"/>
        <v/>
      </c>
      <c r="O126" s="32" t="str">
        <f t="shared" si="19"/>
        <v/>
      </c>
      <c r="P126" s="32" t="str">
        <f t="shared" si="23"/>
        <v/>
      </c>
      <c r="Q126" s="33" t="str">
        <f t="shared" si="23"/>
        <v/>
      </c>
    </row>
    <row r="127" spans="2:17" x14ac:dyDescent="0.25">
      <c r="B127" s="9">
        <v>114</v>
      </c>
      <c r="C127" s="35">
        <v>38000</v>
      </c>
      <c r="D127" s="3"/>
      <c r="E127" s="9" t="str">
        <f t="shared" si="12"/>
        <v/>
      </c>
      <c r="F127" s="54" t="str">
        <f t="shared" si="21"/>
        <v/>
      </c>
      <c r="G127" s="73" t="str">
        <f t="shared" si="13"/>
        <v/>
      </c>
      <c r="H127" s="56" t="str">
        <f t="shared" si="14"/>
        <v/>
      </c>
      <c r="I127" s="57" t="str">
        <f t="shared" si="15"/>
        <v/>
      </c>
      <c r="J127" s="58" t="str">
        <f t="shared" si="16"/>
        <v/>
      </c>
      <c r="L127" s="31" t="str">
        <f t="shared" si="17"/>
        <v/>
      </c>
      <c r="M127" s="32" t="str">
        <f t="shared" si="22"/>
        <v/>
      </c>
      <c r="N127" s="32" t="str">
        <f t="shared" si="18"/>
        <v/>
      </c>
      <c r="O127" s="32" t="str">
        <f t="shared" si="19"/>
        <v/>
      </c>
      <c r="P127" s="32" t="str">
        <f t="shared" si="23"/>
        <v/>
      </c>
      <c r="Q127" s="33" t="str">
        <f t="shared" si="23"/>
        <v/>
      </c>
    </row>
    <row r="128" spans="2:17" x14ac:dyDescent="0.25">
      <c r="B128" s="9">
        <v>115</v>
      </c>
      <c r="C128" s="35">
        <v>38500</v>
      </c>
      <c r="D128" s="3"/>
      <c r="E128" s="9" t="str">
        <f t="shared" si="12"/>
        <v/>
      </c>
      <c r="F128" s="54" t="str">
        <f t="shared" si="21"/>
        <v/>
      </c>
      <c r="G128" s="73" t="str">
        <f t="shared" si="13"/>
        <v/>
      </c>
      <c r="H128" s="56" t="str">
        <f t="shared" si="14"/>
        <v/>
      </c>
      <c r="I128" s="57" t="str">
        <f t="shared" si="15"/>
        <v/>
      </c>
      <c r="J128" s="58" t="str">
        <f t="shared" si="16"/>
        <v/>
      </c>
      <c r="L128" s="31" t="str">
        <f t="shared" si="17"/>
        <v/>
      </c>
      <c r="M128" s="32" t="str">
        <f t="shared" si="22"/>
        <v/>
      </c>
      <c r="N128" s="32" t="str">
        <f t="shared" si="18"/>
        <v/>
      </c>
      <c r="O128" s="32" t="str">
        <f t="shared" si="19"/>
        <v/>
      </c>
      <c r="P128" s="32" t="str">
        <f t="shared" si="23"/>
        <v/>
      </c>
      <c r="Q128" s="33" t="str">
        <f t="shared" si="23"/>
        <v/>
      </c>
    </row>
    <row r="129" spans="2:17" x14ac:dyDescent="0.25">
      <c r="B129" s="9">
        <v>116</v>
      </c>
      <c r="C129" s="35">
        <v>39000</v>
      </c>
      <c r="D129" s="3"/>
      <c r="E129" s="9" t="str">
        <f t="shared" si="12"/>
        <v/>
      </c>
      <c r="F129" s="54" t="str">
        <f t="shared" si="21"/>
        <v/>
      </c>
      <c r="G129" s="73" t="str">
        <f t="shared" si="13"/>
        <v/>
      </c>
      <c r="H129" s="56" t="str">
        <f t="shared" si="14"/>
        <v/>
      </c>
      <c r="I129" s="57" t="str">
        <f t="shared" si="15"/>
        <v/>
      </c>
      <c r="J129" s="58" t="str">
        <f t="shared" si="16"/>
        <v/>
      </c>
      <c r="L129" s="31" t="str">
        <f t="shared" si="17"/>
        <v/>
      </c>
      <c r="M129" s="32" t="str">
        <f t="shared" si="22"/>
        <v/>
      </c>
      <c r="N129" s="32" t="str">
        <f t="shared" si="18"/>
        <v/>
      </c>
      <c r="O129" s="32" t="str">
        <f t="shared" si="19"/>
        <v/>
      </c>
      <c r="P129" s="32" t="str">
        <f t="shared" si="23"/>
        <v/>
      </c>
      <c r="Q129" s="33" t="str">
        <f t="shared" si="23"/>
        <v/>
      </c>
    </row>
    <row r="130" spans="2:17" x14ac:dyDescent="0.25">
      <c r="B130" s="9">
        <v>117</v>
      </c>
      <c r="C130" s="35">
        <v>39500</v>
      </c>
      <c r="D130" s="3"/>
      <c r="E130" s="9" t="str">
        <f t="shared" si="12"/>
        <v/>
      </c>
      <c r="F130" s="54" t="str">
        <f t="shared" si="21"/>
        <v/>
      </c>
      <c r="G130" s="73" t="str">
        <f t="shared" si="13"/>
        <v/>
      </c>
      <c r="H130" s="56" t="str">
        <f t="shared" si="14"/>
        <v/>
      </c>
      <c r="I130" s="57" t="str">
        <f t="shared" si="15"/>
        <v/>
      </c>
      <c r="J130" s="58" t="str">
        <f t="shared" si="16"/>
        <v/>
      </c>
      <c r="L130" s="31" t="str">
        <f t="shared" si="17"/>
        <v/>
      </c>
      <c r="M130" s="32" t="str">
        <f t="shared" si="22"/>
        <v/>
      </c>
      <c r="N130" s="32" t="str">
        <f t="shared" si="18"/>
        <v/>
      </c>
      <c r="O130" s="32" t="str">
        <f t="shared" si="19"/>
        <v/>
      </c>
      <c r="P130" s="32" t="str">
        <f t="shared" si="23"/>
        <v/>
      </c>
      <c r="Q130" s="33" t="str">
        <f t="shared" si="23"/>
        <v/>
      </c>
    </row>
    <row r="131" spans="2:17" x14ac:dyDescent="0.25">
      <c r="B131" s="9">
        <v>118</v>
      </c>
      <c r="C131" s="35">
        <v>40000</v>
      </c>
      <c r="D131" s="3"/>
      <c r="E131" s="9" t="str">
        <f t="shared" si="12"/>
        <v/>
      </c>
      <c r="F131" s="54" t="str">
        <f t="shared" si="21"/>
        <v/>
      </c>
      <c r="G131" s="73" t="str">
        <f t="shared" si="13"/>
        <v/>
      </c>
      <c r="H131" s="56" t="str">
        <f t="shared" si="14"/>
        <v/>
      </c>
      <c r="I131" s="57" t="str">
        <f t="shared" si="15"/>
        <v/>
      </c>
      <c r="J131" s="58" t="str">
        <f t="shared" si="16"/>
        <v/>
      </c>
      <c r="L131" s="31" t="str">
        <f t="shared" si="17"/>
        <v/>
      </c>
      <c r="M131" s="32" t="str">
        <f t="shared" si="22"/>
        <v/>
      </c>
      <c r="N131" s="32" t="str">
        <f t="shared" si="18"/>
        <v/>
      </c>
      <c r="O131" s="32" t="str">
        <f t="shared" si="19"/>
        <v/>
      </c>
      <c r="P131" s="32" t="str">
        <f t="shared" si="23"/>
        <v/>
      </c>
      <c r="Q131" s="33" t="str">
        <f t="shared" si="23"/>
        <v/>
      </c>
    </row>
    <row r="132" spans="2:17" x14ac:dyDescent="0.25">
      <c r="B132" s="9">
        <v>119</v>
      </c>
      <c r="C132" s="35">
        <v>40500</v>
      </c>
      <c r="D132" s="3"/>
      <c r="E132" s="9" t="str">
        <f t="shared" si="12"/>
        <v/>
      </c>
      <c r="F132" s="54" t="str">
        <f t="shared" si="21"/>
        <v/>
      </c>
      <c r="G132" s="73" t="str">
        <f t="shared" si="13"/>
        <v/>
      </c>
      <c r="H132" s="56" t="str">
        <f t="shared" si="14"/>
        <v/>
      </c>
      <c r="I132" s="57" t="str">
        <f t="shared" si="15"/>
        <v/>
      </c>
      <c r="J132" s="58" t="str">
        <f t="shared" si="16"/>
        <v/>
      </c>
      <c r="L132" s="31" t="str">
        <f t="shared" si="17"/>
        <v/>
      </c>
      <c r="M132" s="32" t="str">
        <f t="shared" si="22"/>
        <v/>
      </c>
      <c r="N132" s="32" t="str">
        <f t="shared" si="18"/>
        <v/>
      </c>
      <c r="O132" s="32" t="str">
        <f t="shared" si="19"/>
        <v/>
      </c>
      <c r="P132" s="32" t="str">
        <f t="shared" si="23"/>
        <v/>
      </c>
      <c r="Q132" s="33" t="str">
        <f t="shared" si="23"/>
        <v/>
      </c>
    </row>
    <row r="133" spans="2:17" x14ac:dyDescent="0.25">
      <c r="B133" s="9">
        <v>120</v>
      </c>
      <c r="C133" s="35">
        <v>41000</v>
      </c>
      <c r="D133" s="3"/>
      <c r="E133" s="9" t="str">
        <f t="shared" si="12"/>
        <v/>
      </c>
      <c r="F133" s="54" t="str">
        <f t="shared" si="21"/>
        <v/>
      </c>
      <c r="G133" s="73" t="str">
        <f t="shared" si="13"/>
        <v/>
      </c>
      <c r="H133" s="56" t="str">
        <f t="shared" si="14"/>
        <v/>
      </c>
      <c r="I133" s="57" t="str">
        <f t="shared" si="15"/>
        <v/>
      </c>
      <c r="J133" s="58" t="str">
        <f t="shared" si="16"/>
        <v/>
      </c>
      <c r="L133" s="31" t="str">
        <f t="shared" si="17"/>
        <v/>
      </c>
      <c r="M133" s="32" t="str">
        <f t="shared" si="22"/>
        <v/>
      </c>
      <c r="N133" s="32" t="str">
        <f t="shared" si="18"/>
        <v/>
      </c>
      <c r="O133" s="32" t="str">
        <f t="shared" si="19"/>
        <v/>
      </c>
      <c r="P133" s="32" t="str">
        <f t="shared" si="23"/>
        <v/>
      </c>
      <c r="Q133" s="33" t="str">
        <f t="shared" si="23"/>
        <v/>
      </c>
    </row>
    <row r="134" spans="2:17" x14ac:dyDescent="0.25">
      <c r="B134" s="9">
        <v>121</v>
      </c>
      <c r="C134" s="35">
        <v>41500</v>
      </c>
      <c r="D134" s="3"/>
      <c r="E134" s="9" t="str">
        <f t="shared" si="12"/>
        <v/>
      </c>
      <c r="F134" s="54" t="str">
        <f t="shared" si="21"/>
        <v/>
      </c>
      <c r="G134" s="73" t="str">
        <f t="shared" si="13"/>
        <v/>
      </c>
      <c r="H134" s="56" t="str">
        <f t="shared" si="14"/>
        <v/>
      </c>
      <c r="I134" s="57" t="str">
        <f t="shared" si="15"/>
        <v/>
      </c>
      <c r="J134" s="58" t="str">
        <f t="shared" si="16"/>
        <v/>
      </c>
      <c r="L134" s="31" t="str">
        <f t="shared" si="17"/>
        <v/>
      </c>
      <c r="M134" s="32" t="str">
        <f t="shared" si="22"/>
        <v/>
      </c>
      <c r="N134" s="32" t="str">
        <f t="shared" si="18"/>
        <v/>
      </c>
      <c r="O134" s="32" t="str">
        <f t="shared" si="19"/>
        <v/>
      </c>
      <c r="P134" s="32" t="str">
        <f t="shared" si="23"/>
        <v/>
      </c>
      <c r="Q134" s="33" t="str">
        <f t="shared" si="23"/>
        <v/>
      </c>
    </row>
    <row r="135" spans="2:17" x14ac:dyDescent="0.25">
      <c r="B135" s="9">
        <v>122</v>
      </c>
      <c r="C135" s="35">
        <v>42000</v>
      </c>
      <c r="D135" s="3"/>
      <c r="E135" s="9" t="str">
        <f t="shared" si="12"/>
        <v/>
      </c>
      <c r="F135" s="54" t="str">
        <f t="shared" si="21"/>
        <v/>
      </c>
      <c r="G135" s="73" t="str">
        <f t="shared" si="13"/>
        <v/>
      </c>
      <c r="H135" s="56" t="str">
        <f t="shared" si="14"/>
        <v/>
      </c>
      <c r="I135" s="57" t="str">
        <f t="shared" si="15"/>
        <v/>
      </c>
      <c r="J135" s="58" t="str">
        <f t="shared" si="16"/>
        <v/>
      </c>
      <c r="L135" s="31" t="str">
        <f t="shared" si="17"/>
        <v/>
      </c>
      <c r="M135" s="32" t="str">
        <f t="shared" si="22"/>
        <v/>
      </c>
      <c r="N135" s="32" t="str">
        <f t="shared" si="18"/>
        <v/>
      </c>
      <c r="O135" s="32" t="str">
        <f t="shared" si="19"/>
        <v/>
      </c>
      <c r="P135" s="32" t="str">
        <f t="shared" si="23"/>
        <v/>
      </c>
      <c r="Q135" s="33" t="str">
        <f t="shared" si="23"/>
        <v/>
      </c>
    </row>
    <row r="136" spans="2:17" x14ac:dyDescent="0.25">
      <c r="B136" s="9">
        <v>123</v>
      </c>
      <c r="C136" s="35">
        <v>42500</v>
      </c>
      <c r="D136" s="3"/>
      <c r="E136" s="9" t="str">
        <f t="shared" si="12"/>
        <v/>
      </c>
      <c r="F136" s="54" t="str">
        <f t="shared" si="21"/>
        <v/>
      </c>
      <c r="G136" s="73" t="str">
        <f t="shared" si="13"/>
        <v/>
      </c>
      <c r="H136" s="56" t="str">
        <f t="shared" si="14"/>
        <v/>
      </c>
      <c r="I136" s="57" t="str">
        <f t="shared" si="15"/>
        <v/>
      </c>
      <c r="J136" s="58" t="str">
        <f t="shared" si="16"/>
        <v/>
      </c>
      <c r="L136" s="31" t="str">
        <f t="shared" si="17"/>
        <v/>
      </c>
      <c r="M136" s="32" t="str">
        <f t="shared" si="22"/>
        <v/>
      </c>
      <c r="N136" s="32" t="str">
        <f t="shared" si="18"/>
        <v/>
      </c>
      <c r="O136" s="32" t="str">
        <f t="shared" si="19"/>
        <v/>
      </c>
      <c r="P136" s="32" t="str">
        <f t="shared" si="23"/>
        <v/>
      </c>
      <c r="Q136" s="33" t="str">
        <f t="shared" si="23"/>
        <v/>
      </c>
    </row>
    <row r="137" spans="2:17" x14ac:dyDescent="0.25">
      <c r="B137" s="9">
        <v>124</v>
      </c>
      <c r="C137" s="35">
        <v>43000</v>
      </c>
      <c r="D137" s="3"/>
      <c r="E137" s="9" t="str">
        <f t="shared" si="12"/>
        <v/>
      </c>
      <c r="F137" s="54" t="str">
        <f t="shared" si="21"/>
        <v/>
      </c>
      <c r="G137" s="73" t="str">
        <f t="shared" si="13"/>
        <v/>
      </c>
      <c r="H137" s="56" t="str">
        <f t="shared" si="14"/>
        <v/>
      </c>
      <c r="I137" s="57" t="str">
        <f t="shared" si="15"/>
        <v/>
      </c>
      <c r="J137" s="58" t="str">
        <f t="shared" si="16"/>
        <v/>
      </c>
      <c r="L137" s="31" t="str">
        <f t="shared" si="17"/>
        <v/>
      </c>
      <c r="M137" s="32" t="str">
        <f t="shared" si="22"/>
        <v/>
      </c>
      <c r="N137" s="32" t="str">
        <f t="shared" si="18"/>
        <v/>
      </c>
      <c r="O137" s="32" t="str">
        <f t="shared" si="19"/>
        <v/>
      </c>
      <c r="P137" s="32" t="str">
        <f t="shared" si="23"/>
        <v/>
      </c>
      <c r="Q137" s="33" t="str">
        <f t="shared" si="23"/>
        <v/>
      </c>
    </row>
    <row r="138" spans="2:17" x14ac:dyDescent="0.25">
      <c r="B138" s="9">
        <v>125</v>
      </c>
      <c r="C138" s="35">
        <v>43500</v>
      </c>
      <c r="D138" s="3"/>
      <c r="E138" s="9" t="str">
        <f t="shared" si="12"/>
        <v/>
      </c>
      <c r="F138" s="54" t="str">
        <f t="shared" si="21"/>
        <v/>
      </c>
      <c r="G138" s="73" t="str">
        <f t="shared" si="13"/>
        <v/>
      </c>
      <c r="H138" s="56" t="str">
        <f t="shared" si="14"/>
        <v/>
      </c>
      <c r="I138" s="57" t="str">
        <f t="shared" si="15"/>
        <v/>
      </c>
      <c r="J138" s="58" t="str">
        <f t="shared" si="16"/>
        <v/>
      </c>
      <c r="L138" s="31" t="str">
        <f t="shared" si="17"/>
        <v/>
      </c>
      <c r="M138" s="32" t="str">
        <f t="shared" si="22"/>
        <v/>
      </c>
      <c r="N138" s="32" t="str">
        <f t="shared" si="18"/>
        <v/>
      </c>
      <c r="O138" s="32" t="str">
        <f t="shared" si="19"/>
        <v/>
      </c>
      <c r="P138" s="32" t="str">
        <f t="shared" si="23"/>
        <v/>
      </c>
      <c r="Q138" s="33" t="str">
        <f t="shared" si="23"/>
        <v/>
      </c>
    </row>
    <row r="139" spans="2:17" x14ac:dyDescent="0.25">
      <c r="B139" s="9">
        <v>126</v>
      </c>
      <c r="C139" s="35">
        <v>44000</v>
      </c>
      <c r="D139" s="3"/>
      <c r="E139" s="9" t="str">
        <f t="shared" si="12"/>
        <v/>
      </c>
      <c r="F139" s="54" t="str">
        <f t="shared" si="21"/>
        <v/>
      </c>
      <c r="G139" s="73" t="str">
        <f t="shared" si="13"/>
        <v/>
      </c>
      <c r="H139" s="56" t="str">
        <f t="shared" si="14"/>
        <v/>
      </c>
      <c r="I139" s="57" t="str">
        <f t="shared" si="15"/>
        <v/>
      </c>
      <c r="J139" s="58" t="str">
        <f t="shared" si="16"/>
        <v/>
      </c>
      <c r="L139" s="31" t="str">
        <f t="shared" si="17"/>
        <v/>
      </c>
      <c r="M139" s="32" t="str">
        <f t="shared" si="22"/>
        <v/>
      </c>
      <c r="N139" s="32" t="str">
        <f t="shared" si="18"/>
        <v/>
      </c>
      <c r="O139" s="32" t="str">
        <f t="shared" si="19"/>
        <v/>
      </c>
      <c r="P139" s="32" t="str">
        <f t="shared" si="23"/>
        <v/>
      </c>
      <c r="Q139" s="33" t="str">
        <f t="shared" si="23"/>
        <v/>
      </c>
    </row>
    <row r="140" spans="2:17" x14ac:dyDescent="0.25">
      <c r="B140" s="9">
        <v>127</v>
      </c>
      <c r="C140" s="35">
        <v>44500</v>
      </c>
      <c r="D140" s="3"/>
      <c r="E140" s="9" t="str">
        <f t="shared" si="12"/>
        <v/>
      </c>
      <c r="F140" s="54" t="str">
        <f t="shared" si="21"/>
        <v/>
      </c>
      <c r="G140" s="73" t="str">
        <f t="shared" si="13"/>
        <v/>
      </c>
      <c r="H140" s="56" t="str">
        <f t="shared" si="14"/>
        <v/>
      </c>
      <c r="I140" s="57" t="str">
        <f t="shared" si="15"/>
        <v/>
      </c>
      <c r="J140" s="58" t="str">
        <f t="shared" si="16"/>
        <v/>
      </c>
      <c r="L140" s="31" t="str">
        <f t="shared" si="17"/>
        <v/>
      </c>
      <c r="M140" s="32" t="str">
        <f t="shared" si="22"/>
        <v/>
      </c>
      <c r="N140" s="32" t="str">
        <f t="shared" si="18"/>
        <v/>
      </c>
      <c r="O140" s="32" t="str">
        <f t="shared" si="19"/>
        <v/>
      </c>
      <c r="P140" s="32" t="str">
        <f t="shared" si="23"/>
        <v/>
      </c>
      <c r="Q140" s="33" t="str">
        <f t="shared" si="23"/>
        <v/>
      </c>
    </row>
    <row r="141" spans="2:17" x14ac:dyDescent="0.25">
      <c r="B141" s="9">
        <v>128</v>
      </c>
      <c r="C141" s="35">
        <v>45000</v>
      </c>
      <c r="D141" s="3"/>
      <c r="E141" s="9" t="str">
        <f t="shared" si="12"/>
        <v/>
      </c>
      <c r="F141" s="54" t="str">
        <f t="shared" si="21"/>
        <v/>
      </c>
      <c r="G141" s="73" t="str">
        <f t="shared" si="13"/>
        <v/>
      </c>
      <c r="H141" s="56" t="str">
        <f t="shared" si="14"/>
        <v/>
      </c>
      <c r="I141" s="57" t="str">
        <f t="shared" si="15"/>
        <v/>
      </c>
      <c r="J141" s="58" t="str">
        <f t="shared" si="16"/>
        <v/>
      </c>
      <c r="L141" s="31" t="str">
        <f t="shared" si="17"/>
        <v/>
      </c>
      <c r="M141" s="32" t="str">
        <f t="shared" si="22"/>
        <v/>
      </c>
      <c r="N141" s="32" t="str">
        <f t="shared" si="18"/>
        <v/>
      </c>
      <c r="O141" s="32" t="str">
        <f t="shared" si="19"/>
        <v/>
      </c>
      <c r="P141" s="32" t="str">
        <f t="shared" si="23"/>
        <v/>
      </c>
      <c r="Q141" s="33" t="str">
        <f t="shared" si="23"/>
        <v/>
      </c>
    </row>
    <row r="142" spans="2:17" x14ac:dyDescent="0.25">
      <c r="B142" s="9">
        <v>129</v>
      </c>
      <c r="C142" s="35">
        <v>45500</v>
      </c>
      <c r="D142" s="3"/>
      <c r="E142" s="9" t="str">
        <f t="shared" ref="E142:E203" si="24">IF(L142="","",ROUND(12*C$7/(2*H$7^2+2*H$6*H$7-H$6^2)*L142*1000000,0))</f>
        <v/>
      </c>
      <c r="F142" s="54" t="str">
        <f t="shared" si="21"/>
        <v/>
      </c>
      <c r="G142" s="73" t="str">
        <f t="shared" ref="G142:G203" si="25">IF(L142="","",ROUND(1.5*((N142-O142)*1000*H$7)/(C$6*C$7^2),3))</f>
        <v/>
      </c>
      <c r="H142" s="56" t="str">
        <f t="shared" ref="H142:H203" si="26">IF(L142="","",ROUND(1.5*((N142/2-O142)*1000*H$7)/(C$6*C$7^2),3))</f>
        <v/>
      </c>
      <c r="I142" s="57" t="str">
        <f t="shared" ref="I142:I203" si="27">IF(L142="","",IF(P142&lt;=0,"foute meting",ROUND(0.000001*V$4*SQRT((1000000*Q142)^2+(1000000*P142+V$5*(2*PI()*H$5)^2)^2),0)))</f>
        <v/>
      </c>
      <c r="J142" s="58" t="str">
        <f t="shared" ref="J142:J203" si="28">IF(L142="","",ROUND(ATAN(Q142/P142)/PI()*180,1))</f>
        <v/>
      </c>
      <c r="L142" s="31" t="str">
        <f t="shared" ref="L142:L203" si="29">IF(AG144&lt;=0,"",AG144)</f>
        <v/>
      </c>
      <c r="M142" s="32" t="str">
        <f t="shared" si="22"/>
        <v/>
      </c>
      <c r="N142" s="32" t="str">
        <f t="shared" ref="N142:N203" si="30">IF(AI144="","",AI144)</f>
        <v/>
      </c>
      <c r="O142" s="32" t="str">
        <f t="shared" ref="O142:O203" si="31">IF(AH144="","",AH144)</f>
        <v/>
      </c>
      <c r="P142" s="32" t="str">
        <f t="shared" ref="P142:Q173" si="32">IF(AJ144="","",AJ144)</f>
        <v/>
      </c>
      <c r="Q142" s="33" t="str">
        <f t="shared" si="32"/>
        <v/>
      </c>
    </row>
    <row r="143" spans="2:17" x14ac:dyDescent="0.25">
      <c r="B143" s="9">
        <v>130</v>
      </c>
      <c r="C143" s="35">
        <v>46000</v>
      </c>
      <c r="D143" s="3"/>
      <c r="E143" s="9" t="str">
        <f t="shared" si="24"/>
        <v/>
      </c>
      <c r="F143" s="54" t="str">
        <f t="shared" ref="F143:F203" si="33">IF(L143="","",ABS(ROUND(12*C$7/(2*(H$7/1000)^2+2*(H$6/1000)*(H$7/1000)-(H$6/1000)^2)*(M143-M$14)*1,0)))</f>
        <v/>
      </c>
      <c r="G143" s="73" t="str">
        <f t="shared" si="25"/>
        <v/>
      </c>
      <c r="H143" s="56" t="str">
        <f t="shared" si="26"/>
        <v/>
      </c>
      <c r="I143" s="57" t="str">
        <f t="shared" si="27"/>
        <v/>
      </c>
      <c r="J143" s="58" t="str">
        <f t="shared" si="28"/>
        <v/>
      </c>
      <c r="L143" s="31" t="str">
        <f t="shared" si="29"/>
        <v/>
      </c>
      <c r="M143" s="32" t="str">
        <f t="shared" ref="M143:M203" si="34">IF(AG145="","",AG145/2-AE145)</f>
        <v/>
      </c>
      <c r="N143" s="32" t="str">
        <f t="shared" si="30"/>
        <v/>
      </c>
      <c r="O143" s="32" t="str">
        <f t="shared" si="31"/>
        <v/>
      </c>
      <c r="P143" s="32" t="str">
        <f t="shared" si="32"/>
        <v/>
      </c>
      <c r="Q143" s="33" t="str">
        <f t="shared" si="32"/>
        <v/>
      </c>
    </row>
    <row r="144" spans="2:17" x14ac:dyDescent="0.25">
      <c r="B144" s="9">
        <v>131</v>
      </c>
      <c r="C144" s="35">
        <v>46500</v>
      </c>
      <c r="D144" s="3"/>
      <c r="E144" s="9" t="str">
        <f t="shared" si="24"/>
        <v/>
      </c>
      <c r="F144" s="54" t="str">
        <f t="shared" si="33"/>
        <v/>
      </c>
      <c r="G144" s="73" t="str">
        <f t="shared" si="25"/>
        <v/>
      </c>
      <c r="H144" s="56" t="str">
        <f t="shared" si="26"/>
        <v/>
      </c>
      <c r="I144" s="57" t="str">
        <f t="shared" si="27"/>
        <v/>
      </c>
      <c r="J144" s="58" t="str">
        <f t="shared" si="28"/>
        <v/>
      </c>
      <c r="L144" s="31" t="str">
        <f t="shared" si="29"/>
        <v/>
      </c>
      <c r="M144" s="32" t="str">
        <f t="shared" si="34"/>
        <v/>
      </c>
      <c r="N144" s="32" t="str">
        <f t="shared" si="30"/>
        <v/>
      </c>
      <c r="O144" s="32" t="str">
        <f t="shared" si="31"/>
        <v/>
      </c>
      <c r="P144" s="32" t="str">
        <f t="shared" si="32"/>
        <v/>
      </c>
      <c r="Q144" s="33" t="str">
        <f t="shared" si="32"/>
        <v/>
      </c>
    </row>
    <row r="145" spans="2:17" x14ac:dyDescent="0.25">
      <c r="B145" s="9">
        <v>132</v>
      </c>
      <c r="C145" s="35">
        <v>47000</v>
      </c>
      <c r="D145" s="3"/>
      <c r="E145" s="9" t="str">
        <f t="shared" si="24"/>
        <v/>
      </c>
      <c r="F145" s="54" t="str">
        <f t="shared" si="33"/>
        <v/>
      </c>
      <c r="G145" s="73" t="str">
        <f t="shared" si="25"/>
        <v/>
      </c>
      <c r="H145" s="56" t="str">
        <f t="shared" si="26"/>
        <v/>
      </c>
      <c r="I145" s="57" t="str">
        <f t="shared" si="27"/>
        <v/>
      </c>
      <c r="J145" s="58" t="str">
        <f t="shared" si="28"/>
        <v/>
      </c>
      <c r="L145" s="31" t="str">
        <f t="shared" si="29"/>
        <v/>
      </c>
      <c r="M145" s="32" t="str">
        <f t="shared" si="34"/>
        <v/>
      </c>
      <c r="N145" s="32" t="str">
        <f t="shared" si="30"/>
        <v/>
      </c>
      <c r="O145" s="32" t="str">
        <f t="shared" si="31"/>
        <v/>
      </c>
      <c r="P145" s="32" t="str">
        <f t="shared" si="32"/>
        <v/>
      </c>
      <c r="Q145" s="33" t="str">
        <f t="shared" si="32"/>
        <v/>
      </c>
    </row>
    <row r="146" spans="2:17" x14ac:dyDescent="0.25">
      <c r="B146" s="9">
        <v>133</v>
      </c>
      <c r="C146" s="35">
        <v>47500</v>
      </c>
      <c r="D146" s="3"/>
      <c r="E146" s="9" t="str">
        <f t="shared" si="24"/>
        <v/>
      </c>
      <c r="F146" s="54" t="str">
        <f t="shared" si="33"/>
        <v/>
      </c>
      <c r="G146" s="73" t="str">
        <f t="shared" si="25"/>
        <v/>
      </c>
      <c r="H146" s="56" t="str">
        <f t="shared" si="26"/>
        <v/>
      </c>
      <c r="I146" s="57" t="str">
        <f t="shared" si="27"/>
        <v/>
      </c>
      <c r="J146" s="58" t="str">
        <f t="shared" si="28"/>
        <v/>
      </c>
      <c r="L146" s="31" t="str">
        <f t="shared" si="29"/>
        <v/>
      </c>
      <c r="M146" s="32" t="str">
        <f t="shared" si="34"/>
        <v/>
      </c>
      <c r="N146" s="32" t="str">
        <f t="shared" si="30"/>
        <v/>
      </c>
      <c r="O146" s="32" t="str">
        <f t="shared" si="31"/>
        <v/>
      </c>
      <c r="P146" s="32" t="str">
        <f t="shared" si="32"/>
        <v/>
      </c>
      <c r="Q146" s="33" t="str">
        <f t="shared" si="32"/>
        <v/>
      </c>
    </row>
    <row r="147" spans="2:17" x14ac:dyDescent="0.25">
      <c r="B147" s="9">
        <v>134</v>
      </c>
      <c r="C147" s="35">
        <v>48000</v>
      </c>
      <c r="D147" s="3"/>
      <c r="E147" s="9" t="str">
        <f t="shared" si="24"/>
        <v/>
      </c>
      <c r="F147" s="54" t="str">
        <f t="shared" si="33"/>
        <v/>
      </c>
      <c r="G147" s="73" t="str">
        <f t="shared" si="25"/>
        <v/>
      </c>
      <c r="H147" s="56" t="str">
        <f t="shared" si="26"/>
        <v/>
      </c>
      <c r="I147" s="57" t="str">
        <f t="shared" si="27"/>
        <v/>
      </c>
      <c r="J147" s="58" t="str">
        <f t="shared" si="28"/>
        <v/>
      </c>
      <c r="L147" s="31" t="str">
        <f t="shared" si="29"/>
        <v/>
      </c>
      <c r="M147" s="32" t="str">
        <f t="shared" si="34"/>
        <v/>
      </c>
      <c r="N147" s="32" t="str">
        <f t="shared" si="30"/>
        <v/>
      </c>
      <c r="O147" s="32" t="str">
        <f t="shared" si="31"/>
        <v/>
      </c>
      <c r="P147" s="32" t="str">
        <f t="shared" si="32"/>
        <v/>
      </c>
      <c r="Q147" s="33" t="str">
        <f t="shared" si="32"/>
        <v/>
      </c>
    </row>
    <row r="148" spans="2:17" x14ac:dyDescent="0.25">
      <c r="B148" s="9">
        <v>135</v>
      </c>
      <c r="C148" s="35">
        <v>48500</v>
      </c>
      <c r="D148" s="3"/>
      <c r="E148" s="9" t="str">
        <f t="shared" si="24"/>
        <v/>
      </c>
      <c r="F148" s="54" t="str">
        <f t="shared" si="33"/>
        <v/>
      </c>
      <c r="G148" s="73" t="str">
        <f t="shared" si="25"/>
        <v/>
      </c>
      <c r="H148" s="56" t="str">
        <f t="shared" si="26"/>
        <v/>
      </c>
      <c r="I148" s="57" t="str">
        <f t="shared" si="27"/>
        <v/>
      </c>
      <c r="J148" s="58" t="str">
        <f t="shared" si="28"/>
        <v/>
      </c>
      <c r="L148" s="31" t="str">
        <f t="shared" si="29"/>
        <v/>
      </c>
      <c r="M148" s="32" t="str">
        <f t="shared" si="34"/>
        <v/>
      </c>
      <c r="N148" s="32" t="str">
        <f t="shared" si="30"/>
        <v/>
      </c>
      <c r="O148" s="32" t="str">
        <f t="shared" si="31"/>
        <v/>
      </c>
      <c r="P148" s="32" t="str">
        <f t="shared" si="32"/>
        <v/>
      </c>
      <c r="Q148" s="33" t="str">
        <f t="shared" si="32"/>
        <v/>
      </c>
    </row>
    <row r="149" spans="2:17" x14ac:dyDescent="0.25">
      <c r="B149" s="9">
        <v>136</v>
      </c>
      <c r="C149" s="35">
        <v>49000</v>
      </c>
      <c r="D149" s="3"/>
      <c r="E149" s="9" t="str">
        <f t="shared" si="24"/>
        <v/>
      </c>
      <c r="F149" s="54" t="str">
        <f t="shared" si="33"/>
        <v/>
      </c>
      <c r="G149" s="73" t="str">
        <f t="shared" si="25"/>
        <v/>
      </c>
      <c r="H149" s="56" t="str">
        <f t="shared" si="26"/>
        <v/>
      </c>
      <c r="I149" s="57" t="str">
        <f t="shared" si="27"/>
        <v/>
      </c>
      <c r="J149" s="58" t="str">
        <f t="shared" si="28"/>
        <v/>
      </c>
      <c r="L149" s="31" t="str">
        <f t="shared" si="29"/>
        <v/>
      </c>
      <c r="M149" s="32" t="str">
        <f t="shared" si="34"/>
        <v/>
      </c>
      <c r="N149" s="32" t="str">
        <f t="shared" si="30"/>
        <v/>
      </c>
      <c r="O149" s="32" t="str">
        <f t="shared" si="31"/>
        <v/>
      </c>
      <c r="P149" s="32" t="str">
        <f t="shared" si="32"/>
        <v/>
      </c>
      <c r="Q149" s="33" t="str">
        <f t="shared" si="32"/>
        <v/>
      </c>
    </row>
    <row r="150" spans="2:17" x14ac:dyDescent="0.25">
      <c r="B150" s="9">
        <v>137</v>
      </c>
      <c r="C150" s="35">
        <v>49500</v>
      </c>
      <c r="D150" s="3"/>
      <c r="E150" s="9" t="str">
        <f t="shared" si="24"/>
        <v/>
      </c>
      <c r="F150" s="54" t="str">
        <f t="shared" si="33"/>
        <v/>
      </c>
      <c r="G150" s="73" t="str">
        <f t="shared" si="25"/>
        <v/>
      </c>
      <c r="H150" s="56" t="str">
        <f t="shared" si="26"/>
        <v/>
      </c>
      <c r="I150" s="57" t="str">
        <f t="shared" si="27"/>
        <v/>
      </c>
      <c r="J150" s="58" t="str">
        <f t="shared" si="28"/>
        <v/>
      </c>
      <c r="L150" s="31" t="str">
        <f t="shared" si="29"/>
        <v/>
      </c>
      <c r="M150" s="32" t="str">
        <f t="shared" si="34"/>
        <v/>
      </c>
      <c r="N150" s="32" t="str">
        <f t="shared" si="30"/>
        <v/>
      </c>
      <c r="O150" s="32" t="str">
        <f t="shared" si="31"/>
        <v/>
      </c>
      <c r="P150" s="32" t="str">
        <f t="shared" si="32"/>
        <v/>
      </c>
      <c r="Q150" s="33" t="str">
        <f t="shared" si="32"/>
        <v/>
      </c>
    </row>
    <row r="151" spans="2:17" x14ac:dyDescent="0.25">
      <c r="B151" s="9">
        <v>138</v>
      </c>
      <c r="C151" s="35">
        <v>50000</v>
      </c>
      <c r="D151" s="3"/>
      <c r="E151" s="9" t="str">
        <f t="shared" si="24"/>
        <v/>
      </c>
      <c r="F151" s="54" t="str">
        <f t="shared" si="33"/>
        <v/>
      </c>
      <c r="G151" s="73" t="str">
        <f t="shared" si="25"/>
        <v/>
      </c>
      <c r="H151" s="56" t="str">
        <f t="shared" si="26"/>
        <v/>
      </c>
      <c r="I151" s="57" t="str">
        <f t="shared" si="27"/>
        <v/>
      </c>
      <c r="J151" s="58" t="str">
        <f t="shared" si="28"/>
        <v/>
      </c>
      <c r="L151" s="31" t="str">
        <f t="shared" si="29"/>
        <v/>
      </c>
      <c r="M151" s="32" t="str">
        <f t="shared" si="34"/>
        <v/>
      </c>
      <c r="N151" s="32" t="str">
        <f t="shared" si="30"/>
        <v/>
      </c>
      <c r="O151" s="32" t="str">
        <f t="shared" si="31"/>
        <v/>
      </c>
      <c r="P151" s="32" t="str">
        <f t="shared" si="32"/>
        <v/>
      </c>
      <c r="Q151" s="33" t="str">
        <f t="shared" si="32"/>
        <v/>
      </c>
    </row>
    <row r="152" spans="2:17" x14ac:dyDescent="0.25">
      <c r="B152" s="9">
        <v>139</v>
      </c>
      <c r="C152" s="35">
        <v>51000</v>
      </c>
      <c r="D152" s="3"/>
      <c r="E152" s="9" t="str">
        <f t="shared" si="24"/>
        <v/>
      </c>
      <c r="F152" s="54" t="str">
        <f t="shared" si="33"/>
        <v/>
      </c>
      <c r="G152" s="73" t="str">
        <f t="shared" si="25"/>
        <v/>
      </c>
      <c r="H152" s="56" t="str">
        <f t="shared" si="26"/>
        <v/>
      </c>
      <c r="I152" s="57" t="str">
        <f t="shared" si="27"/>
        <v/>
      </c>
      <c r="J152" s="58" t="str">
        <f t="shared" si="28"/>
        <v/>
      </c>
      <c r="L152" s="31" t="str">
        <f t="shared" si="29"/>
        <v/>
      </c>
      <c r="M152" s="32" t="str">
        <f t="shared" si="34"/>
        <v/>
      </c>
      <c r="N152" s="32" t="str">
        <f t="shared" si="30"/>
        <v/>
      </c>
      <c r="O152" s="32" t="str">
        <f t="shared" si="31"/>
        <v/>
      </c>
      <c r="P152" s="32" t="str">
        <f t="shared" si="32"/>
        <v/>
      </c>
      <c r="Q152" s="33" t="str">
        <f t="shared" si="32"/>
        <v/>
      </c>
    </row>
    <row r="153" spans="2:17" x14ac:dyDescent="0.25">
      <c r="B153" s="9">
        <v>140</v>
      </c>
      <c r="C153" s="35">
        <v>52000</v>
      </c>
      <c r="D153" s="3"/>
      <c r="E153" s="9" t="str">
        <f t="shared" si="24"/>
        <v/>
      </c>
      <c r="F153" s="54" t="str">
        <f t="shared" si="33"/>
        <v/>
      </c>
      <c r="G153" s="73" t="str">
        <f t="shared" si="25"/>
        <v/>
      </c>
      <c r="H153" s="56" t="str">
        <f t="shared" si="26"/>
        <v/>
      </c>
      <c r="I153" s="57" t="str">
        <f t="shared" si="27"/>
        <v/>
      </c>
      <c r="J153" s="58" t="str">
        <f t="shared" si="28"/>
        <v/>
      </c>
      <c r="L153" s="31" t="str">
        <f t="shared" si="29"/>
        <v/>
      </c>
      <c r="M153" s="32" t="str">
        <f t="shared" si="34"/>
        <v/>
      </c>
      <c r="N153" s="32" t="str">
        <f t="shared" si="30"/>
        <v/>
      </c>
      <c r="O153" s="32" t="str">
        <f t="shared" si="31"/>
        <v/>
      </c>
      <c r="P153" s="32" t="str">
        <f t="shared" si="32"/>
        <v/>
      </c>
      <c r="Q153" s="33" t="str">
        <f t="shared" si="32"/>
        <v/>
      </c>
    </row>
    <row r="154" spans="2:17" x14ac:dyDescent="0.25">
      <c r="B154" s="9">
        <v>141</v>
      </c>
      <c r="C154" s="35">
        <v>53000</v>
      </c>
      <c r="D154" s="3"/>
      <c r="E154" s="9" t="str">
        <f t="shared" si="24"/>
        <v/>
      </c>
      <c r="F154" s="54" t="str">
        <f t="shared" si="33"/>
        <v/>
      </c>
      <c r="G154" s="73" t="str">
        <f t="shared" si="25"/>
        <v/>
      </c>
      <c r="H154" s="56" t="str">
        <f t="shared" si="26"/>
        <v/>
      </c>
      <c r="I154" s="57" t="str">
        <f t="shared" si="27"/>
        <v/>
      </c>
      <c r="J154" s="58" t="str">
        <f t="shared" si="28"/>
        <v/>
      </c>
      <c r="L154" s="31" t="str">
        <f t="shared" si="29"/>
        <v/>
      </c>
      <c r="M154" s="32" t="str">
        <f t="shared" si="34"/>
        <v/>
      </c>
      <c r="N154" s="32" t="str">
        <f t="shared" si="30"/>
        <v/>
      </c>
      <c r="O154" s="32" t="str">
        <f t="shared" si="31"/>
        <v/>
      </c>
      <c r="P154" s="32" t="str">
        <f t="shared" si="32"/>
        <v/>
      </c>
      <c r="Q154" s="33" t="str">
        <f t="shared" si="32"/>
        <v/>
      </c>
    </row>
    <row r="155" spans="2:17" x14ac:dyDescent="0.25">
      <c r="B155" s="9">
        <v>142</v>
      </c>
      <c r="C155" s="35">
        <v>54000</v>
      </c>
      <c r="D155" s="3"/>
      <c r="E155" s="9" t="str">
        <f t="shared" si="24"/>
        <v/>
      </c>
      <c r="F155" s="54" t="str">
        <f t="shared" si="33"/>
        <v/>
      </c>
      <c r="G155" s="73" t="str">
        <f t="shared" si="25"/>
        <v/>
      </c>
      <c r="H155" s="56" t="str">
        <f t="shared" si="26"/>
        <v/>
      </c>
      <c r="I155" s="57" t="str">
        <f t="shared" si="27"/>
        <v/>
      </c>
      <c r="J155" s="58" t="str">
        <f t="shared" si="28"/>
        <v/>
      </c>
      <c r="L155" s="31" t="str">
        <f t="shared" si="29"/>
        <v/>
      </c>
      <c r="M155" s="32" t="str">
        <f t="shared" si="34"/>
        <v/>
      </c>
      <c r="N155" s="32" t="str">
        <f t="shared" si="30"/>
        <v/>
      </c>
      <c r="O155" s="32" t="str">
        <f t="shared" si="31"/>
        <v/>
      </c>
      <c r="P155" s="32" t="str">
        <f t="shared" si="32"/>
        <v/>
      </c>
      <c r="Q155" s="33" t="str">
        <f t="shared" si="32"/>
        <v/>
      </c>
    </row>
    <row r="156" spans="2:17" x14ac:dyDescent="0.25">
      <c r="B156" s="9">
        <v>143</v>
      </c>
      <c r="C156" s="35">
        <v>55000</v>
      </c>
      <c r="D156" s="3"/>
      <c r="E156" s="9" t="str">
        <f t="shared" si="24"/>
        <v/>
      </c>
      <c r="F156" s="54" t="str">
        <f t="shared" si="33"/>
        <v/>
      </c>
      <c r="G156" s="73" t="str">
        <f t="shared" si="25"/>
        <v/>
      </c>
      <c r="H156" s="56" t="str">
        <f t="shared" si="26"/>
        <v/>
      </c>
      <c r="I156" s="57" t="str">
        <f t="shared" si="27"/>
        <v/>
      </c>
      <c r="J156" s="58" t="str">
        <f t="shared" si="28"/>
        <v/>
      </c>
      <c r="L156" s="31" t="str">
        <f t="shared" si="29"/>
        <v/>
      </c>
      <c r="M156" s="32" t="str">
        <f t="shared" si="34"/>
        <v/>
      </c>
      <c r="N156" s="32" t="str">
        <f t="shared" si="30"/>
        <v/>
      </c>
      <c r="O156" s="32" t="str">
        <f t="shared" si="31"/>
        <v/>
      </c>
      <c r="P156" s="32" t="str">
        <f t="shared" si="32"/>
        <v/>
      </c>
      <c r="Q156" s="33" t="str">
        <f t="shared" si="32"/>
        <v/>
      </c>
    </row>
    <row r="157" spans="2:17" x14ac:dyDescent="0.25">
      <c r="B157" s="9">
        <v>144</v>
      </c>
      <c r="C157" s="35">
        <v>56000</v>
      </c>
      <c r="D157" s="3"/>
      <c r="E157" s="9" t="str">
        <f t="shared" si="24"/>
        <v/>
      </c>
      <c r="F157" s="54" t="str">
        <f t="shared" si="33"/>
        <v/>
      </c>
      <c r="G157" s="73" t="str">
        <f t="shared" si="25"/>
        <v/>
      </c>
      <c r="H157" s="56" t="str">
        <f t="shared" si="26"/>
        <v/>
      </c>
      <c r="I157" s="57" t="str">
        <f t="shared" si="27"/>
        <v/>
      </c>
      <c r="J157" s="58" t="str">
        <f t="shared" si="28"/>
        <v/>
      </c>
      <c r="L157" s="31" t="str">
        <f t="shared" si="29"/>
        <v/>
      </c>
      <c r="M157" s="32" t="str">
        <f t="shared" si="34"/>
        <v/>
      </c>
      <c r="N157" s="32" t="str">
        <f t="shared" si="30"/>
        <v/>
      </c>
      <c r="O157" s="32" t="str">
        <f t="shared" si="31"/>
        <v/>
      </c>
      <c r="P157" s="32" t="str">
        <f t="shared" si="32"/>
        <v/>
      </c>
      <c r="Q157" s="33" t="str">
        <f t="shared" si="32"/>
        <v/>
      </c>
    </row>
    <row r="158" spans="2:17" x14ac:dyDescent="0.25">
      <c r="B158" s="9">
        <v>145</v>
      </c>
      <c r="C158" s="35">
        <v>57000</v>
      </c>
      <c r="D158" s="3"/>
      <c r="E158" s="9" t="str">
        <f t="shared" si="24"/>
        <v/>
      </c>
      <c r="F158" s="54" t="str">
        <f t="shared" si="33"/>
        <v/>
      </c>
      <c r="G158" s="73" t="str">
        <f t="shared" si="25"/>
        <v/>
      </c>
      <c r="H158" s="56" t="str">
        <f t="shared" si="26"/>
        <v/>
      </c>
      <c r="I158" s="57" t="str">
        <f t="shared" si="27"/>
        <v/>
      </c>
      <c r="J158" s="58" t="str">
        <f t="shared" si="28"/>
        <v/>
      </c>
      <c r="L158" s="31" t="str">
        <f t="shared" si="29"/>
        <v/>
      </c>
      <c r="M158" s="32" t="str">
        <f t="shared" si="34"/>
        <v/>
      </c>
      <c r="N158" s="32" t="str">
        <f t="shared" si="30"/>
        <v/>
      </c>
      <c r="O158" s="32" t="str">
        <f t="shared" si="31"/>
        <v/>
      </c>
      <c r="P158" s="32" t="str">
        <f t="shared" si="32"/>
        <v/>
      </c>
      <c r="Q158" s="33" t="str">
        <f t="shared" si="32"/>
        <v/>
      </c>
    </row>
    <row r="159" spans="2:17" x14ac:dyDescent="0.25">
      <c r="B159" s="9">
        <v>146</v>
      </c>
      <c r="C159" s="35">
        <v>58000</v>
      </c>
      <c r="D159" s="3"/>
      <c r="E159" s="9" t="str">
        <f t="shared" si="24"/>
        <v/>
      </c>
      <c r="F159" s="54" t="str">
        <f t="shared" si="33"/>
        <v/>
      </c>
      <c r="G159" s="73" t="str">
        <f t="shared" si="25"/>
        <v/>
      </c>
      <c r="H159" s="56" t="str">
        <f t="shared" si="26"/>
        <v/>
      </c>
      <c r="I159" s="57" t="str">
        <f t="shared" si="27"/>
        <v/>
      </c>
      <c r="J159" s="58" t="str">
        <f t="shared" si="28"/>
        <v/>
      </c>
      <c r="L159" s="31" t="str">
        <f t="shared" si="29"/>
        <v/>
      </c>
      <c r="M159" s="32" t="str">
        <f t="shared" si="34"/>
        <v/>
      </c>
      <c r="N159" s="32" t="str">
        <f t="shared" si="30"/>
        <v/>
      </c>
      <c r="O159" s="32" t="str">
        <f t="shared" si="31"/>
        <v/>
      </c>
      <c r="P159" s="32" t="str">
        <f t="shared" si="32"/>
        <v/>
      </c>
      <c r="Q159" s="33" t="str">
        <f t="shared" si="32"/>
        <v/>
      </c>
    </row>
    <row r="160" spans="2:17" x14ac:dyDescent="0.25">
      <c r="B160" s="9">
        <v>147</v>
      </c>
      <c r="C160" s="35">
        <v>59000</v>
      </c>
      <c r="D160" s="3"/>
      <c r="E160" s="9" t="str">
        <f t="shared" si="24"/>
        <v/>
      </c>
      <c r="F160" s="54" t="str">
        <f t="shared" si="33"/>
        <v/>
      </c>
      <c r="G160" s="73" t="str">
        <f t="shared" si="25"/>
        <v/>
      </c>
      <c r="H160" s="56" t="str">
        <f t="shared" si="26"/>
        <v/>
      </c>
      <c r="I160" s="57" t="str">
        <f t="shared" si="27"/>
        <v/>
      </c>
      <c r="J160" s="58" t="str">
        <f t="shared" si="28"/>
        <v/>
      </c>
      <c r="L160" s="31" t="str">
        <f t="shared" si="29"/>
        <v/>
      </c>
      <c r="M160" s="32" t="str">
        <f t="shared" si="34"/>
        <v/>
      </c>
      <c r="N160" s="32" t="str">
        <f t="shared" si="30"/>
        <v/>
      </c>
      <c r="O160" s="32" t="str">
        <f t="shared" si="31"/>
        <v/>
      </c>
      <c r="P160" s="32" t="str">
        <f t="shared" si="32"/>
        <v/>
      </c>
      <c r="Q160" s="33" t="str">
        <f t="shared" si="32"/>
        <v/>
      </c>
    </row>
    <row r="161" spans="2:17" x14ac:dyDescent="0.25">
      <c r="B161" s="9">
        <v>148</v>
      </c>
      <c r="C161" s="35">
        <v>60000</v>
      </c>
      <c r="D161" s="3"/>
      <c r="E161" s="9" t="str">
        <f t="shared" si="24"/>
        <v/>
      </c>
      <c r="F161" s="54" t="str">
        <f t="shared" si="33"/>
        <v/>
      </c>
      <c r="G161" s="73" t="str">
        <f t="shared" si="25"/>
        <v/>
      </c>
      <c r="H161" s="56" t="str">
        <f t="shared" si="26"/>
        <v/>
      </c>
      <c r="I161" s="57" t="str">
        <f t="shared" si="27"/>
        <v/>
      </c>
      <c r="J161" s="58" t="str">
        <f t="shared" si="28"/>
        <v/>
      </c>
      <c r="L161" s="31" t="str">
        <f t="shared" si="29"/>
        <v/>
      </c>
      <c r="M161" s="32" t="str">
        <f t="shared" si="34"/>
        <v/>
      </c>
      <c r="N161" s="32" t="str">
        <f t="shared" si="30"/>
        <v/>
      </c>
      <c r="O161" s="32" t="str">
        <f t="shared" si="31"/>
        <v/>
      </c>
      <c r="P161" s="32" t="str">
        <f t="shared" si="32"/>
        <v/>
      </c>
      <c r="Q161" s="33" t="str">
        <f t="shared" si="32"/>
        <v/>
      </c>
    </row>
    <row r="162" spans="2:17" x14ac:dyDescent="0.25">
      <c r="B162" s="9">
        <v>149</v>
      </c>
      <c r="C162" s="35">
        <v>62000</v>
      </c>
      <c r="D162" s="3"/>
      <c r="E162" s="9" t="str">
        <f t="shared" si="24"/>
        <v/>
      </c>
      <c r="F162" s="54" t="str">
        <f t="shared" si="33"/>
        <v/>
      </c>
      <c r="G162" s="73" t="str">
        <f t="shared" si="25"/>
        <v/>
      </c>
      <c r="H162" s="56" t="str">
        <f t="shared" si="26"/>
        <v/>
      </c>
      <c r="I162" s="57" t="str">
        <f t="shared" si="27"/>
        <v/>
      </c>
      <c r="J162" s="58" t="str">
        <f t="shared" si="28"/>
        <v/>
      </c>
      <c r="L162" s="31" t="str">
        <f t="shared" si="29"/>
        <v/>
      </c>
      <c r="M162" s="32" t="str">
        <f t="shared" si="34"/>
        <v/>
      </c>
      <c r="N162" s="32" t="str">
        <f t="shared" si="30"/>
        <v/>
      </c>
      <c r="O162" s="32" t="str">
        <f t="shared" si="31"/>
        <v/>
      </c>
      <c r="P162" s="32" t="str">
        <f t="shared" si="32"/>
        <v/>
      </c>
      <c r="Q162" s="33" t="str">
        <f t="shared" si="32"/>
        <v/>
      </c>
    </row>
    <row r="163" spans="2:17" x14ac:dyDescent="0.25">
      <c r="B163" s="9">
        <v>150</v>
      </c>
      <c r="C163" s="35">
        <v>64000</v>
      </c>
      <c r="D163" s="2"/>
      <c r="E163" s="9" t="str">
        <f t="shared" si="24"/>
        <v/>
      </c>
      <c r="F163" s="54" t="str">
        <f t="shared" si="33"/>
        <v/>
      </c>
      <c r="G163" s="73" t="str">
        <f t="shared" si="25"/>
        <v/>
      </c>
      <c r="H163" s="56" t="str">
        <f t="shared" si="26"/>
        <v/>
      </c>
      <c r="I163" s="57" t="str">
        <f t="shared" si="27"/>
        <v/>
      </c>
      <c r="J163" s="58" t="str">
        <f t="shared" si="28"/>
        <v/>
      </c>
      <c r="L163" s="31" t="str">
        <f t="shared" si="29"/>
        <v/>
      </c>
      <c r="M163" s="32" t="str">
        <f t="shared" si="34"/>
        <v/>
      </c>
      <c r="N163" s="32" t="str">
        <f t="shared" si="30"/>
        <v/>
      </c>
      <c r="O163" s="32" t="str">
        <f t="shared" si="31"/>
        <v/>
      </c>
      <c r="P163" s="32" t="str">
        <f t="shared" si="32"/>
        <v/>
      </c>
      <c r="Q163" s="33" t="str">
        <f t="shared" si="32"/>
        <v/>
      </c>
    </row>
    <row r="164" spans="2:17" x14ac:dyDescent="0.25">
      <c r="B164" s="9">
        <v>151</v>
      </c>
      <c r="C164" s="35">
        <v>68000</v>
      </c>
      <c r="D164" s="2"/>
      <c r="E164" s="9" t="str">
        <f t="shared" si="24"/>
        <v/>
      </c>
      <c r="F164" s="54" t="str">
        <f t="shared" si="33"/>
        <v/>
      </c>
      <c r="G164" s="73" t="str">
        <f t="shared" si="25"/>
        <v/>
      </c>
      <c r="H164" s="56" t="str">
        <f t="shared" si="26"/>
        <v/>
      </c>
      <c r="I164" s="57" t="str">
        <f t="shared" si="27"/>
        <v/>
      </c>
      <c r="J164" s="58" t="str">
        <f t="shared" si="28"/>
        <v/>
      </c>
      <c r="L164" s="31" t="str">
        <f t="shared" si="29"/>
        <v/>
      </c>
      <c r="M164" s="32" t="str">
        <f t="shared" si="34"/>
        <v/>
      </c>
      <c r="N164" s="32" t="str">
        <f t="shared" si="30"/>
        <v/>
      </c>
      <c r="O164" s="32" t="str">
        <f t="shared" si="31"/>
        <v/>
      </c>
      <c r="P164" s="32" t="str">
        <f t="shared" si="32"/>
        <v/>
      </c>
      <c r="Q164" s="33" t="str">
        <f t="shared" si="32"/>
        <v/>
      </c>
    </row>
    <row r="165" spans="2:17" x14ac:dyDescent="0.25">
      <c r="B165" s="9">
        <v>152</v>
      </c>
      <c r="C165" s="35">
        <v>68000</v>
      </c>
      <c r="D165" s="2"/>
      <c r="E165" s="9" t="str">
        <f t="shared" si="24"/>
        <v/>
      </c>
      <c r="F165" s="54" t="str">
        <f t="shared" si="33"/>
        <v/>
      </c>
      <c r="G165" s="73" t="str">
        <f t="shared" si="25"/>
        <v/>
      </c>
      <c r="H165" s="56" t="str">
        <f t="shared" si="26"/>
        <v/>
      </c>
      <c r="I165" s="57" t="str">
        <f t="shared" si="27"/>
        <v/>
      </c>
      <c r="J165" s="58" t="str">
        <f t="shared" si="28"/>
        <v/>
      </c>
      <c r="L165" s="31" t="str">
        <f t="shared" si="29"/>
        <v/>
      </c>
      <c r="M165" s="32" t="str">
        <f t="shared" si="34"/>
        <v/>
      </c>
      <c r="N165" s="32" t="str">
        <f t="shared" si="30"/>
        <v/>
      </c>
      <c r="O165" s="32" t="str">
        <f t="shared" si="31"/>
        <v/>
      </c>
      <c r="P165" s="32" t="str">
        <f t="shared" si="32"/>
        <v/>
      </c>
      <c r="Q165" s="33" t="str">
        <f t="shared" si="32"/>
        <v/>
      </c>
    </row>
    <row r="166" spans="2:17" x14ac:dyDescent="0.25">
      <c r="B166" s="9">
        <v>153</v>
      </c>
      <c r="C166" s="35">
        <v>70000</v>
      </c>
      <c r="D166" s="2"/>
      <c r="E166" s="9" t="str">
        <f t="shared" si="24"/>
        <v/>
      </c>
      <c r="F166" s="54" t="str">
        <f t="shared" si="33"/>
        <v/>
      </c>
      <c r="G166" s="73" t="str">
        <f t="shared" si="25"/>
        <v/>
      </c>
      <c r="H166" s="56" t="str">
        <f t="shared" si="26"/>
        <v/>
      </c>
      <c r="I166" s="57" t="str">
        <f t="shared" si="27"/>
        <v/>
      </c>
      <c r="J166" s="58" t="str">
        <f t="shared" si="28"/>
        <v/>
      </c>
      <c r="L166" s="31" t="str">
        <f t="shared" si="29"/>
        <v/>
      </c>
      <c r="M166" s="32" t="str">
        <f t="shared" si="34"/>
        <v/>
      </c>
      <c r="N166" s="32" t="str">
        <f t="shared" si="30"/>
        <v/>
      </c>
      <c r="O166" s="32" t="str">
        <f t="shared" si="31"/>
        <v/>
      </c>
      <c r="P166" s="32" t="str">
        <f t="shared" si="32"/>
        <v/>
      </c>
      <c r="Q166" s="33" t="str">
        <f t="shared" si="32"/>
        <v/>
      </c>
    </row>
    <row r="167" spans="2:17" x14ac:dyDescent="0.25">
      <c r="B167" s="9">
        <v>154</v>
      </c>
      <c r="C167" s="35">
        <v>72000</v>
      </c>
      <c r="D167" s="2"/>
      <c r="E167" s="9" t="str">
        <f t="shared" si="24"/>
        <v/>
      </c>
      <c r="F167" s="54" t="str">
        <f t="shared" si="33"/>
        <v/>
      </c>
      <c r="G167" s="73" t="str">
        <f t="shared" si="25"/>
        <v/>
      </c>
      <c r="H167" s="56" t="str">
        <f t="shared" si="26"/>
        <v/>
      </c>
      <c r="I167" s="57" t="str">
        <f t="shared" si="27"/>
        <v/>
      </c>
      <c r="J167" s="58" t="str">
        <f t="shared" si="28"/>
        <v/>
      </c>
      <c r="L167" s="31" t="str">
        <f t="shared" si="29"/>
        <v/>
      </c>
      <c r="M167" s="32" t="str">
        <f t="shared" si="34"/>
        <v/>
      </c>
      <c r="N167" s="32" t="str">
        <f t="shared" si="30"/>
        <v/>
      </c>
      <c r="O167" s="32" t="str">
        <f t="shared" si="31"/>
        <v/>
      </c>
      <c r="P167" s="32" t="str">
        <f t="shared" si="32"/>
        <v/>
      </c>
      <c r="Q167" s="33" t="str">
        <f t="shared" si="32"/>
        <v/>
      </c>
    </row>
    <row r="168" spans="2:17" x14ac:dyDescent="0.25">
      <c r="B168" s="9">
        <v>155</v>
      </c>
      <c r="C168" s="35">
        <v>74000</v>
      </c>
      <c r="D168" s="2"/>
      <c r="E168" s="9" t="str">
        <f t="shared" si="24"/>
        <v/>
      </c>
      <c r="F168" s="54" t="str">
        <f t="shared" si="33"/>
        <v/>
      </c>
      <c r="G168" s="73" t="str">
        <f t="shared" si="25"/>
        <v/>
      </c>
      <c r="H168" s="56" t="str">
        <f t="shared" si="26"/>
        <v/>
      </c>
      <c r="I168" s="57" t="str">
        <f t="shared" si="27"/>
        <v/>
      </c>
      <c r="J168" s="58" t="str">
        <f t="shared" si="28"/>
        <v/>
      </c>
      <c r="L168" s="31" t="str">
        <f t="shared" si="29"/>
        <v/>
      </c>
      <c r="M168" s="32" t="str">
        <f t="shared" si="34"/>
        <v/>
      </c>
      <c r="N168" s="32" t="str">
        <f t="shared" si="30"/>
        <v/>
      </c>
      <c r="O168" s="32" t="str">
        <f t="shared" si="31"/>
        <v/>
      </c>
      <c r="P168" s="32" t="str">
        <f t="shared" si="32"/>
        <v/>
      </c>
      <c r="Q168" s="33" t="str">
        <f t="shared" si="32"/>
        <v/>
      </c>
    </row>
    <row r="169" spans="2:17" x14ac:dyDescent="0.25">
      <c r="B169" s="9">
        <v>156</v>
      </c>
      <c r="C169" s="35">
        <v>76000</v>
      </c>
      <c r="D169" s="2"/>
      <c r="E169" s="9" t="str">
        <f t="shared" si="24"/>
        <v/>
      </c>
      <c r="F169" s="54" t="str">
        <f t="shared" si="33"/>
        <v/>
      </c>
      <c r="G169" s="73" t="str">
        <f t="shared" si="25"/>
        <v/>
      </c>
      <c r="H169" s="56" t="str">
        <f t="shared" si="26"/>
        <v/>
      </c>
      <c r="I169" s="57" t="str">
        <f t="shared" si="27"/>
        <v/>
      </c>
      <c r="J169" s="58" t="str">
        <f t="shared" si="28"/>
        <v/>
      </c>
      <c r="L169" s="31" t="str">
        <f t="shared" si="29"/>
        <v/>
      </c>
      <c r="M169" s="32" t="str">
        <f t="shared" si="34"/>
        <v/>
      </c>
      <c r="N169" s="32" t="str">
        <f t="shared" si="30"/>
        <v/>
      </c>
      <c r="O169" s="32" t="str">
        <f t="shared" si="31"/>
        <v/>
      </c>
      <c r="P169" s="32" t="str">
        <f t="shared" si="32"/>
        <v/>
      </c>
      <c r="Q169" s="33" t="str">
        <f t="shared" si="32"/>
        <v/>
      </c>
    </row>
    <row r="170" spans="2:17" x14ac:dyDescent="0.25">
      <c r="B170" s="9">
        <v>157</v>
      </c>
      <c r="C170" s="35">
        <v>78000</v>
      </c>
      <c r="D170" s="2"/>
      <c r="E170" s="9" t="str">
        <f t="shared" si="24"/>
        <v/>
      </c>
      <c r="F170" s="54" t="str">
        <f t="shared" si="33"/>
        <v/>
      </c>
      <c r="G170" s="73" t="str">
        <f t="shared" si="25"/>
        <v/>
      </c>
      <c r="H170" s="56" t="str">
        <f t="shared" si="26"/>
        <v/>
      </c>
      <c r="I170" s="57" t="str">
        <f t="shared" si="27"/>
        <v/>
      </c>
      <c r="J170" s="58" t="str">
        <f t="shared" si="28"/>
        <v/>
      </c>
      <c r="L170" s="31" t="str">
        <f t="shared" si="29"/>
        <v/>
      </c>
      <c r="M170" s="32" t="str">
        <f t="shared" si="34"/>
        <v/>
      </c>
      <c r="N170" s="32" t="str">
        <f t="shared" si="30"/>
        <v/>
      </c>
      <c r="O170" s="32" t="str">
        <f t="shared" si="31"/>
        <v/>
      </c>
      <c r="P170" s="32" t="str">
        <f t="shared" si="32"/>
        <v/>
      </c>
      <c r="Q170" s="33" t="str">
        <f t="shared" si="32"/>
        <v/>
      </c>
    </row>
    <row r="171" spans="2:17" x14ac:dyDescent="0.25">
      <c r="B171" s="9">
        <v>158</v>
      </c>
      <c r="C171" s="35">
        <v>80000</v>
      </c>
      <c r="D171" s="2"/>
      <c r="E171" s="9" t="str">
        <f t="shared" si="24"/>
        <v/>
      </c>
      <c r="F171" s="54" t="str">
        <f t="shared" si="33"/>
        <v/>
      </c>
      <c r="G171" s="73" t="str">
        <f t="shared" si="25"/>
        <v/>
      </c>
      <c r="H171" s="56" t="str">
        <f t="shared" si="26"/>
        <v/>
      </c>
      <c r="I171" s="57" t="str">
        <f t="shared" si="27"/>
        <v/>
      </c>
      <c r="J171" s="58" t="str">
        <f t="shared" si="28"/>
        <v/>
      </c>
      <c r="L171" s="31" t="str">
        <f t="shared" si="29"/>
        <v/>
      </c>
      <c r="M171" s="32" t="str">
        <f t="shared" si="34"/>
        <v/>
      </c>
      <c r="N171" s="32" t="str">
        <f t="shared" si="30"/>
        <v/>
      </c>
      <c r="O171" s="32" t="str">
        <f t="shared" si="31"/>
        <v/>
      </c>
      <c r="P171" s="32" t="str">
        <f t="shared" si="32"/>
        <v/>
      </c>
      <c r="Q171" s="33" t="str">
        <f t="shared" si="32"/>
        <v/>
      </c>
    </row>
    <row r="172" spans="2:17" x14ac:dyDescent="0.25">
      <c r="B172" s="9">
        <v>159</v>
      </c>
      <c r="C172" s="35">
        <v>82000</v>
      </c>
      <c r="D172" s="2"/>
      <c r="E172" s="9" t="str">
        <f t="shared" si="24"/>
        <v/>
      </c>
      <c r="F172" s="54" t="str">
        <f t="shared" si="33"/>
        <v/>
      </c>
      <c r="G172" s="73" t="str">
        <f t="shared" si="25"/>
        <v/>
      </c>
      <c r="H172" s="56" t="str">
        <f t="shared" si="26"/>
        <v/>
      </c>
      <c r="I172" s="57" t="str">
        <f t="shared" si="27"/>
        <v/>
      </c>
      <c r="J172" s="58" t="str">
        <f t="shared" si="28"/>
        <v/>
      </c>
      <c r="L172" s="31" t="str">
        <f t="shared" si="29"/>
        <v/>
      </c>
      <c r="M172" s="32" t="str">
        <f t="shared" si="34"/>
        <v/>
      </c>
      <c r="N172" s="32" t="str">
        <f t="shared" si="30"/>
        <v/>
      </c>
      <c r="O172" s="32" t="str">
        <f t="shared" si="31"/>
        <v/>
      </c>
      <c r="P172" s="32" t="str">
        <f t="shared" si="32"/>
        <v/>
      </c>
      <c r="Q172" s="33" t="str">
        <f t="shared" si="32"/>
        <v/>
      </c>
    </row>
    <row r="173" spans="2:17" x14ac:dyDescent="0.25">
      <c r="B173" s="9">
        <v>160</v>
      </c>
      <c r="C173" s="35">
        <v>84000</v>
      </c>
      <c r="D173" s="2"/>
      <c r="E173" s="9" t="str">
        <f t="shared" si="24"/>
        <v/>
      </c>
      <c r="F173" s="54" t="str">
        <f t="shared" si="33"/>
        <v/>
      </c>
      <c r="G173" s="73" t="str">
        <f t="shared" si="25"/>
        <v/>
      </c>
      <c r="H173" s="56" t="str">
        <f t="shared" si="26"/>
        <v/>
      </c>
      <c r="I173" s="57" t="str">
        <f t="shared" si="27"/>
        <v/>
      </c>
      <c r="J173" s="58" t="str">
        <f t="shared" si="28"/>
        <v/>
      </c>
      <c r="L173" s="31" t="str">
        <f t="shared" si="29"/>
        <v/>
      </c>
      <c r="M173" s="32" t="str">
        <f t="shared" si="34"/>
        <v/>
      </c>
      <c r="N173" s="32" t="str">
        <f t="shared" si="30"/>
        <v/>
      </c>
      <c r="O173" s="32" t="str">
        <f t="shared" si="31"/>
        <v/>
      </c>
      <c r="P173" s="32" t="str">
        <f t="shared" si="32"/>
        <v/>
      </c>
      <c r="Q173" s="33" t="str">
        <f t="shared" si="32"/>
        <v/>
      </c>
    </row>
    <row r="174" spans="2:17" x14ac:dyDescent="0.25">
      <c r="B174" s="9">
        <v>161</v>
      </c>
      <c r="C174" s="35">
        <v>86000</v>
      </c>
      <c r="D174" s="2"/>
      <c r="E174" s="9" t="str">
        <f t="shared" si="24"/>
        <v/>
      </c>
      <c r="F174" s="54" t="str">
        <f t="shared" si="33"/>
        <v/>
      </c>
      <c r="G174" s="73" t="str">
        <f t="shared" si="25"/>
        <v/>
      </c>
      <c r="H174" s="56" t="str">
        <f t="shared" si="26"/>
        <v/>
      </c>
      <c r="I174" s="57" t="str">
        <f t="shared" si="27"/>
        <v/>
      </c>
      <c r="J174" s="58" t="str">
        <f t="shared" si="28"/>
        <v/>
      </c>
      <c r="L174" s="31" t="str">
        <f t="shared" si="29"/>
        <v/>
      </c>
      <c r="M174" s="32" t="str">
        <f t="shared" si="34"/>
        <v/>
      </c>
      <c r="N174" s="32" t="str">
        <f t="shared" si="30"/>
        <v/>
      </c>
      <c r="O174" s="32" t="str">
        <f t="shared" si="31"/>
        <v/>
      </c>
      <c r="P174" s="32" t="str">
        <f t="shared" ref="P174:Q203" si="35">IF(AJ176="","",AJ176)</f>
        <v/>
      </c>
      <c r="Q174" s="33" t="str">
        <f t="shared" si="35"/>
        <v/>
      </c>
    </row>
    <row r="175" spans="2:17" x14ac:dyDescent="0.25">
      <c r="B175" s="9">
        <v>162</v>
      </c>
      <c r="C175" s="35">
        <v>88000</v>
      </c>
      <c r="D175" s="2"/>
      <c r="E175" s="9" t="str">
        <f t="shared" si="24"/>
        <v/>
      </c>
      <c r="F175" s="54" t="str">
        <f t="shared" si="33"/>
        <v/>
      </c>
      <c r="G175" s="73" t="str">
        <f t="shared" si="25"/>
        <v/>
      </c>
      <c r="H175" s="56" t="str">
        <f t="shared" si="26"/>
        <v/>
      </c>
      <c r="I175" s="57" t="str">
        <f t="shared" si="27"/>
        <v/>
      </c>
      <c r="J175" s="58" t="str">
        <f t="shared" si="28"/>
        <v/>
      </c>
      <c r="L175" s="31" t="str">
        <f t="shared" si="29"/>
        <v/>
      </c>
      <c r="M175" s="32" t="str">
        <f t="shared" si="34"/>
        <v/>
      </c>
      <c r="N175" s="32" t="str">
        <f t="shared" si="30"/>
        <v/>
      </c>
      <c r="O175" s="32" t="str">
        <f t="shared" si="31"/>
        <v/>
      </c>
      <c r="P175" s="32" t="str">
        <f t="shared" si="35"/>
        <v/>
      </c>
      <c r="Q175" s="33" t="str">
        <f t="shared" si="35"/>
        <v/>
      </c>
    </row>
    <row r="176" spans="2:17" x14ac:dyDescent="0.25">
      <c r="B176" s="9">
        <v>163</v>
      </c>
      <c r="C176" s="35">
        <v>90000</v>
      </c>
      <c r="D176" s="2"/>
      <c r="E176" s="9" t="str">
        <f t="shared" si="24"/>
        <v/>
      </c>
      <c r="F176" s="54" t="str">
        <f t="shared" si="33"/>
        <v/>
      </c>
      <c r="G176" s="73" t="str">
        <f t="shared" si="25"/>
        <v/>
      </c>
      <c r="H176" s="56" t="str">
        <f t="shared" si="26"/>
        <v/>
      </c>
      <c r="I176" s="57" t="str">
        <f t="shared" si="27"/>
        <v/>
      </c>
      <c r="J176" s="58" t="str">
        <f t="shared" si="28"/>
        <v/>
      </c>
      <c r="L176" s="31" t="str">
        <f t="shared" si="29"/>
        <v/>
      </c>
      <c r="M176" s="32" t="str">
        <f t="shared" si="34"/>
        <v/>
      </c>
      <c r="N176" s="32" t="str">
        <f t="shared" si="30"/>
        <v/>
      </c>
      <c r="O176" s="32" t="str">
        <f t="shared" si="31"/>
        <v/>
      </c>
      <c r="P176" s="32" t="str">
        <f t="shared" si="35"/>
        <v/>
      </c>
      <c r="Q176" s="33" t="str">
        <f t="shared" si="35"/>
        <v/>
      </c>
    </row>
    <row r="177" spans="2:17" x14ac:dyDescent="0.25">
      <c r="B177" s="9">
        <v>164</v>
      </c>
      <c r="C177" s="35">
        <v>92000</v>
      </c>
      <c r="D177" s="2"/>
      <c r="E177" s="9" t="str">
        <f t="shared" si="24"/>
        <v/>
      </c>
      <c r="F177" s="54" t="str">
        <f t="shared" si="33"/>
        <v/>
      </c>
      <c r="G177" s="73" t="str">
        <f t="shared" si="25"/>
        <v/>
      </c>
      <c r="H177" s="56" t="str">
        <f t="shared" si="26"/>
        <v/>
      </c>
      <c r="I177" s="57" t="str">
        <f t="shared" si="27"/>
        <v/>
      </c>
      <c r="J177" s="58" t="str">
        <f t="shared" si="28"/>
        <v/>
      </c>
      <c r="L177" s="31" t="str">
        <f t="shared" si="29"/>
        <v/>
      </c>
      <c r="M177" s="32" t="str">
        <f t="shared" si="34"/>
        <v/>
      </c>
      <c r="N177" s="32" t="str">
        <f t="shared" si="30"/>
        <v/>
      </c>
      <c r="O177" s="32" t="str">
        <f t="shared" si="31"/>
        <v/>
      </c>
      <c r="P177" s="32" t="str">
        <f t="shared" si="35"/>
        <v/>
      </c>
      <c r="Q177" s="33" t="str">
        <f t="shared" si="35"/>
        <v/>
      </c>
    </row>
    <row r="178" spans="2:17" x14ac:dyDescent="0.25">
      <c r="B178" s="9">
        <v>165</v>
      </c>
      <c r="C178" s="35">
        <v>94000</v>
      </c>
      <c r="D178" s="2"/>
      <c r="E178" s="9" t="str">
        <f t="shared" si="24"/>
        <v/>
      </c>
      <c r="F178" s="54" t="str">
        <f t="shared" si="33"/>
        <v/>
      </c>
      <c r="G178" s="73" t="str">
        <f t="shared" si="25"/>
        <v/>
      </c>
      <c r="H178" s="56" t="str">
        <f t="shared" si="26"/>
        <v/>
      </c>
      <c r="I178" s="57" t="str">
        <f t="shared" si="27"/>
        <v/>
      </c>
      <c r="J178" s="58" t="str">
        <f t="shared" si="28"/>
        <v/>
      </c>
      <c r="L178" s="31" t="str">
        <f t="shared" si="29"/>
        <v/>
      </c>
      <c r="M178" s="32" t="str">
        <f t="shared" si="34"/>
        <v/>
      </c>
      <c r="N178" s="32" t="str">
        <f t="shared" si="30"/>
        <v/>
      </c>
      <c r="O178" s="32" t="str">
        <f t="shared" si="31"/>
        <v/>
      </c>
      <c r="P178" s="32" t="str">
        <f t="shared" si="35"/>
        <v/>
      </c>
      <c r="Q178" s="33" t="str">
        <f t="shared" si="35"/>
        <v/>
      </c>
    </row>
    <row r="179" spans="2:17" x14ac:dyDescent="0.25">
      <c r="B179" s="9">
        <v>166</v>
      </c>
      <c r="C179" s="35">
        <v>96000</v>
      </c>
      <c r="D179" s="2"/>
      <c r="E179" s="9" t="str">
        <f t="shared" si="24"/>
        <v/>
      </c>
      <c r="F179" s="54" t="str">
        <f t="shared" si="33"/>
        <v/>
      </c>
      <c r="G179" s="73" t="str">
        <f t="shared" si="25"/>
        <v/>
      </c>
      <c r="H179" s="56" t="str">
        <f t="shared" si="26"/>
        <v/>
      </c>
      <c r="I179" s="57" t="str">
        <f t="shared" si="27"/>
        <v/>
      </c>
      <c r="J179" s="58" t="str">
        <f t="shared" si="28"/>
        <v/>
      </c>
      <c r="L179" s="31" t="str">
        <f t="shared" si="29"/>
        <v/>
      </c>
      <c r="M179" s="32" t="str">
        <f t="shared" si="34"/>
        <v/>
      </c>
      <c r="N179" s="32" t="str">
        <f t="shared" si="30"/>
        <v/>
      </c>
      <c r="O179" s="32" t="str">
        <f t="shared" si="31"/>
        <v/>
      </c>
      <c r="P179" s="32" t="str">
        <f t="shared" si="35"/>
        <v/>
      </c>
      <c r="Q179" s="33" t="str">
        <f t="shared" si="35"/>
        <v/>
      </c>
    </row>
    <row r="180" spans="2:17" x14ac:dyDescent="0.25">
      <c r="B180" s="9">
        <v>167</v>
      </c>
      <c r="C180" s="35">
        <v>98000</v>
      </c>
      <c r="D180" s="2"/>
      <c r="E180" s="9" t="str">
        <f t="shared" si="24"/>
        <v/>
      </c>
      <c r="F180" s="54" t="str">
        <f t="shared" si="33"/>
        <v/>
      </c>
      <c r="G180" s="73" t="str">
        <f t="shared" si="25"/>
        <v/>
      </c>
      <c r="H180" s="56" t="str">
        <f t="shared" si="26"/>
        <v/>
      </c>
      <c r="I180" s="57" t="str">
        <f t="shared" si="27"/>
        <v/>
      </c>
      <c r="J180" s="58" t="str">
        <f t="shared" si="28"/>
        <v/>
      </c>
      <c r="L180" s="31" t="str">
        <f t="shared" si="29"/>
        <v/>
      </c>
      <c r="M180" s="32" t="str">
        <f t="shared" si="34"/>
        <v/>
      </c>
      <c r="N180" s="32" t="str">
        <f t="shared" si="30"/>
        <v/>
      </c>
      <c r="O180" s="32" t="str">
        <f t="shared" si="31"/>
        <v/>
      </c>
      <c r="P180" s="32" t="str">
        <f t="shared" si="35"/>
        <v/>
      </c>
      <c r="Q180" s="33" t="str">
        <f t="shared" si="35"/>
        <v/>
      </c>
    </row>
    <row r="181" spans="2:17" x14ac:dyDescent="0.25">
      <c r="B181" s="9">
        <v>168</v>
      </c>
      <c r="C181" s="35">
        <v>100000</v>
      </c>
      <c r="D181" s="2"/>
      <c r="E181" s="9" t="str">
        <f t="shared" si="24"/>
        <v/>
      </c>
      <c r="F181" s="54" t="str">
        <f t="shared" si="33"/>
        <v/>
      </c>
      <c r="G181" s="73" t="str">
        <f t="shared" si="25"/>
        <v/>
      </c>
      <c r="H181" s="56" t="str">
        <f t="shared" si="26"/>
        <v/>
      </c>
      <c r="I181" s="57" t="str">
        <f t="shared" si="27"/>
        <v/>
      </c>
      <c r="J181" s="58" t="str">
        <f t="shared" si="28"/>
        <v/>
      </c>
      <c r="L181" s="31" t="str">
        <f t="shared" si="29"/>
        <v/>
      </c>
      <c r="M181" s="32" t="str">
        <f t="shared" si="34"/>
        <v/>
      </c>
      <c r="N181" s="32" t="str">
        <f t="shared" si="30"/>
        <v/>
      </c>
      <c r="O181" s="32" t="str">
        <f t="shared" si="31"/>
        <v/>
      </c>
      <c r="P181" s="32" t="str">
        <f t="shared" si="35"/>
        <v/>
      </c>
      <c r="Q181" s="33" t="str">
        <f t="shared" si="35"/>
        <v/>
      </c>
    </row>
    <row r="182" spans="2:17" x14ac:dyDescent="0.25">
      <c r="B182" s="9">
        <v>169</v>
      </c>
      <c r="C182" s="35"/>
      <c r="D182" s="2"/>
      <c r="E182" s="9" t="str">
        <f t="shared" si="24"/>
        <v/>
      </c>
      <c r="F182" s="54" t="str">
        <f t="shared" si="33"/>
        <v/>
      </c>
      <c r="G182" s="73" t="str">
        <f t="shared" si="25"/>
        <v/>
      </c>
      <c r="H182" s="56" t="str">
        <f t="shared" si="26"/>
        <v/>
      </c>
      <c r="I182" s="57" t="str">
        <f t="shared" si="27"/>
        <v/>
      </c>
      <c r="J182" s="58" t="str">
        <f t="shared" si="28"/>
        <v/>
      </c>
      <c r="L182" s="31" t="str">
        <f t="shared" si="29"/>
        <v/>
      </c>
      <c r="M182" s="32" t="str">
        <f t="shared" si="34"/>
        <v/>
      </c>
      <c r="N182" s="32" t="str">
        <f t="shared" si="30"/>
        <v/>
      </c>
      <c r="O182" s="32" t="str">
        <f t="shared" si="31"/>
        <v/>
      </c>
      <c r="P182" s="32" t="str">
        <f t="shared" si="35"/>
        <v/>
      </c>
      <c r="Q182" s="33" t="str">
        <f t="shared" si="35"/>
        <v/>
      </c>
    </row>
    <row r="183" spans="2:17" x14ac:dyDescent="0.25">
      <c r="B183" s="9">
        <v>170</v>
      </c>
      <c r="C183" s="35"/>
      <c r="D183" s="2"/>
      <c r="E183" s="9" t="str">
        <f t="shared" si="24"/>
        <v/>
      </c>
      <c r="F183" s="54" t="str">
        <f t="shared" si="33"/>
        <v/>
      </c>
      <c r="G183" s="73" t="str">
        <f t="shared" si="25"/>
        <v/>
      </c>
      <c r="H183" s="56" t="str">
        <f t="shared" si="26"/>
        <v/>
      </c>
      <c r="I183" s="57" t="str">
        <f t="shared" si="27"/>
        <v/>
      </c>
      <c r="J183" s="58" t="str">
        <f t="shared" si="28"/>
        <v/>
      </c>
      <c r="L183" s="31" t="str">
        <f t="shared" si="29"/>
        <v/>
      </c>
      <c r="M183" s="32" t="str">
        <f t="shared" si="34"/>
        <v/>
      </c>
      <c r="N183" s="32" t="str">
        <f t="shared" si="30"/>
        <v/>
      </c>
      <c r="O183" s="32" t="str">
        <f t="shared" si="31"/>
        <v/>
      </c>
      <c r="P183" s="32" t="str">
        <f t="shared" si="35"/>
        <v/>
      </c>
      <c r="Q183" s="33" t="str">
        <f t="shared" si="35"/>
        <v/>
      </c>
    </row>
    <row r="184" spans="2:17" x14ac:dyDescent="0.25">
      <c r="B184" s="9">
        <v>171</v>
      </c>
      <c r="C184" s="35"/>
      <c r="D184" s="2"/>
      <c r="E184" s="9" t="str">
        <f t="shared" si="24"/>
        <v/>
      </c>
      <c r="F184" s="54" t="str">
        <f t="shared" si="33"/>
        <v/>
      </c>
      <c r="G184" s="73" t="str">
        <f t="shared" si="25"/>
        <v/>
      </c>
      <c r="H184" s="56" t="str">
        <f t="shared" si="26"/>
        <v/>
      </c>
      <c r="I184" s="57" t="str">
        <f t="shared" si="27"/>
        <v/>
      </c>
      <c r="J184" s="58" t="str">
        <f t="shared" si="28"/>
        <v/>
      </c>
      <c r="L184" s="31" t="str">
        <f t="shared" si="29"/>
        <v/>
      </c>
      <c r="M184" s="32" t="str">
        <f t="shared" si="34"/>
        <v/>
      </c>
      <c r="N184" s="32" t="str">
        <f t="shared" si="30"/>
        <v/>
      </c>
      <c r="O184" s="32" t="str">
        <f t="shared" si="31"/>
        <v/>
      </c>
      <c r="P184" s="32" t="str">
        <f t="shared" si="35"/>
        <v/>
      </c>
      <c r="Q184" s="33" t="str">
        <f t="shared" si="35"/>
        <v/>
      </c>
    </row>
    <row r="185" spans="2:17" x14ac:dyDescent="0.25">
      <c r="B185" s="9">
        <v>172</v>
      </c>
      <c r="C185" s="35"/>
      <c r="D185" s="2"/>
      <c r="E185" s="9" t="str">
        <f t="shared" si="24"/>
        <v/>
      </c>
      <c r="F185" s="54" t="str">
        <f t="shared" si="33"/>
        <v/>
      </c>
      <c r="G185" s="73" t="str">
        <f t="shared" si="25"/>
        <v/>
      </c>
      <c r="H185" s="56" t="str">
        <f t="shared" si="26"/>
        <v/>
      </c>
      <c r="I185" s="57" t="str">
        <f t="shared" si="27"/>
        <v/>
      </c>
      <c r="J185" s="58" t="str">
        <f t="shared" si="28"/>
        <v/>
      </c>
      <c r="L185" s="31" t="str">
        <f t="shared" si="29"/>
        <v/>
      </c>
      <c r="M185" s="32" t="str">
        <f t="shared" si="34"/>
        <v/>
      </c>
      <c r="N185" s="32" t="str">
        <f t="shared" si="30"/>
        <v/>
      </c>
      <c r="O185" s="32" t="str">
        <f t="shared" si="31"/>
        <v/>
      </c>
      <c r="P185" s="32" t="str">
        <f t="shared" si="35"/>
        <v/>
      </c>
      <c r="Q185" s="33" t="str">
        <f t="shared" si="35"/>
        <v/>
      </c>
    </row>
    <row r="186" spans="2:17" x14ac:dyDescent="0.25">
      <c r="B186" s="9">
        <v>173</v>
      </c>
      <c r="C186" s="35"/>
      <c r="D186" s="2"/>
      <c r="E186" s="9" t="str">
        <f t="shared" si="24"/>
        <v/>
      </c>
      <c r="F186" s="54" t="str">
        <f t="shared" si="33"/>
        <v/>
      </c>
      <c r="G186" s="73" t="str">
        <f t="shared" si="25"/>
        <v/>
      </c>
      <c r="H186" s="56" t="str">
        <f t="shared" si="26"/>
        <v/>
      </c>
      <c r="I186" s="57" t="str">
        <f t="shared" si="27"/>
        <v/>
      </c>
      <c r="J186" s="58" t="str">
        <f t="shared" si="28"/>
        <v/>
      </c>
      <c r="L186" s="31" t="str">
        <f t="shared" si="29"/>
        <v/>
      </c>
      <c r="M186" s="32" t="str">
        <f t="shared" si="34"/>
        <v/>
      </c>
      <c r="N186" s="32" t="str">
        <f t="shared" si="30"/>
        <v/>
      </c>
      <c r="O186" s="32" t="str">
        <f t="shared" si="31"/>
        <v/>
      </c>
      <c r="P186" s="32" t="str">
        <f t="shared" si="35"/>
        <v/>
      </c>
      <c r="Q186" s="33" t="str">
        <f t="shared" si="35"/>
        <v/>
      </c>
    </row>
    <row r="187" spans="2:17" x14ac:dyDescent="0.25">
      <c r="B187" s="9">
        <v>174</v>
      </c>
      <c r="C187" s="35"/>
      <c r="D187" s="2"/>
      <c r="E187" s="9" t="str">
        <f t="shared" si="24"/>
        <v/>
      </c>
      <c r="F187" s="54" t="str">
        <f t="shared" si="33"/>
        <v/>
      </c>
      <c r="G187" s="73" t="str">
        <f t="shared" si="25"/>
        <v/>
      </c>
      <c r="H187" s="56" t="str">
        <f t="shared" si="26"/>
        <v/>
      </c>
      <c r="I187" s="57" t="str">
        <f t="shared" si="27"/>
        <v/>
      </c>
      <c r="J187" s="58" t="str">
        <f t="shared" si="28"/>
        <v/>
      </c>
      <c r="L187" s="31" t="str">
        <f t="shared" si="29"/>
        <v/>
      </c>
      <c r="M187" s="32" t="str">
        <f t="shared" si="34"/>
        <v/>
      </c>
      <c r="N187" s="32" t="str">
        <f t="shared" si="30"/>
        <v/>
      </c>
      <c r="O187" s="32" t="str">
        <f t="shared" si="31"/>
        <v/>
      </c>
      <c r="P187" s="32" t="str">
        <f t="shared" si="35"/>
        <v/>
      </c>
      <c r="Q187" s="33" t="str">
        <f t="shared" si="35"/>
        <v/>
      </c>
    </row>
    <row r="188" spans="2:17" x14ac:dyDescent="0.25">
      <c r="B188" s="9">
        <v>175</v>
      </c>
      <c r="C188" s="35"/>
      <c r="D188" s="2"/>
      <c r="E188" s="9" t="str">
        <f t="shared" si="24"/>
        <v/>
      </c>
      <c r="F188" s="54" t="str">
        <f t="shared" si="33"/>
        <v/>
      </c>
      <c r="G188" s="73" t="str">
        <f t="shared" si="25"/>
        <v/>
      </c>
      <c r="H188" s="56" t="str">
        <f t="shared" si="26"/>
        <v/>
      </c>
      <c r="I188" s="57" t="str">
        <f t="shared" si="27"/>
        <v/>
      </c>
      <c r="J188" s="58" t="str">
        <f t="shared" si="28"/>
        <v/>
      </c>
      <c r="L188" s="31" t="str">
        <f t="shared" si="29"/>
        <v/>
      </c>
      <c r="M188" s="32" t="str">
        <f t="shared" si="34"/>
        <v/>
      </c>
      <c r="N188" s="32" t="str">
        <f t="shared" si="30"/>
        <v/>
      </c>
      <c r="O188" s="32" t="str">
        <f t="shared" si="31"/>
        <v/>
      </c>
      <c r="P188" s="32" t="str">
        <f t="shared" si="35"/>
        <v/>
      </c>
      <c r="Q188" s="33" t="str">
        <f t="shared" si="35"/>
        <v/>
      </c>
    </row>
    <row r="189" spans="2:17" x14ac:dyDescent="0.25">
      <c r="B189" s="9">
        <v>176</v>
      </c>
      <c r="C189" s="35"/>
      <c r="D189" s="2"/>
      <c r="E189" s="9" t="str">
        <f t="shared" si="24"/>
        <v/>
      </c>
      <c r="F189" s="54" t="str">
        <f t="shared" si="33"/>
        <v/>
      </c>
      <c r="G189" s="73" t="str">
        <f t="shared" si="25"/>
        <v/>
      </c>
      <c r="H189" s="56" t="str">
        <f t="shared" si="26"/>
        <v/>
      </c>
      <c r="I189" s="57" t="str">
        <f t="shared" si="27"/>
        <v/>
      </c>
      <c r="J189" s="58" t="str">
        <f t="shared" si="28"/>
        <v/>
      </c>
      <c r="L189" s="31" t="str">
        <f t="shared" si="29"/>
        <v/>
      </c>
      <c r="M189" s="32" t="str">
        <f t="shared" si="34"/>
        <v/>
      </c>
      <c r="N189" s="32" t="str">
        <f t="shared" si="30"/>
        <v/>
      </c>
      <c r="O189" s="32" t="str">
        <f t="shared" si="31"/>
        <v/>
      </c>
      <c r="P189" s="32" t="str">
        <f t="shared" si="35"/>
        <v/>
      </c>
      <c r="Q189" s="33" t="str">
        <f t="shared" si="35"/>
        <v/>
      </c>
    </row>
    <row r="190" spans="2:17" x14ac:dyDescent="0.25">
      <c r="B190" s="9">
        <v>177</v>
      </c>
      <c r="C190" s="35"/>
      <c r="D190" s="2"/>
      <c r="E190" s="9" t="str">
        <f t="shared" si="24"/>
        <v/>
      </c>
      <c r="F190" s="54" t="str">
        <f t="shared" si="33"/>
        <v/>
      </c>
      <c r="G190" s="73" t="str">
        <f t="shared" si="25"/>
        <v/>
      </c>
      <c r="H190" s="56" t="str">
        <f t="shared" si="26"/>
        <v/>
      </c>
      <c r="I190" s="57" t="str">
        <f t="shared" si="27"/>
        <v/>
      </c>
      <c r="J190" s="58" t="str">
        <f t="shared" si="28"/>
        <v/>
      </c>
      <c r="L190" s="31" t="str">
        <f t="shared" si="29"/>
        <v/>
      </c>
      <c r="M190" s="32" t="str">
        <f t="shared" si="34"/>
        <v/>
      </c>
      <c r="N190" s="32" t="str">
        <f t="shared" si="30"/>
        <v/>
      </c>
      <c r="O190" s="32" t="str">
        <f t="shared" si="31"/>
        <v/>
      </c>
      <c r="P190" s="32" t="str">
        <f t="shared" si="35"/>
        <v/>
      </c>
      <c r="Q190" s="33" t="str">
        <f t="shared" si="35"/>
        <v/>
      </c>
    </row>
    <row r="191" spans="2:17" x14ac:dyDescent="0.25">
      <c r="B191" s="9">
        <v>178</v>
      </c>
      <c r="C191" s="35"/>
      <c r="D191" s="2"/>
      <c r="E191" s="9" t="str">
        <f t="shared" si="24"/>
        <v/>
      </c>
      <c r="F191" s="54" t="str">
        <f t="shared" si="33"/>
        <v/>
      </c>
      <c r="G191" s="73" t="str">
        <f t="shared" si="25"/>
        <v/>
      </c>
      <c r="H191" s="56" t="str">
        <f t="shared" si="26"/>
        <v/>
      </c>
      <c r="I191" s="57" t="str">
        <f t="shared" si="27"/>
        <v/>
      </c>
      <c r="J191" s="58" t="str">
        <f t="shared" si="28"/>
        <v/>
      </c>
      <c r="L191" s="31" t="str">
        <f t="shared" si="29"/>
        <v/>
      </c>
      <c r="M191" s="32" t="str">
        <f t="shared" si="34"/>
        <v/>
      </c>
      <c r="N191" s="32" t="str">
        <f t="shared" si="30"/>
        <v/>
      </c>
      <c r="O191" s="32" t="str">
        <f t="shared" si="31"/>
        <v/>
      </c>
      <c r="P191" s="32" t="str">
        <f t="shared" si="35"/>
        <v/>
      </c>
      <c r="Q191" s="33" t="str">
        <f t="shared" si="35"/>
        <v/>
      </c>
    </row>
    <row r="192" spans="2:17" x14ac:dyDescent="0.25">
      <c r="B192" s="9">
        <v>179</v>
      </c>
      <c r="C192" s="35"/>
      <c r="D192" s="2"/>
      <c r="E192" s="9" t="str">
        <f t="shared" si="24"/>
        <v/>
      </c>
      <c r="F192" s="54" t="str">
        <f t="shared" si="33"/>
        <v/>
      </c>
      <c r="G192" s="73" t="str">
        <f t="shared" si="25"/>
        <v/>
      </c>
      <c r="H192" s="56" t="str">
        <f t="shared" si="26"/>
        <v/>
      </c>
      <c r="I192" s="57" t="str">
        <f t="shared" si="27"/>
        <v/>
      </c>
      <c r="J192" s="58" t="str">
        <f t="shared" si="28"/>
        <v/>
      </c>
      <c r="L192" s="31" t="str">
        <f t="shared" si="29"/>
        <v/>
      </c>
      <c r="M192" s="32" t="str">
        <f t="shared" si="34"/>
        <v/>
      </c>
      <c r="N192" s="32" t="str">
        <f t="shared" si="30"/>
        <v/>
      </c>
      <c r="O192" s="32" t="str">
        <f t="shared" si="31"/>
        <v/>
      </c>
      <c r="P192" s="32" t="str">
        <f t="shared" si="35"/>
        <v/>
      </c>
      <c r="Q192" s="33" t="str">
        <f t="shared" si="35"/>
        <v/>
      </c>
    </row>
    <row r="193" spans="2:17" x14ac:dyDescent="0.25">
      <c r="B193" s="9">
        <v>180</v>
      </c>
      <c r="C193" s="35"/>
      <c r="D193" s="2"/>
      <c r="E193" s="9" t="str">
        <f t="shared" si="24"/>
        <v/>
      </c>
      <c r="F193" s="54" t="str">
        <f t="shared" si="33"/>
        <v/>
      </c>
      <c r="G193" s="73" t="str">
        <f t="shared" si="25"/>
        <v/>
      </c>
      <c r="H193" s="56" t="str">
        <f t="shared" si="26"/>
        <v/>
      </c>
      <c r="I193" s="57" t="str">
        <f t="shared" si="27"/>
        <v/>
      </c>
      <c r="J193" s="58" t="str">
        <f t="shared" si="28"/>
        <v/>
      </c>
      <c r="L193" s="31" t="str">
        <f t="shared" si="29"/>
        <v/>
      </c>
      <c r="M193" s="32" t="str">
        <f t="shared" si="34"/>
        <v/>
      </c>
      <c r="N193" s="32" t="str">
        <f t="shared" si="30"/>
        <v/>
      </c>
      <c r="O193" s="32" t="str">
        <f t="shared" si="31"/>
        <v/>
      </c>
      <c r="P193" s="32" t="str">
        <f t="shared" si="35"/>
        <v/>
      </c>
      <c r="Q193" s="33" t="str">
        <f t="shared" si="35"/>
        <v/>
      </c>
    </row>
    <row r="194" spans="2:17" x14ac:dyDescent="0.25">
      <c r="B194" s="9">
        <v>181</v>
      </c>
      <c r="C194" s="35"/>
      <c r="D194" s="2"/>
      <c r="E194" s="9" t="str">
        <f t="shared" si="24"/>
        <v/>
      </c>
      <c r="F194" s="54" t="str">
        <f t="shared" si="33"/>
        <v/>
      </c>
      <c r="G194" s="73" t="str">
        <f t="shared" si="25"/>
        <v/>
      </c>
      <c r="H194" s="56" t="str">
        <f t="shared" si="26"/>
        <v/>
      </c>
      <c r="I194" s="57" t="str">
        <f t="shared" si="27"/>
        <v/>
      </c>
      <c r="J194" s="58" t="str">
        <f t="shared" si="28"/>
        <v/>
      </c>
      <c r="L194" s="31" t="str">
        <f t="shared" si="29"/>
        <v/>
      </c>
      <c r="M194" s="32" t="str">
        <f t="shared" si="34"/>
        <v/>
      </c>
      <c r="N194" s="32" t="str">
        <f t="shared" si="30"/>
        <v/>
      </c>
      <c r="O194" s="32" t="str">
        <f t="shared" si="31"/>
        <v/>
      </c>
      <c r="P194" s="32" t="str">
        <f t="shared" si="35"/>
        <v/>
      </c>
      <c r="Q194" s="33" t="str">
        <f t="shared" si="35"/>
        <v/>
      </c>
    </row>
    <row r="195" spans="2:17" x14ac:dyDescent="0.25">
      <c r="B195" s="9">
        <v>182</v>
      </c>
      <c r="C195" s="35"/>
      <c r="D195" s="2"/>
      <c r="E195" s="9" t="str">
        <f t="shared" si="24"/>
        <v/>
      </c>
      <c r="F195" s="54" t="str">
        <f t="shared" si="33"/>
        <v/>
      </c>
      <c r="G195" s="73" t="str">
        <f t="shared" si="25"/>
        <v/>
      </c>
      <c r="H195" s="56" t="str">
        <f t="shared" si="26"/>
        <v/>
      </c>
      <c r="I195" s="57" t="str">
        <f t="shared" si="27"/>
        <v/>
      </c>
      <c r="J195" s="58" t="str">
        <f t="shared" si="28"/>
        <v/>
      </c>
      <c r="L195" s="31" t="str">
        <f t="shared" si="29"/>
        <v/>
      </c>
      <c r="M195" s="32" t="str">
        <f t="shared" si="34"/>
        <v/>
      </c>
      <c r="N195" s="32" t="str">
        <f t="shared" si="30"/>
        <v/>
      </c>
      <c r="O195" s="32" t="str">
        <f t="shared" si="31"/>
        <v/>
      </c>
      <c r="P195" s="32" t="str">
        <f t="shared" si="35"/>
        <v/>
      </c>
      <c r="Q195" s="33" t="str">
        <f t="shared" si="35"/>
        <v/>
      </c>
    </row>
    <row r="196" spans="2:17" x14ac:dyDescent="0.25">
      <c r="B196" s="9">
        <v>183</v>
      </c>
      <c r="C196" s="35"/>
      <c r="D196" s="2"/>
      <c r="E196" s="9" t="str">
        <f t="shared" si="24"/>
        <v/>
      </c>
      <c r="F196" s="54" t="str">
        <f t="shared" si="33"/>
        <v/>
      </c>
      <c r="G196" s="73" t="str">
        <f t="shared" si="25"/>
        <v/>
      </c>
      <c r="H196" s="56" t="str">
        <f t="shared" si="26"/>
        <v/>
      </c>
      <c r="I196" s="57" t="str">
        <f t="shared" si="27"/>
        <v/>
      </c>
      <c r="J196" s="58" t="str">
        <f t="shared" si="28"/>
        <v/>
      </c>
      <c r="L196" s="31" t="str">
        <f t="shared" si="29"/>
        <v/>
      </c>
      <c r="M196" s="32" t="str">
        <f t="shared" si="34"/>
        <v/>
      </c>
      <c r="N196" s="32" t="str">
        <f t="shared" si="30"/>
        <v/>
      </c>
      <c r="O196" s="32" t="str">
        <f t="shared" si="31"/>
        <v/>
      </c>
      <c r="P196" s="32" t="str">
        <f t="shared" si="35"/>
        <v/>
      </c>
      <c r="Q196" s="33" t="str">
        <f t="shared" si="35"/>
        <v/>
      </c>
    </row>
    <row r="197" spans="2:17" x14ac:dyDescent="0.25">
      <c r="B197" s="9">
        <v>184</v>
      </c>
      <c r="C197" s="35"/>
      <c r="D197" s="2"/>
      <c r="E197" s="9" t="str">
        <f t="shared" si="24"/>
        <v/>
      </c>
      <c r="F197" s="54" t="str">
        <f t="shared" si="33"/>
        <v/>
      </c>
      <c r="G197" s="73" t="str">
        <f t="shared" si="25"/>
        <v/>
      </c>
      <c r="H197" s="56" t="str">
        <f t="shared" si="26"/>
        <v/>
      </c>
      <c r="I197" s="57" t="str">
        <f t="shared" si="27"/>
        <v/>
      </c>
      <c r="J197" s="58" t="str">
        <f t="shared" si="28"/>
        <v/>
      </c>
      <c r="L197" s="31" t="str">
        <f t="shared" si="29"/>
        <v/>
      </c>
      <c r="M197" s="32" t="str">
        <f t="shared" si="34"/>
        <v/>
      </c>
      <c r="N197" s="32" t="str">
        <f t="shared" si="30"/>
        <v/>
      </c>
      <c r="O197" s="32" t="str">
        <f t="shared" si="31"/>
        <v/>
      </c>
      <c r="P197" s="32" t="str">
        <f t="shared" si="35"/>
        <v/>
      </c>
      <c r="Q197" s="33" t="str">
        <f t="shared" si="35"/>
        <v/>
      </c>
    </row>
    <row r="198" spans="2:17" x14ac:dyDescent="0.25">
      <c r="B198" s="9">
        <v>185</v>
      </c>
      <c r="C198" s="35"/>
      <c r="D198" s="2"/>
      <c r="E198" s="9" t="str">
        <f t="shared" si="24"/>
        <v/>
      </c>
      <c r="F198" s="54" t="str">
        <f t="shared" si="33"/>
        <v/>
      </c>
      <c r="G198" s="73" t="str">
        <f t="shared" si="25"/>
        <v/>
      </c>
      <c r="H198" s="56" t="str">
        <f t="shared" si="26"/>
        <v/>
      </c>
      <c r="I198" s="57" t="str">
        <f t="shared" si="27"/>
        <v/>
      </c>
      <c r="J198" s="58" t="str">
        <f t="shared" si="28"/>
        <v/>
      </c>
      <c r="L198" s="31" t="str">
        <f t="shared" si="29"/>
        <v/>
      </c>
      <c r="M198" s="32" t="str">
        <f t="shared" si="34"/>
        <v/>
      </c>
      <c r="N198" s="32" t="str">
        <f t="shared" si="30"/>
        <v/>
      </c>
      <c r="O198" s="32" t="str">
        <f t="shared" si="31"/>
        <v/>
      </c>
      <c r="P198" s="32" t="str">
        <f t="shared" si="35"/>
        <v/>
      </c>
      <c r="Q198" s="33" t="str">
        <f t="shared" si="35"/>
        <v/>
      </c>
    </row>
    <row r="199" spans="2:17" x14ac:dyDescent="0.25">
      <c r="B199" s="9">
        <v>186</v>
      </c>
      <c r="C199" s="35"/>
      <c r="D199" s="2"/>
      <c r="E199" s="9" t="str">
        <f t="shared" si="24"/>
        <v/>
      </c>
      <c r="F199" s="54" t="str">
        <f t="shared" si="33"/>
        <v/>
      </c>
      <c r="G199" s="73" t="str">
        <f t="shared" si="25"/>
        <v/>
      </c>
      <c r="H199" s="56" t="str">
        <f t="shared" si="26"/>
        <v/>
      </c>
      <c r="I199" s="57" t="str">
        <f t="shared" si="27"/>
        <v/>
      </c>
      <c r="J199" s="58" t="str">
        <f t="shared" si="28"/>
        <v/>
      </c>
      <c r="L199" s="31" t="str">
        <f t="shared" si="29"/>
        <v/>
      </c>
      <c r="M199" s="32" t="str">
        <f t="shared" si="34"/>
        <v/>
      </c>
      <c r="N199" s="32" t="str">
        <f t="shared" si="30"/>
        <v/>
      </c>
      <c r="O199" s="32" t="str">
        <f t="shared" si="31"/>
        <v/>
      </c>
      <c r="P199" s="32" t="str">
        <f t="shared" si="35"/>
        <v/>
      </c>
      <c r="Q199" s="33" t="str">
        <f t="shared" si="35"/>
        <v/>
      </c>
    </row>
    <row r="200" spans="2:17" x14ac:dyDescent="0.25">
      <c r="B200" s="9">
        <v>187</v>
      </c>
      <c r="C200" s="35"/>
      <c r="D200" s="2"/>
      <c r="E200" s="9" t="str">
        <f t="shared" si="24"/>
        <v/>
      </c>
      <c r="F200" s="54" t="str">
        <f t="shared" si="33"/>
        <v/>
      </c>
      <c r="G200" s="73" t="str">
        <f t="shared" si="25"/>
        <v/>
      </c>
      <c r="H200" s="56" t="str">
        <f t="shared" si="26"/>
        <v/>
      </c>
      <c r="I200" s="57" t="str">
        <f t="shared" si="27"/>
        <v/>
      </c>
      <c r="J200" s="58" t="str">
        <f t="shared" si="28"/>
        <v/>
      </c>
      <c r="L200" s="31" t="str">
        <f t="shared" si="29"/>
        <v/>
      </c>
      <c r="M200" s="32" t="str">
        <f t="shared" si="34"/>
        <v/>
      </c>
      <c r="N200" s="32" t="str">
        <f t="shared" si="30"/>
        <v/>
      </c>
      <c r="O200" s="32" t="str">
        <f t="shared" si="31"/>
        <v/>
      </c>
      <c r="P200" s="32" t="str">
        <f t="shared" si="35"/>
        <v/>
      </c>
      <c r="Q200" s="33" t="str">
        <f t="shared" si="35"/>
        <v/>
      </c>
    </row>
    <row r="201" spans="2:17" x14ac:dyDescent="0.25">
      <c r="B201" s="9">
        <v>188</v>
      </c>
      <c r="C201" s="35"/>
      <c r="D201" s="2"/>
      <c r="E201" s="9" t="str">
        <f t="shared" si="24"/>
        <v/>
      </c>
      <c r="F201" s="54" t="str">
        <f t="shared" si="33"/>
        <v/>
      </c>
      <c r="G201" s="73" t="str">
        <f t="shared" si="25"/>
        <v/>
      </c>
      <c r="H201" s="56" t="str">
        <f t="shared" si="26"/>
        <v/>
      </c>
      <c r="I201" s="57" t="str">
        <f t="shared" si="27"/>
        <v/>
      </c>
      <c r="J201" s="58" t="str">
        <f t="shared" si="28"/>
        <v/>
      </c>
      <c r="L201" s="31" t="str">
        <f t="shared" si="29"/>
        <v/>
      </c>
      <c r="M201" s="32" t="str">
        <f t="shared" si="34"/>
        <v/>
      </c>
      <c r="N201" s="32" t="str">
        <f t="shared" si="30"/>
        <v/>
      </c>
      <c r="O201" s="32" t="str">
        <f t="shared" si="31"/>
        <v/>
      </c>
      <c r="P201" s="32" t="str">
        <f t="shared" si="35"/>
        <v/>
      </c>
      <c r="Q201" s="33" t="str">
        <f t="shared" si="35"/>
        <v/>
      </c>
    </row>
    <row r="202" spans="2:17" x14ac:dyDescent="0.25">
      <c r="B202" s="9">
        <v>189</v>
      </c>
      <c r="C202" s="35"/>
      <c r="D202" s="2"/>
      <c r="E202" s="9" t="str">
        <f t="shared" si="24"/>
        <v/>
      </c>
      <c r="F202" s="54" t="str">
        <f t="shared" si="33"/>
        <v/>
      </c>
      <c r="G202" s="73" t="str">
        <f t="shared" si="25"/>
        <v/>
      </c>
      <c r="H202" s="56" t="str">
        <f t="shared" si="26"/>
        <v/>
      </c>
      <c r="I202" s="57" t="str">
        <f t="shared" si="27"/>
        <v/>
      </c>
      <c r="J202" s="58" t="str">
        <f t="shared" si="28"/>
        <v/>
      </c>
      <c r="L202" s="31" t="str">
        <f t="shared" si="29"/>
        <v/>
      </c>
      <c r="M202" s="32" t="str">
        <f t="shared" si="34"/>
        <v/>
      </c>
      <c r="N202" s="32" t="str">
        <f t="shared" si="30"/>
        <v/>
      </c>
      <c r="O202" s="32" t="str">
        <f t="shared" si="31"/>
        <v/>
      </c>
      <c r="P202" s="32" t="str">
        <f t="shared" si="35"/>
        <v/>
      </c>
      <c r="Q202" s="33" t="str">
        <f t="shared" si="35"/>
        <v/>
      </c>
    </row>
    <row r="203" spans="2:17" ht="13.8" thickBot="1" x14ac:dyDescent="0.3">
      <c r="B203" s="10">
        <v>190</v>
      </c>
      <c r="C203" s="36"/>
      <c r="D203" s="2"/>
      <c r="E203" s="10" t="str">
        <f t="shared" si="24"/>
        <v/>
      </c>
      <c r="F203" s="26" t="str">
        <f t="shared" si="33"/>
        <v/>
      </c>
      <c r="G203" s="74" t="str">
        <f t="shared" si="25"/>
        <v/>
      </c>
      <c r="H203" s="60" t="str">
        <f t="shared" si="26"/>
        <v/>
      </c>
      <c r="I203" s="61" t="str">
        <f t="shared" si="27"/>
        <v/>
      </c>
      <c r="J203" s="62" t="str">
        <f t="shared" si="28"/>
        <v/>
      </c>
      <c r="L203" s="65" t="str">
        <f t="shared" si="29"/>
        <v/>
      </c>
      <c r="M203" s="66" t="str">
        <f t="shared" si="34"/>
        <v/>
      </c>
      <c r="N203" s="66" t="str">
        <f t="shared" si="30"/>
        <v/>
      </c>
      <c r="O203" s="66" t="str">
        <f t="shared" si="31"/>
        <v/>
      </c>
      <c r="P203" s="66" t="str">
        <f t="shared" si="35"/>
        <v/>
      </c>
      <c r="Q203" s="67" t="str">
        <f t="shared" si="35"/>
        <v/>
      </c>
    </row>
    <row r="204" spans="2:17" ht="13.8" thickTop="1" x14ac:dyDescent="0.25">
      <c r="B204" s="2"/>
      <c r="C204" s="2"/>
      <c r="D204" s="2"/>
      <c r="E204" s="2"/>
      <c r="F204" s="2"/>
      <c r="G204" s="43"/>
      <c r="H204" s="2"/>
    </row>
    <row r="205" spans="2:17" x14ac:dyDescent="0.25">
      <c r="B205" s="2"/>
      <c r="C205" s="2"/>
      <c r="D205" s="2"/>
      <c r="E205" s="2"/>
      <c r="F205" s="2"/>
      <c r="G205" s="43"/>
      <c r="H205" s="2"/>
    </row>
    <row r="206" spans="2:17" x14ac:dyDescent="0.25">
      <c r="B206" s="2"/>
      <c r="C206" s="2"/>
      <c r="D206" s="2"/>
      <c r="E206" s="2"/>
      <c r="F206" s="2"/>
      <c r="G206" s="43"/>
      <c r="H206" s="2"/>
    </row>
    <row r="207" spans="2:17" x14ac:dyDescent="0.25">
      <c r="B207" s="2"/>
      <c r="C207" s="2"/>
      <c r="D207" s="2"/>
      <c r="E207" s="2"/>
      <c r="F207" s="2"/>
      <c r="G207" s="43"/>
      <c r="H207" s="2"/>
    </row>
  </sheetData>
  <mergeCells count="14">
    <mergeCell ref="E8:G8"/>
    <mergeCell ref="E9:G9"/>
    <mergeCell ref="U3:V3"/>
    <mergeCell ref="E4:G4"/>
    <mergeCell ref="B11:C11"/>
    <mergeCell ref="E11:J11"/>
    <mergeCell ref="B3:C3"/>
    <mergeCell ref="E3:H3"/>
    <mergeCell ref="J3:K3"/>
    <mergeCell ref="M3:R3"/>
    <mergeCell ref="L11:Q11"/>
    <mergeCell ref="E5:G5"/>
    <mergeCell ref="E6:G6"/>
    <mergeCell ref="E7:G7"/>
  </mergeCells>
  <pageMargins left="0.75" right="0.75" top="1" bottom="1" header="0.5" footer="0.5"/>
  <pageSetup paperSize="9" orientation="portrait" verticalDpi="0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1175A7594C17479A4E12D632D517BF" ma:contentTypeVersion="15" ma:contentTypeDescription="Een nieuw document maken." ma:contentTypeScope="" ma:versionID="ce8f5472899bd9c9019e27308338b68c">
  <xsd:schema xmlns:xsd="http://www.w3.org/2001/XMLSchema" xmlns:xs="http://www.w3.org/2001/XMLSchema" xmlns:p="http://schemas.microsoft.com/office/2006/metadata/properties" xmlns:ns2="ea99318c-52aa-443d-ac36-63c50114b4ce" xmlns:ns3="7ef575ab-a110-4fad-9f0d-aa3e66aba80b" targetNamespace="http://schemas.microsoft.com/office/2006/metadata/properties" ma:root="true" ma:fieldsID="d5bc3d57ee7bef95772946ba2109469d" ns2:_="" ns3:_="">
    <xsd:import namespace="ea99318c-52aa-443d-ac36-63c50114b4ce"/>
    <xsd:import namespace="7ef575ab-a110-4fad-9f0d-aa3e66aba80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lcf76f155ced4ddcb4097134ff3c332f" minOccurs="0"/>
                <xsd:element ref="ns2:TaxCatchAll" minOccurs="0"/>
                <xsd:element ref="ns3:MediaServiceMetadata" minOccurs="0"/>
                <xsd:element ref="ns3:MediaServiceFastMetadata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99318c-52aa-443d-ac36-63c50114b4c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8a094d47-9554-44ef-8a9e-d80345bdeab3}" ma:internalName="TaxCatchAll" ma:showField="CatchAllData" ma:web="ea99318c-52aa-443d-ac36-63c50114b4c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f575ab-a110-4fad-9f0d-aa3e66aba8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1" nillable="true" ma:taxonomy="true" ma:internalName="lcf76f155ced4ddcb4097134ff3c332f" ma:taxonomyFieldName="MediaServiceImageTags" ma:displayName="Afbeeldingtags" ma:readOnly="false" ma:fieldId="{5cf76f15-5ced-4ddc-b409-7134ff3c332f}" ma:taxonomyMulti="true" ma:sspId="7b8fcad2-6b56-41c4-ba81-257fb404efb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ef575ab-a110-4fad-9f0d-aa3e66aba80b">
      <Terms xmlns="http://schemas.microsoft.com/office/infopath/2007/PartnerControls"/>
    </lcf76f155ced4ddcb4097134ff3c332f>
    <TaxCatchAll xmlns="ea99318c-52aa-443d-ac36-63c50114b4ce"/>
  </documentManagement>
</p:properties>
</file>

<file path=customXml/itemProps1.xml><?xml version="1.0" encoding="utf-8"?>
<ds:datastoreItem xmlns:ds="http://schemas.openxmlformats.org/officeDocument/2006/customXml" ds:itemID="{4622CD69-79B6-4411-95FE-458F9AEE06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99318c-52aa-443d-ac36-63c50114b4ce"/>
    <ds:schemaRef ds:uri="7ef575ab-a110-4fad-9f0d-aa3e66aba8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3AE58AA-7528-49A8-9D7F-A4E41F4C50B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53D905-5FD4-49A1-8213-18D96111DADE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11</vt:i4>
      </vt:variant>
      <vt:variant>
        <vt:lpstr>Grafieken</vt:lpstr>
      </vt:variant>
      <vt:variant>
        <vt:i4>1</vt:i4>
      </vt:variant>
    </vt:vector>
  </HeadingPairs>
  <TitlesOfParts>
    <vt:vector size="12" baseType="lpstr">
      <vt:lpstr>Invoer</vt:lpstr>
      <vt:lpstr>Resultaat</vt:lpstr>
      <vt:lpstr>Org</vt:lpstr>
      <vt:lpstr>5V</vt:lpstr>
      <vt:lpstr>6V</vt:lpstr>
      <vt:lpstr>1V</vt:lpstr>
      <vt:lpstr>3V</vt:lpstr>
      <vt:lpstr>7V</vt:lpstr>
      <vt:lpstr>4V</vt:lpstr>
      <vt:lpstr>8V</vt:lpstr>
      <vt:lpstr>2V</vt:lpstr>
      <vt:lpstr>Vermoeiingslijn</vt:lpstr>
    </vt:vector>
  </TitlesOfParts>
  <Company>KOAC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TVI</dc:creator>
  <cp:lastModifiedBy>Inge Brijker</cp:lastModifiedBy>
  <cp:lastPrinted>2009-07-09T16:45:48Z</cp:lastPrinted>
  <dcterms:created xsi:type="dcterms:W3CDTF">2004-09-09T12:08:31Z</dcterms:created>
  <dcterms:modified xsi:type="dcterms:W3CDTF">2025-04-28T12:56:33Z</dcterms:modified>
</cp:coreProperties>
</file>